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/>
  <bookViews>
    <workbookView xWindow="11505" yWindow="-15" windowWidth="11550" windowHeight="9705"/>
  </bookViews>
  <sheets>
    <sheet name="Input1" sheetId="11" r:id="rId1"/>
    <sheet name="Input2" sheetId="1" r:id="rId2"/>
    <sheet name="Output" sheetId="14" r:id="rId3"/>
    <sheet name="Plot" sheetId="15" r:id="rId4"/>
    <sheet name="Plot_Beam" sheetId="17" r:id="rId5"/>
    <sheet name="Node_def" sheetId="10" r:id="rId6"/>
    <sheet name="Temp" sheetId="13" state="hidden" r:id="rId7"/>
    <sheet name="About" sheetId="18" r:id="rId8"/>
    <sheet name="Format" sheetId="16" r:id="rId9"/>
  </sheets>
  <functionGroups builtInGroupCount="17"/>
  <definedNames>
    <definedName name="actions">Input2!$AO$79:$AQ$79</definedName>
    <definedName name="beam_act">Output!$F$11:$H$16</definedName>
    <definedName name="BeamActHead">Format!$A$10:$A$15</definedName>
    <definedName name="beamcon">Input1!$R$7:$U$9</definedName>
    <definedName name="beamer">Input1!$W$7:$AC$8</definedName>
    <definedName name="beamprop">Input1!$B$7:$G$9</definedName>
    <definedName name="beamres">Output!$K$10:$R$1212</definedName>
    <definedName name="BeamResOff">Format!$A$8</definedName>
    <definedName name="blabels">Output!$E$11:$E$16</definedName>
    <definedName name="Centre_X">Plot!$B$7</definedName>
    <definedName name="Centre_Y">Plot!$B$8</definedName>
    <definedName name="coords">Input1!$I$7:$K$10</definedName>
    <definedName name="Def_Shape">Input2!$AZ$79:$BA$126</definedName>
    <definedName name="defa">Node_def!$B$3:$B$8</definedName>
    <definedName name="defc">Output!$C$11:$C$22</definedName>
    <definedName name="Deflect_Mag">Plot!$B$9</definedName>
    <definedName name="DefXYRes">Output!$Y$34:$Z$49</definedName>
    <definedName name="distloads">Input2!$B$13:$G$15</definedName>
    <definedName name="f_a">Node_def!$A$3:$A$8</definedName>
    <definedName name="FEM">Input2!$C$13:$Q$75</definedName>
    <definedName name="G_Coord">Input2!$C$79:$H$83</definedName>
    <definedName name="G_Num">Input2!$I$82:$J$83</definedName>
    <definedName name="kga">Node_def!$F$4:$K$9</definedName>
    <definedName name="KV">Input2!$K$172:$P$213</definedName>
    <definedName name="lastdataranges">Format!$A$2:$B$5</definedName>
    <definedName name="LastPlotRange">Format!$B$2</definedName>
    <definedName name="LegendText">Plot_Beam!$N$11:$V$11</definedName>
    <definedName name="LOADED_NODES" localSheetId="7">Input2!#REF!</definedName>
    <definedName name="LOADED_NODES">Input2!#REF!</definedName>
    <definedName name="Loads">Input2!#REF!</definedName>
    <definedName name="moments">Input2!$J$13:$K$15</definedName>
    <definedName name="NDisp">Input2!$AG$79:$AH$79</definedName>
    <definedName name="nlabels">Output!$B$11:$B$22</definedName>
    <definedName name="Node_Fix" localSheetId="7">Input2!#REF!</definedName>
    <definedName name="Node_Fix">Input2!#REF!</definedName>
    <definedName name="node_loads" localSheetId="7">Input2!#REF!</definedName>
    <definedName name="node_loads">Input2!#REF!</definedName>
    <definedName name="Numbeams">Input1!$T$5</definedName>
    <definedName name="NumCoords">Input1!$K$5</definedName>
    <definedName name="NumER">Input1!$Y$5</definedName>
    <definedName name="NumERBeams">Input1!$Z$5</definedName>
    <definedName name="NumLoads">Input2!$B$12</definedName>
    <definedName name="NumProps">Input1!$D$5</definedName>
    <definedName name="NumRest">Input1!$O$5</definedName>
    <definedName name="NumSegs">Output!$N$7</definedName>
    <definedName name="OutErr">Output!$H$7:$I$7</definedName>
    <definedName name="plot_beams">Plot_Beam!$C$3:$N$9</definedName>
    <definedName name="plotdata">Plot_Beam!$M$12:$N$1616</definedName>
    <definedName name="PlotScale">Plot!$B$6</definedName>
    <definedName name="PlotY">Plot_Beam!$N$12:$N$35</definedName>
    <definedName name="pointloads">Input2!$H$13:$J$15</definedName>
    <definedName name="Props" localSheetId="7">Input2!#REF!</definedName>
    <definedName name="Props">Input2!#REF!</definedName>
    <definedName name="react">Output!$D$11:$D$22</definedName>
    <definedName name="ResForce">Output!$H$5:$I$5</definedName>
    <definedName name="ResOut">Output!$H$6:$I$6</definedName>
    <definedName name="restraints">Input1!$M$7:$P$9</definedName>
    <definedName name="SelectedAct">Format!$A$9</definedName>
    <definedName name="Self_Weight">Input2!$A$10</definedName>
    <definedName name="SolveOptions">Format!$Q$2:$Q$4</definedName>
    <definedName name="temp">Output!$B$24:$C$26</definedName>
    <definedName name="TitleV1">EVALUATE(Plot_Beam!$E$10)</definedName>
  </definedNames>
  <calcPr calcId="145621" iterateCount="1" iterateDelta="9.9999999999999995E-8"/>
</workbook>
</file>

<file path=xl/calcChain.xml><?xml version="1.0" encoding="utf-8"?>
<calcChain xmlns="http://schemas.openxmlformats.org/spreadsheetml/2006/main">
  <c r="H3" i="10" l="1"/>
  <c r="H2" i="10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B12" i="1"/>
  <c r="Z5" i="11"/>
  <c r="Y5" i="11"/>
  <c r="D5" i="11"/>
  <c r="T5" i="11"/>
  <c r="A8" i="16"/>
  <c r="E10" i="17" s="1"/>
  <c r="BK78" i="1"/>
  <c r="BO78" i="1"/>
  <c r="BN78" i="1"/>
  <c r="BM78" i="1"/>
  <c r="BL78" i="1"/>
  <c r="BJ78" i="1"/>
  <c r="O5" i="11"/>
  <c r="K5" i="11"/>
</calcChain>
</file>

<file path=xl/sharedStrings.xml><?xml version="1.0" encoding="utf-8"?>
<sst xmlns="http://schemas.openxmlformats.org/spreadsheetml/2006/main" count="188" uniqueCount="148">
  <si>
    <t>Element Actions</t>
  </si>
  <si>
    <t>I</t>
  </si>
  <si>
    <t>Reaction</t>
  </si>
  <si>
    <t>Applied Loads</t>
  </si>
  <si>
    <t>Position</t>
  </si>
  <si>
    <t>Load</t>
  </si>
  <si>
    <t>Moment</t>
  </si>
  <si>
    <t>Load/m start</t>
  </si>
  <si>
    <t>Load/m end</t>
  </si>
  <si>
    <t>Y</t>
  </si>
  <si>
    <t>Moments</t>
  </si>
  <si>
    <t>Direction X/Y</t>
  </si>
  <si>
    <t>Deflection</t>
  </si>
  <si>
    <t>Area</t>
  </si>
  <si>
    <t xml:space="preserve"> Young's Modulus</t>
  </si>
  <si>
    <t>For Point loads and moments specify the position and magnitude</t>
  </si>
  <si>
    <t>Beam No</t>
  </si>
  <si>
    <t>M</t>
  </si>
  <si>
    <t>Force</t>
  </si>
  <si>
    <t>Distributed Loads</t>
  </si>
  <si>
    <t>2D Frame Analysis</t>
  </si>
  <si>
    <t>Analysis of a 2D frame subject to distributed loads, point loads and moments</t>
  </si>
  <si>
    <t>Beam Property Types</t>
  </si>
  <si>
    <t>Property Number</t>
  </si>
  <si>
    <t>Node Coordinates</t>
  </si>
  <si>
    <t>Number</t>
  </si>
  <si>
    <t>X</t>
  </si>
  <si>
    <t>Node Restraints</t>
  </si>
  <si>
    <t>Beam Connections</t>
  </si>
  <si>
    <t>Beam Number</t>
  </si>
  <si>
    <t>Property Type</t>
  </si>
  <si>
    <t>Node 1</t>
  </si>
  <si>
    <t>Node 2</t>
  </si>
  <si>
    <t>a</t>
  </si>
  <si>
    <t>b</t>
  </si>
  <si>
    <t>DX1</t>
  </si>
  <si>
    <t>DY1</t>
  </si>
  <si>
    <t>RZ1</t>
  </si>
  <si>
    <t>DX2</t>
  </si>
  <si>
    <t>DY2</t>
  </si>
  <si>
    <t>RZ2</t>
  </si>
  <si>
    <t>ã</t>
  </si>
  <si>
    <t>Beam End Releases</t>
  </si>
  <si>
    <t>Node Results</t>
  </si>
  <si>
    <t>Beam</t>
  </si>
  <si>
    <t>BM</t>
  </si>
  <si>
    <t>Shear</t>
  </si>
  <si>
    <t>1-1</t>
  </si>
  <si>
    <t>1-2</t>
  </si>
  <si>
    <t>Ax</t>
  </si>
  <si>
    <t>Beam End Results</t>
  </si>
  <si>
    <t>Shear Area</t>
  </si>
  <si>
    <t xml:space="preserve"> Shear    Modulus</t>
  </si>
  <si>
    <t>F</t>
  </si>
  <si>
    <t>PlotScale</t>
  </si>
  <si>
    <t>Centre X</t>
  </si>
  <si>
    <t>Centre Y</t>
  </si>
  <si>
    <t>Data ranges</t>
  </si>
  <si>
    <t>Last Plot Range</t>
  </si>
  <si>
    <t>Type No.</t>
  </si>
  <si>
    <t>Type</t>
  </si>
  <si>
    <t>Colour</t>
  </si>
  <si>
    <t>Dash</t>
  </si>
  <si>
    <t>Weight</t>
  </si>
  <si>
    <t>Line</t>
  </si>
  <si>
    <t>Style</t>
  </si>
  <si>
    <t>Length</t>
  </si>
  <si>
    <t>Width</t>
  </si>
  <si>
    <t>Begin Arrow</t>
  </si>
  <si>
    <t>End Arrow</t>
  </si>
  <si>
    <t>Defelction Scale</t>
  </si>
  <si>
    <t>For distributed loads specify length from the ends of the start and end of the load, and the load intensity at the start and end.</t>
  </si>
  <si>
    <t>Dx1</t>
  </si>
  <si>
    <t>Dy1</t>
  </si>
  <si>
    <t>M1</t>
  </si>
  <si>
    <t>Dx2</t>
  </si>
  <si>
    <t>Dy2</t>
  </si>
  <si>
    <t>M2</t>
  </si>
  <si>
    <t>DX3</t>
  </si>
  <si>
    <t>DY3</t>
  </si>
  <si>
    <t>RZ3</t>
  </si>
  <si>
    <t>DX4</t>
  </si>
  <si>
    <t>DY4</t>
  </si>
  <si>
    <t>RZ4</t>
  </si>
  <si>
    <t>2-1</t>
  </si>
  <si>
    <t>2-2</t>
  </si>
  <si>
    <t>3-1</t>
  </si>
  <si>
    <t>3-2</t>
  </si>
  <si>
    <t>DX</t>
  </si>
  <si>
    <t>DY</t>
  </si>
  <si>
    <t>RZ</t>
  </si>
  <si>
    <t>Pline</t>
  </si>
  <si>
    <t>Mom</t>
  </si>
  <si>
    <t>Number of segments/beam</t>
  </si>
  <si>
    <t xml:space="preserve">Beam Action: </t>
  </si>
  <si>
    <t>Beam Numbers</t>
  </si>
  <si>
    <t>Series 1</t>
  </si>
  <si>
    <t>Series 2</t>
  </si>
  <si>
    <t>Series 3</t>
  </si>
  <si>
    <t>Series 4</t>
  </si>
  <si>
    <t>Series 5</t>
  </si>
  <si>
    <t>Series 6</t>
  </si>
  <si>
    <t>Plot beam actions and deflections for selected beams</t>
  </si>
  <si>
    <t>Plot Frame and Deflected Shape</t>
  </si>
  <si>
    <t>Centre X and Centre Y are relative to the bottom left corner of the model</t>
  </si>
  <si>
    <t>0.5, 0.5 or blank will centre on the centre point of the frame.</t>
  </si>
  <si>
    <t>Plot!$D$5:$O$34</t>
  </si>
  <si>
    <t>Positions and load lengths are measured along the beam axis.</t>
  </si>
  <si>
    <t>Copyright</t>
  </si>
  <si>
    <t>Spreadsheet, VBA code and C# interface code</t>
  </si>
  <si>
    <t>Alglib C# code</t>
  </si>
  <si>
    <t xml:space="preserve"> Copyright (c) 2012 Sergey Bochkanov (ALGLIB project).</t>
  </si>
  <si>
    <t>Alglib code and documentation may be downloaded from:</t>
  </si>
  <si>
    <t>http://www.alglib.net/</t>
  </si>
  <si>
    <t>Point Loads</t>
  </si>
  <si>
    <t>Solve time, sparse solver</t>
  </si>
  <si>
    <t>Solve time, VBA solver</t>
  </si>
  <si>
    <t>Distributed and point load direction is either "X" (horizontal) or "Y" (vertical).  Moments are about the Z axis.</t>
  </si>
  <si>
    <t>Distributed and point loads entered on the same line must be in the same direction, moments may be entered on any line.</t>
  </si>
  <si>
    <t>Enter "F" for fixed restraint, or displacement value</t>
  </si>
  <si>
    <t>for prescribed displacement (rotation in radians)</t>
  </si>
  <si>
    <t>Input1!$I$6:$K$71</t>
  </si>
  <si>
    <t>Input1!$R$5:$U$70</t>
  </si>
  <si>
    <t>Format!$D$6:$N$10</t>
  </si>
  <si>
    <t>Alglib sparse solver</t>
  </si>
  <si>
    <t>Compiled solver</t>
  </si>
  <si>
    <t>VBA solver</t>
  </si>
  <si>
    <t>Compiled solver time</t>
  </si>
  <si>
    <t>Beams 15 ... 18</t>
  </si>
  <si>
    <t>Equilibrium check</t>
  </si>
  <si>
    <t>FX</t>
  </si>
  <si>
    <t>FY</t>
  </si>
  <si>
    <t>Total applied forces</t>
  </si>
  <si>
    <t>Total output reactions</t>
  </si>
  <si>
    <t>Output error</t>
  </si>
  <si>
    <t>0,0 will centre on the botton left corner; 1,1 will centre on the top right corner</t>
  </si>
  <si>
    <t>www.lindebbaum.com.au</t>
  </si>
  <si>
    <t>Beam End Releases values:</t>
  </si>
  <si>
    <t>Acknowlegement to Alglib project, code in development</t>
  </si>
  <si>
    <t>Developer: Dr Xiaojun Chen</t>
  </si>
  <si>
    <t>maximum 6 series can be chosen</t>
  </si>
  <si>
    <t>Beams 2 ... 7</t>
  </si>
  <si>
    <t>Beams 3 ... 8</t>
  </si>
  <si>
    <t>Beams 4 ... 9</t>
  </si>
  <si>
    <t>Beams 5 ... 10</t>
  </si>
  <si>
    <t>Beams 1 ... 3</t>
  </si>
  <si>
    <t xml:space="preserve"> Copyright  2015 Lindenbaum Pty Ltd.  All rights reserved</t>
  </si>
  <si>
    <t>Enter 1 for wherever need releasing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</si>
</sst>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"/>
    <numFmt numFmtId="166" formatCode="0.000E+00"/>
    <numFmt numFmtId="167" formatCode="0.0000E+00"/>
    <numFmt numFmtId="168" formatCode="0.00000"/>
    <numFmt numFmtId="169" formatCode="0.00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u/>
      <sz val="10"/>
      <color indexed="12"/>
      <name val="Arial"/>
      <family val="2"/>
    </font>
    <font>
      <sz val="12"/>
      <name val="Arial"/>
      <family val="2"/>
    </font>
    <font>
      <sz val="12"/>
      <name val="Symbol"/>
      <family val="1"/>
      <charset val="2"/>
    </font>
    <font>
      <b/>
      <sz val="10"/>
      <name val="Calibri"/>
      <family val="2"/>
    </font>
    <font>
      <u/>
      <sz val="10"/>
      <color theme="1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</cellStyleXfs>
  <cellXfs count="184">
    <xf numFmtId="0" fontId="0" fillId="0" borderId="0" xfId="0"/>
    <xf numFmtId="0" fontId="3" fillId="0" borderId="0" xfId="0" applyFont="1"/>
    <xf numFmtId="11" fontId="0" fillId="0" borderId="0" xfId="0" applyNumberFormat="1"/>
    <xf numFmtId="0" fontId="4" fillId="0" borderId="0" xfId="0" applyFont="1"/>
    <xf numFmtId="0" fontId="2" fillId="0" borderId="0" xfId="0" applyFont="1"/>
    <xf numFmtId="0" fontId="2" fillId="0" borderId="0" xfId="0" quotePrefix="1" applyFont="1" applyAlignment="1">
      <alignment horizontal="left"/>
    </xf>
    <xf numFmtId="0" fontId="5" fillId="0" borderId="0" xfId="0" applyFont="1"/>
    <xf numFmtId="0" fontId="5" fillId="0" borderId="0" xfId="0" applyFont="1" applyProtection="1">
      <protection locked="0"/>
    </xf>
    <xf numFmtId="0" fontId="5" fillId="0" borderId="0" xfId="0" applyFont="1" applyAlignment="1">
      <alignment horizontal="right"/>
    </xf>
    <xf numFmtId="11" fontId="5" fillId="0" borderId="0" xfId="0" applyNumberFormat="1" applyFont="1"/>
    <xf numFmtId="166" fontId="5" fillId="0" borderId="0" xfId="0" applyNumberFormat="1" applyFont="1"/>
    <xf numFmtId="4" fontId="5" fillId="0" borderId="0" xfId="0" applyNumberFormat="1" applyFont="1"/>
    <xf numFmtId="10" fontId="5" fillId="0" borderId="0" xfId="0" applyNumberFormat="1" applyFont="1"/>
    <xf numFmtId="11" fontId="5" fillId="0" borderId="0" xfId="0" applyNumberFormat="1" applyFont="1" applyAlignment="1">
      <alignment horizontal="right"/>
    </xf>
    <xf numFmtId="1" fontId="5" fillId="0" borderId="0" xfId="0" applyNumberFormat="1" applyFont="1" applyProtection="1">
      <protection locked="0"/>
    </xf>
    <xf numFmtId="1" fontId="5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1" fontId="2" fillId="0" borderId="0" xfId="0" applyNumberFormat="1" applyFont="1"/>
    <xf numFmtId="10" fontId="2" fillId="0" borderId="0" xfId="0" applyNumberFormat="1" applyFont="1"/>
    <xf numFmtId="166" fontId="2" fillId="0" borderId="0" xfId="0" applyNumberFormat="1" applyFont="1"/>
    <xf numFmtId="4" fontId="2" fillId="0" borderId="0" xfId="0" applyNumberFormat="1" applyFont="1"/>
    <xf numFmtId="0" fontId="2" fillId="0" borderId="0" xfId="0" applyFont="1" applyProtection="1">
      <protection locked="0"/>
    </xf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right"/>
    </xf>
    <xf numFmtId="0" fontId="2" fillId="0" borderId="2" xfId="0" applyFont="1" applyBorder="1" applyAlignment="1">
      <alignment horizontal="center"/>
    </xf>
    <xf numFmtId="0" fontId="2" fillId="0" borderId="2" xfId="0" quotePrefix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1" fontId="6" fillId="0" borderId="2" xfId="0" quotePrefix="1" applyNumberFormat="1" applyFont="1" applyBorder="1" applyAlignment="1">
      <alignment horizontal="center"/>
    </xf>
    <xf numFmtId="0" fontId="14" fillId="2" borderId="0" xfId="0" quotePrefix="1" applyFont="1" applyFill="1" applyAlignment="1">
      <alignment horizontal="left"/>
    </xf>
    <xf numFmtId="0" fontId="15" fillId="2" borderId="0" xfId="0" applyFont="1" applyFill="1"/>
    <xf numFmtId="0" fontId="2" fillId="0" borderId="0" xfId="0" applyFont="1" applyAlignment="1">
      <alignment horizontal="left"/>
    </xf>
    <xf numFmtId="11" fontId="7" fillId="0" borderId="8" xfId="0" applyNumberFormat="1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2" fontId="2" fillId="0" borderId="0" xfId="0" applyNumberFormat="1" applyFont="1"/>
    <xf numFmtId="0" fontId="2" fillId="0" borderId="2" xfId="0" applyFont="1" applyBorder="1" applyAlignment="1">
      <alignment horizontal="center" wrapText="1"/>
    </xf>
    <xf numFmtId="0" fontId="0" fillId="0" borderId="9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" fillId="0" borderId="0" xfId="0" applyFont="1" applyAlignment="1"/>
    <xf numFmtId="0" fontId="0" fillId="0" borderId="0" xfId="0" applyAlignment="1"/>
    <xf numFmtId="2" fontId="0" fillId="0" borderId="0" xfId="0" applyNumberFormat="1"/>
    <xf numFmtId="0" fontId="2" fillId="0" borderId="8" xfId="0" applyFont="1" applyBorder="1" applyAlignment="1">
      <alignment horizontal="center"/>
    </xf>
    <xf numFmtId="0" fontId="2" fillId="0" borderId="10" xfId="0" quotePrefix="1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8" xfId="0" quotePrefix="1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0" fontId="5" fillId="0" borderId="0" xfId="0" applyNumberFormat="1" applyFont="1"/>
    <xf numFmtId="0" fontId="15" fillId="0" borderId="0" xfId="0" applyFont="1" applyProtection="1"/>
    <xf numFmtId="0" fontId="3" fillId="0" borderId="0" xfId="0" applyNumberFormat="1" applyFont="1" applyAlignment="1"/>
    <xf numFmtId="0" fontId="10" fillId="0" borderId="0" xfId="0" applyNumberFormat="1" applyFont="1" applyAlignment="1"/>
    <xf numFmtId="0" fontId="3" fillId="0" borderId="0" xfId="0" quotePrefix="1" applyNumberFormat="1" applyFont="1" applyAlignment="1">
      <alignment horizontal="left"/>
    </xf>
    <xf numFmtId="0" fontId="10" fillId="0" borderId="0" xfId="0" applyNumberFormat="1" applyFont="1" applyAlignment="1">
      <alignment horizontal="centerContinuous" wrapText="1"/>
    </xf>
    <xf numFmtId="0" fontId="9" fillId="0" borderId="0" xfId="2" applyNumberFormat="1" applyFont="1" applyAlignment="1" applyProtection="1"/>
    <xf numFmtId="1" fontId="0" fillId="0" borderId="0" xfId="0" applyNumberFormat="1"/>
    <xf numFmtId="0" fontId="2" fillId="0" borderId="12" xfId="0" applyFont="1" applyBorder="1" applyAlignment="1">
      <alignment horizontal="center"/>
    </xf>
    <xf numFmtId="0" fontId="2" fillId="0" borderId="0" xfId="0" quotePrefix="1" applyFont="1" applyAlignment="1"/>
    <xf numFmtId="165" fontId="0" fillId="0" borderId="0" xfId="0" applyNumberFormat="1"/>
    <xf numFmtId="168" fontId="0" fillId="0" borderId="0" xfId="0" applyNumberFormat="1"/>
    <xf numFmtId="16" fontId="2" fillId="0" borderId="3" xfId="0" applyNumberFormat="1" applyFont="1" applyBorder="1" applyAlignment="1">
      <alignment horizontal="center"/>
    </xf>
    <xf numFmtId="165" fontId="0" fillId="0" borderId="3" xfId="0" applyNumberFormat="1" applyBorder="1"/>
    <xf numFmtId="165" fontId="0" fillId="0" borderId="5" xfId="0" applyNumberFormat="1" applyBorder="1"/>
    <xf numFmtId="167" fontId="2" fillId="0" borderId="3" xfId="0" applyNumberFormat="1" applyFont="1" applyBorder="1" applyProtection="1">
      <protection locked="0"/>
    </xf>
    <xf numFmtId="167" fontId="2" fillId="0" borderId="4" xfId="0" applyNumberFormat="1" applyFont="1" applyBorder="1" applyProtection="1">
      <protection locked="0"/>
    </xf>
    <xf numFmtId="167" fontId="2" fillId="0" borderId="5" xfId="0" applyNumberFormat="1" applyFont="1" applyBorder="1" applyProtection="1">
      <protection locked="0"/>
    </xf>
    <xf numFmtId="0" fontId="2" fillId="0" borderId="0" xfId="0" applyNumberFormat="1" applyFont="1"/>
    <xf numFmtId="0" fontId="2" fillId="0" borderId="0" xfId="0" applyNumberFormat="1" applyFont="1" applyAlignment="1"/>
    <xf numFmtId="15" fontId="2" fillId="0" borderId="0" xfId="0" applyNumberFormat="1" applyFont="1"/>
    <xf numFmtId="14" fontId="2" fillId="0" borderId="0" xfId="0" applyNumberFormat="1" applyFont="1"/>
    <xf numFmtId="1" fontId="2" fillId="0" borderId="0" xfId="0" applyNumberFormat="1" applyFont="1"/>
    <xf numFmtId="14" fontId="0" fillId="0" borderId="0" xfId="0" applyNumberFormat="1"/>
    <xf numFmtId="0" fontId="2" fillId="0" borderId="0" xfId="0" quotePrefix="1" applyNumberFormat="1" applyFont="1" applyAlignment="1">
      <alignment horizontal="left"/>
    </xf>
    <xf numFmtId="0" fontId="2" fillId="0" borderId="11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0" fillId="0" borderId="0" xfId="0" applyAlignment="1">
      <alignment horizontal="right"/>
    </xf>
    <xf numFmtId="165" fontId="0" fillId="0" borderId="0" xfId="0" applyNumberFormat="1" applyBorder="1"/>
    <xf numFmtId="166" fontId="0" fillId="0" borderId="0" xfId="0" applyNumberFormat="1"/>
    <xf numFmtId="0" fontId="0" fillId="0" borderId="2" xfId="0" applyBorder="1" applyAlignment="1">
      <alignment horizontal="center"/>
    </xf>
    <xf numFmtId="0" fontId="2" fillId="0" borderId="11" xfId="0" applyFont="1" applyBorder="1"/>
    <xf numFmtId="0" fontId="0" fillId="0" borderId="8" xfId="0" applyBorder="1"/>
    <xf numFmtId="0" fontId="0" fillId="3" borderId="8" xfId="0" applyFill="1" applyBorder="1"/>
    <xf numFmtId="0" fontId="0" fillId="0" borderId="9" xfId="0" applyBorder="1"/>
    <xf numFmtId="0" fontId="0" fillId="0" borderId="14" xfId="0" applyBorder="1"/>
    <xf numFmtId="0" fontId="0" fillId="0" borderId="6" xfId="0" applyBorder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13" xfId="0" applyBorder="1"/>
    <xf numFmtId="0" fontId="4" fillId="0" borderId="10" xfId="0" applyFont="1" applyBorder="1" applyAlignment="1">
      <alignment horizontal="centerContinuous"/>
    </xf>
    <xf numFmtId="165" fontId="2" fillId="0" borderId="3" xfId="0" applyNumberFormat="1" applyFont="1" applyBorder="1" applyProtection="1">
      <protection locked="0"/>
    </xf>
    <xf numFmtId="165" fontId="2" fillId="0" borderId="4" xfId="0" applyNumberFormat="1" applyFont="1" applyBorder="1" applyProtection="1">
      <protection locked="0"/>
    </xf>
    <xf numFmtId="165" fontId="2" fillId="0" borderId="5" xfId="0" applyNumberFormat="1" applyFont="1" applyBorder="1" applyProtection="1">
      <protection locked="0"/>
    </xf>
    <xf numFmtId="10" fontId="0" fillId="0" borderId="0" xfId="0" applyNumberFormat="1"/>
    <xf numFmtId="0" fontId="4" fillId="0" borderId="0" xfId="0" applyNumberFormat="1" applyFont="1"/>
    <xf numFmtId="0" fontId="10" fillId="0" borderId="0" xfId="0" applyNumberFormat="1" applyFont="1"/>
    <xf numFmtId="0" fontId="10" fillId="0" borderId="0" xfId="0" applyNumberFormat="1" applyFont="1" applyAlignment="1">
      <alignment horizontal="right"/>
    </xf>
    <xf numFmtId="0" fontId="11" fillId="0" borderId="0" xfId="0" applyNumberFormat="1" applyFont="1" applyAlignment="1">
      <alignment horizontal="right"/>
    </xf>
    <xf numFmtId="0" fontId="13" fillId="0" borderId="0" xfId="2" applyAlignment="1" applyProtection="1"/>
    <xf numFmtId="0" fontId="8" fillId="0" borderId="0" xfId="0" applyNumberFormat="1" applyFont="1"/>
    <xf numFmtId="169" fontId="0" fillId="0" borderId="0" xfId="0" applyNumberFormat="1"/>
    <xf numFmtId="0" fontId="2" fillId="0" borderId="8" xfId="0" quotePrefix="1" applyFont="1" applyBorder="1" applyAlignment="1"/>
    <xf numFmtId="2" fontId="2" fillId="0" borderId="3" xfId="0" applyNumberFormat="1" applyFont="1" applyBorder="1" applyProtection="1">
      <protection locked="0"/>
    </xf>
    <xf numFmtId="2" fontId="2" fillId="0" borderId="4" xfId="0" applyNumberFormat="1" applyFont="1" applyBorder="1" applyProtection="1">
      <protection locked="0"/>
    </xf>
    <xf numFmtId="2" fontId="2" fillId="0" borderId="5" xfId="0" applyNumberFormat="1" applyFont="1" applyBorder="1" applyProtection="1">
      <protection locked="0"/>
    </xf>
    <xf numFmtId="169" fontId="2" fillId="0" borderId="3" xfId="0" applyNumberFormat="1" applyFont="1" applyBorder="1" applyProtection="1">
      <protection locked="0"/>
    </xf>
    <xf numFmtId="169" fontId="2" fillId="0" borderId="4" xfId="0" applyNumberFormat="1" applyFont="1" applyBorder="1" applyProtection="1">
      <protection locked="0"/>
    </xf>
    <xf numFmtId="169" fontId="2" fillId="0" borderId="5" xfId="0" applyNumberFormat="1" applyFont="1" applyBorder="1" applyProtection="1">
      <protection locked="0"/>
    </xf>
    <xf numFmtId="0" fontId="16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169" fontId="2" fillId="0" borderId="0" xfId="0" applyNumberFormat="1" applyFont="1" applyAlignment="1">
      <alignment horizontal="center"/>
    </xf>
    <xf numFmtId="11" fontId="6" fillId="0" borderId="8" xfId="0" quotePrefix="1" applyNumberFormat="1" applyFont="1" applyBorder="1" applyAlignment="1">
      <alignment horizontal="center"/>
    </xf>
    <xf numFmtId="0" fontId="2" fillId="0" borderId="15" xfId="0" applyFont="1" applyBorder="1"/>
    <xf numFmtId="2" fontId="0" fillId="0" borderId="0" xfId="0" applyNumberFormat="1" applyBorder="1"/>
    <xf numFmtId="2" fontId="0" fillId="0" borderId="3" xfId="0" applyNumberFormat="1" applyBorder="1"/>
    <xf numFmtId="2" fontId="0" fillId="0" borderId="4" xfId="0" applyNumberFormat="1" applyBorder="1"/>
    <xf numFmtId="11" fontId="2" fillId="0" borderId="6" xfId="0" applyNumberFormat="1" applyFont="1" applyBorder="1"/>
    <xf numFmtId="2" fontId="0" fillId="0" borderId="1" xfId="0" applyNumberFormat="1" applyBorder="1"/>
    <xf numFmtId="11" fontId="0" fillId="0" borderId="12" xfId="0" applyNumberFormat="1" applyBorder="1"/>
    <xf numFmtId="11" fontId="0" fillId="0" borderId="5" xfId="0" applyNumberFormat="1" applyBorder="1"/>
    <xf numFmtId="0" fontId="0" fillId="0" borderId="15" xfId="0" applyBorder="1" applyAlignment="1">
      <alignment horizontal="center"/>
    </xf>
    <xf numFmtId="0" fontId="13" fillId="0" borderId="0" xfId="2" applyNumberFormat="1" applyAlignment="1" applyProtection="1"/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/>
    <xf numFmtId="0" fontId="3" fillId="0" borderId="0" xfId="0" applyFont="1" applyFill="1"/>
    <xf numFmtId="11" fontId="5" fillId="0" borderId="0" xfId="0" applyNumberFormat="1" applyFont="1" applyFill="1" applyProtection="1">
      <protection locked="0"/>
    </xf>
    <xf numFmtId="1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5" fillId="0" borderId="0" xfId="0" applyFont="1" applyFill="1"/>
    <xf numFmtId="0" fontId="5" fillId="0" borderId="0" xfId="0" quotePrefix="1" applyFont="1" applyFill="1" applyAlignment="1">
      <alignment horizontal="left"/>
    </xf>
    <xf numFmtId="0" fontId="12" fillId="0" borderId="0" xfId="0" applyFont="1" applyFill="1"/>
    <xf numFmtId="0" fontId="4" fillId="0" borderId="0" xfId="0" applyFont="1" applyFill="1"/>
    <xf numFmtId="0" fontId="2" fillId="0" borderId="0" xfId="0" applyFont="1" applyFill="1"/>
    <xf numFmtId="0" fontId="2" fillId="0" borderId="1" xfId="0" applyFont="1" applyFill="1" applyBorder="1" applyAlignment="1">
      <alignment horizontal="center"/>
    </xf>
    <xf numFmtId="0" fontId="4" fillId="0" borderId="7" xfId="0" applyFont="1" applyFill="1" applyBorder="1"/>
    <xf numFmtId="1" fontId="5" fillId="0" borderId="0" xfId="1" applyNumberFormat="1" applyFont="1" applyFill="1" applyProtection="1">
      <protection locked="0"/>
    </xf>
    <xf numFmtId="1" fontId="5" fillId="0" borderId="0" xfId="0" applyNumberFormat="1" applyFont="1" applyFill="1"/>
    <xf numFmtId="0" fontId="2" fillId="0" borderId="13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quotePrefix="1" applyFont="1" applyBorder="1" applyAlignment="1">
      <alignment horizont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0" fillId="0" borderId="15" xfId="0" applyBorder="1"/>
    <xf numFmtId="0" fontId="0" fillId="0" borderId="12" xfId="0" applyBorder="1"/>
    <xf numFmtId="0" fontId="4" fillId="3" borderId="16" xfId="0" applyFont="1" applyFill="1" applyBorder="1"/>
    <xf numFmtId="0" fontId="4" fillId="3" borderId="17" xfId="0" applyFont="1" applyFill="1" applyBorder="1"/>
    <xf numFmtId="0" fontId="4" fillId="3" borderId="18" xfId="0" applyFont="1" applyFill="1" applyBorder="1"/>
    <xf numFmtId="0" fontId="2" fillId="0" borderId="8" xfId="0" applyFont="1" applyBorder="1" applyAlignment="1">
      <alignment horizontal="center"/>
    </xf>
    <xf numFmtId="0" fontId="0" fillId="4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0" borderId="10" xfId="0" applyBorder="1"/>
    <xf numFmtId="0" fontId="4" fillId="3" borderId="22" xfId="0" applyFont="1" applyFill="1" applyBorder="1"/>
    <xf numFmtId="0" fontId="4" fillId="3" borderId="19" xfId="0" applyFont="1" applyFill="1" applyBorder="1"/>
    <xf numFmtId="0" fontId="4" fillId="3" borderId="20" xfId="0" applyFont="1" applyFill="1" applyBorder="1"/>
    <xf numFmtId="0" fontId="4" fillId="3" borderId="21" xfId="0" applyFont="1" applyFill="1" applyBorder="1"/>
    <xf numFmtId="0" fontId="2" fillId="4" borderId="0" xfId="0" applyFont="1" applyFill="1" applyBorder="1"/>
    <xf numFmtId="0" fontId="0" fillId="0" borderId="2" xfId="0" applyBorder="1"/>
    <xf numFmtId="0" fontId="2" fillId="4" borderId="2" xfId="0" applyFont="1" applyFill="1" applyBorder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11" xfId="0" quotePrefix="1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quotePrefix="1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1" fontId="2" fillId="0" borderId="11" xfId="0" applyNumberFormat="1" applyFont="1" applyBorder="1" applyAlignment="1">
      <alignment horizontal="center"/>
    </xf>
    <xf numFmtId="11" fontId="2" fillId="0" borderId="8" xfId="0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8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16" fillId="0" borderId="0" xfId="0" applyFont="1" applyAlignment="1">
      <alignment horizontal="left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Beams 15 ... 18</c:v>
          </c:tx>
          <c:marker>
            <c:symbol val="none"/>
          </c:marker>
          <c:xVal>
            <c:numRef>
              <c:f>Plot_Beam!$M$13:$M$1616</c:f>
              <c:numCache>
                <c:formatCode>General</c:formatCode>
                <c:ptCount val="1604"/>
                <c:pt idx="0">
                  <c:v>0</c:v>
                </c:pt>
                <c:pt idx="1">
                  <c:v>1.2500000000000001E-2</c:v>
                </c:pt>
                <c:pt idx="2">
                  <c:v>2.5000000000000001E-2</c:v>
                </c:pt>
                <c:pt idx="3">
                  <c:v>3.7500000000000006E-2</c:v>
                </c:pt>
                <c:pt idx="4">
                  <c:v>0.05</c:v>
                </c:pt>
                <c:pt idx="5">
                  <c:v>6.25E-2</c:v>
                </c:pt>
                <c:pt idx="6">
                  <c:v>7.4999999999999997E-2</c:v>
                </c:pt>
                <c:pt idx="7">
                  <c:v>8.7499999999999994E-2</c:v>
                </c:pt>
                <c:pt idx="8">
                  <c:v>9.9999999999999992E-2</c:v>
                </c:pt>
                <c:pt idx="9">
                  <c:v>0.11249999999999999</c:v>
                </c:pt>
                <c:pt idx="10">
                  <c:v>0.12499999999999999</c:v>
                </c:pt>
                <c:pt idx="11">
                  <c:v>0.13749999999999998</c:v>
                </c:pt>
                <c:pt idx="12">
                  <c:v>0.15</c:v>
                </c:pt>
                <c:pt idx="13">
                  <c:v>0.16250000000000001</c:v>
                </c:pt>
                <c:pt idx="14">
                  <c:v>0.17500000000000002</c:v>
                </c:pt>
                <c:pt idx="15">
                  <c:v>0.18750000000000003</c:v>
                </c:pt>
                <c:pt idx="16">
                  <c:v>0.20000000000000004</c:v>
                </c:pt>
                <c:pt idx="17">
                  <c:v>0.21250000000000005</c:v>
                </c:pt>
                <c:pt idx="18">
                  <c:v>0.22500000000000006</c:v>
                </c:pt>
                <c:pt idx="19">
                  <c:v>0.23750000000000007</c:v>
                </c:pt>
                <c:pt idx="20">
                  <c:v>0.25000000000000006</c:v>
                </c:pt>
                <c:pt idx="21">
                  <c:v>0.26250000000000007</c:v>
                </c:pt>
                <c:pt idx="22">
                  <c:v>0.27500000000000008</c:v>
                </c:pt>
                <c:pt idx="23">
                  <c:v>0.28750000000000009</c:v>
                </c:pt>
                <c:pt idx="24">
                  <c:v>0.3000000000000001</c:v>
                </c:pt>
                <c:pt idx="25">
                  <c:v>0.31250000000000011</c:v>
                </c:pt>
                <c:pt idx="26">
                  <c:v>0.32500000000000012</c:v>
                </c:pt>
                <c:pt idx="27">
                  <c:v>0.33750000000000013</c:v>
                </c:pt>
                <c:pt idx="28">
                  <c:v>0.35000000000000014</c:v>
                </c:pt>
                <c:pt idx="29">
                  <c:v>0.36250000000000016</c:v>
                </c:pt>
                <c:pt idx="30">
                  <c:v>0.37500000000000017</c:v>
                </c:pt>
                <c:pt idx="31">
                  <c:v>0.38750000000000018</c:v>
                </c:pt>
                <c:pt idx="32">
                  <c:v>0.40000000000000019</c:v>
                </c:pt>
                <c:pt idx="33">
                  <c:v>0.4125000000000002</c:v>
                </c:pt>
                <c:pt idx="34">
                  <c:v>0.42500000000000021</c:v>
                </c:pt>
                <c:pt idx="35">
                  <c:v>0.43750000000000022</c:v>
                </c:pt>
                <c:pt idx="36">
                  <c:v>0.45000000000000023</c:v>
                </c:pt>
                <c:pt idx="37">
                  <c:v>0.46250000000000024</c:v>
                </c:pt>
                <c:pt idx="38">
                  <c:v>0.47500000000000026</c:v>
                </c:pt>
                <c:pt idx="39">
                  <c:v>0.48750000000000027</c:v>
                </c:pt>
                <c:pt idx="40">
                  <c:v>0.50000000000000022</c:v>
                </c:pt>
                <c:pt idx="41">
                  <c:v>0.51250000000000018</c:v>
                </c:pt>
                <c:pt idx="42">
                  <c:v>0.52500000000000013</c:v>
                </c:pt>
                <c:pt idx="43">
                  <c:v>0.53750000000000009</c:v>
                </c:pt>
                <c:pt idx="44">
                  <c:v>0.55000000000000004</c:v>
                </c:pt>
                <c:pt idx="45">
                  <c:v>0.5625</c:v>
                </c:pt>
                <c:pt idx="46">
                  <c:v>0.57499999999999996</c:v>
                </c:pt>
                <c:pt idx="47">
                  <c:v>0.58749999999999991</c:v>
                </c:pt>
                <c:pt idx="48">
                  <c:v>0.59999999999999987</c:v>
                </c:pt>
                <c:pt idx="49">
                  <c:v>0.61249999999999982</c:v>
                </c:pt>
                <c:pt idx="50">
                  <c:v>0.62499999999999978</c:v>
                </c:pt>
                <c:pt idx="51">
                  <c:v>0.63749999999999973</c:v>
                </c:pt>
                <c:pt idx="52">
                  <c:v>0.64999999999999969</c:v>
                </c:pt>
                <c:pt idx="53">
                  <c:v>0.66249999999999964</c:v>
                </c:pt>
                <c:pt idx="54">
                  <c:v>0.6749999999999996</c:v>
                </c:pt>
                <c:pt idx="55">
                  <c:v>0.68749999999999956</c:v>
                </c:pt>
                <c:pt idx="56">
                  <c:v>0.69999999999999951</c:v>
                </c:pt>
                <c:pt idx="57">
                  <c:v>0.71249999999999947</c:v>
                </c:pt>
                <c:pt idx="58">
                  <c:v>0.72499999999999942</c:v>
                </c:pt>
                <c:pt idx="59">
                  <c:v>0.73749999999999938</c:v>
                </c:pt>
                <c:pt idx="60">
                  <c:v>0.74999999999999933</c:v>
                </c:pt>
                <c:pt idx="61">
                  <c:v>0.76249999999999929</c:v>
                </c:pt>
                <c:pt idx="62">
                  <c:v>0.77499999999999925</c:v>
                </c:pt>
                <c:pt idx="63">
                  <c:v>0.7874999999999992</c:v>
                </c:pt>
                <c:pt idx="64">
                  <c:v>0.79999999999999916</c:v>
                </c:pt>
                <c:pt idx="65">
                  <c:v>0.81249999999999911</c:v>
                </c:pt>
                <c:pt idx="66">
                  <c:v>0.82499999999999907</c:v>
                </c:pt>
                <c:pt idx="67">
                  <c:v>0.83749999999999902</c:v>
                </c:pt>
                <c:pt idx="68">
                  <c:v>0.84999999999999898</c:v>
                </c:pt>
                <c:pt idx="69">
                  <c:v>0.86249999999999893</c:v>
                </c:pt>
                <c:pt idx="70">
                  <c:v>0.87499999999999889</c:v>
                </c:pt>
                <c:pt idx="71">
                  <c:v>0.88749999999999885</c:v>
                </c:pt>
                <c:pt idx="72">
                  <c:v>0.8999999999999988</c:v>
                </c:pt>
                <c:pt idx="73">
                  <c:v>0.91249999999999876</c:v>
                </c:pt>
                <c:pt idx="74">
                  <c:v>0.92499999999999871</c:v>
                </c:pt>
                <c:pt idx="75">
                  <c:v>0.93749999999999867</c:v>
                </c:pt>
                <c:pt idx="76">
                  <c:v>0.94999999999999862</c:v>
                </c:pt>
                <c:pt idx="77">
                  <c:v>0.96249999999999858</c:v>
                </c:pt>
                <c:pt idx="78">
                  <c:v>0.97499999999999853</c:v>
                </c:pt>
                <c:pt idx="79">
                  <c:v>0.98749999999999849</c:v>
                </c:pt>
                <c:pt idx="80">
                  <c:v>0.99999999999999845</c:v>
                </c:pt>
                <c:pt idx="81">
                  <c:v>1.0124999999999984</c:v>
                </c:pt>
                <c:pt idx="82">
                  <c:v>1.0249999999999984</c:v>
                </c:pt>
                <c:pt idx="83">
                  <c:v>1.0374999999999983</c:v>
                </c:pt>
                <c:pt idx="84">
                  <c:v>1.0499999999999983</c:v>
                </c:pt>
                <c:pt idx="85">
                  <c:v>1.0624999999999982</c:v>
                </c:pt>
                <c:pt idx="86">
                  <c:v>1.0749999999999982</c:v>
                </c:pt>
                <c:pt idx="87">
                  <c:v>1.0874999999999981</c:v>
                </c:pt>
                <c:pt idx="88">
                  <c:v>1.0999999999999981</c:v>
                </c:pt>
                <c:pt idx="89">
                  <c:v>1.112499999999998</c:v>
                </c:pt>
                <c:pt idx="90">
                  <c:v>1.124999999999998</c:v>
                </c:pt>
                <c:pt idx="91">
                  <c:v>1.137499999999998</c:v>
                </c:pt>
                <c:pt idx="92">
                  <c:v>1.1499999999999979</c:v>
                </c:pt>
                <c:pt idx="93">
                  <c:v>1.1624999999999979</c:v>
                </c:pt>
                <c:pt idx="94">
                  <c:v>1.1749999999999978</c:v>
                </c:pt>
                <c:pt idx="95">
                  <c:v>1.1874999999999978</c:v>
                </c:pt>
                <c:pt idx="96">
                  <c:v>1.1999999999999977</c:v>
                </c:pt>
                <c:pt idx="97">
                  <c:v>1.2124999999999977</c:v>
                </c:pt>
                <c:pt idx="98">
                  <c:v>1.2249999999999976</c:v>
                </c:pt>
                <c:pt idx="99">
                  <c:v>1.2374999999999976</c:v>
                </c:pt>
                <c:pt idx="100">
                  <c:v>1.2499999999999976</c:v>
                </c:pt>
                <c:pt idx="101">
                  <c:v>1.2624999999999975</c:v>
                </c:pt>
                <c:pt idx="102">
                  <c:v>1.2749999999999975</c:v>
                </c:pt>
                <c:pt idx="103">
                  <c:v>1.2874999999999974</c:v>
                </c:pt>
                <c:pt idx="104">
                  <c:v>1.2999999999999974</c:v>
                </c:pt>
                <c:pt idx="105">
                  <c:v>1.3124999999999973</c:v>
                </c:pt>
                <c:pt idx="106">
                  <c:v>1.3249999999999973</c:v>
                </c:pt>
                <c:pt idx="107">
                  <c:v>1.3374999999999972</c:v>
                </c:pt>
                <c:pt idx="108">
                  <c:v>1.3499999999999972</c:v>
                </c:pt>
                <c:pt idx="109">
                  <c:v>1.3624999999999972</c:v>
                </c:pt>
                <c:pt idx="110">
                  <c:v>1.3749999999999971</c:v>
                </c:pt>
                <c:pt idx="111">
                  <c:v>1.3874999999999971</c:v>
                </c:pt>
                <c:pt idx="112">
                  <c:v>1.399999999999997</c:v>
                </c:pt>
                <c:pt idx="113">
                  <c:v>1.412499999999997</c:v>
                </c:pt>
                <c:pt idx="114">
                  <c:v>1.4249999999999969</c:v>
                </c:pt>
                <c:pt idx="115">
                  <c:v>1.4374999999999969</c:v>
                </c:pt>
                <c:pt idx="116">
                  <c:v>1.4499999999999968</c:v>
                </c:pt>
                <c:pt idx="117">
                  <c:v>1.4624999999999968</c:v>
                </c:pt>
                <c:pt idx="118">
                  <c:v>1.4749999999999968</c:v>
                </c:pt>
                <c:pt idx="119">
                  <c:v>1.4874999999999967</c:v>
                </c:pt>
                <c:pt idx="120">
                  <c:v>1.4999999999999967</c:v>
                </c:pt>
                <c:pt idx="121">
                  <c:v>1.5124999999999966</c:v>
                </c:pt>
                <c:pt idx="122">
                  <c:v>1.5249999999999966</c:v>
                </c:pt>
                <c:pt idx="123">
                  <c:v>1.5374999999999965</c:v>
                </c:pt>
                <c:pt idx="124">
                  <c:v>1.5499999999999965</c:v>
                </c:pt>
                <c:pt idx="125">
                  <c:v>1.5624999999999964</c:v>
                </c:pt>
                <c:pt idx="126">
                  <c:v>1.5749999999999964</c:v>
                </c:pt>
                <c:pt idx="127">
                  <c:v>1.5874999999999964</c:v>
                </c:pt>
                <c:pt idx="128">
                  <c:v>1.5999999999999963</c:v>
                </c:pt>
                <c:pt idx="129">
                  <c:v>1.6124999999999963</c:v>
                </c:pt>
                <c:pt idx="130">
                  <c:v>1.6249999999999962</c:v>
                </c:pt>
                <c:pt idx="131">
                  <c:v>1.6374999999999962</c:v>
                </c:pt>
                <c:pt idx="132">
                  <c:v>1.6499999999999961</c:v>
                </c:pt>
                <c:pt idx="133">
                  <c:v>1.6624999999999961</c:v>
                </c:pt>
                <c:pt idx="134">
                  <c:v>1.674999999999996</c:v>
                </c:pt>
                <c:pt idx="135">
                  <c:v>1.687499999999996</c:v>
                </c:pt>
                <c:pt idx="136">
                  <c:v>1.699999999999996</c:v>
                </c:pt>
                <c:pt idx="137">
                  <c:v>1.7124999999999959</c:v>
                </c:pt>
                <c:pt idx="138">
                  <c:v>1.7249999999999959</c:v>
                </c:pt>
                <c:pt idx="139">
                  <c:v>1.7374999999999958</c:v>
                </c:pt>
                <c:pt idx="140">
                  <c:v>1.7499999999999958</c:v>
                </c:pt>
                <c:pt idx="141">
                  <c:v>1.7624999999999957</c:v>
                </c:pt>
                <c:pt idx="142">
                  <c:v>1.7749999999999957</c:v>
                </c:pt>
                <c:pt idx="143">
                  <c:v>1.7874999999999956</c:v>
                </c:pt>
                <c:pt idx="144">
                  <c:v>1.7999999999999956</c:v>
                </c:pt>
                <c:pt idx="145">
                  <c:v>1.8124999999999956</c:v>
                </c:pt>
                <c:pt idx="146">
                  <c:v>1.8249999999999955</c:v>
                </c:pt>
                <c:pt idx="147">
                  <c:v>1.8374999999999955</c:v>
                </c:pt>
                <c:pt idx="148">
                  <c:v>1.8499999999999954</c:v>
                </c:pt>
                <c:pt idx="149">
                  <c:v>1.8624999999999954</c:v>
                </c:pt>
                <c:pt idx="150">
                  <c:v>1.8749999999999953</c:v>
                </c:pt>
                <c:pt idx="151">
                  <c:v>1.8874999999999953</c:v>
                </c:pt>
                <c:pt idx="152">
                  <c:v>1.8999999999999952</c:v>
                </c:pt>
                <c:pt idx="153">
                  <c:v>1.9124999999999952</c:v>
                </c:pt>
                <c:pt idx="154">
                  <c:v>1.9249999999999952</c:v>
                </c:pt>
                <c:pt idx="155">
                  <c:v>1.9374999999999951</c:v>
                </c:pt>
                <c:pt idx="156">
                  <c:v>1.9499999999999951</c:v>
                </c:pt>
                <c:pt idx="157">
                  <c:v>1.962499999999995</c:v>
                </c:pt>
                <c:pt idx="158">
                  <c:v>1.974999999999995</c:v>
                </c:pt>
                <c:pt idx="159">
                  <c:v>1.9874999999999949</c:v>
                </c:pt>
                <c:pt idx="160">
                  <c:v>1.9999999999999949</c:v>
                </c:pt>
                <c:pt idx="161">
                  <c:v>2.0124999999999948</c:v>
                </c:pt>
                <c:pt idx="162">
                  <c:v>2.024999999999995</c:v>
                </c:pt>
                <c:pt idx="163">
                  <c:v>2.0374999999999952</c:v>
                </c:pt>
                <c:pt idx="164">
                  <c:v>2.0499999999999954</c:v>
                </c:pt>
                <c:pt idx="165">
                  <c:v>2.0624999999999956</c:v>
                </c:pt>
                <c:pt idx="166">
                  <c:v>2.0749999999999957</c:v>
                </c:pt>
                <c:pt idx="167">
                  <c:v>2.0874999999999959</c:v>
                </c:pt>
                <c:pt idx="168">
                  <c:v>2.0999999999999961</c:v>
                </c:pt>
                <c:pt idx="169">
                  <c:v>2.1124999999999963</c:v>
                </c:pt>
                <c:pt idx="170">
                  <c:v>2.1249999999999964</c:v>
                </c:pt>
                <c:pt idx="171">
                  <c:v>2.1374999999999966</c:v>
                </c:pt>
                <c:pt idx="172">
                  <c:v>2.1499999999999968</c:v>
                </c:pt>
                <c:pt idx="173">
                  <c:v>2.162499999999997</c:v>
                </c:pt>
                <c:pt idx="174">
                  <c:v>2.1749999999999972</c:v>
                </c:pt>
                <c:pt idx="175">
                  <c:v>2.1874999999999973</c:v>
                </c:pt>
                <c:pt idx="176">
                  <c:v>2.1999999999999975</c:v>
                </c:pt>
                <c:pt idx="177">
                  <c:v>2.2124999999999977</c:v>
                </c:pt>
                <c:pt idx="178">
                  <c:v>2.2249999999999979</c:v>
                </c:pt>
                <c:pt idx="179">
                  <c:v>2.237499999999998</c:v>
                </c:pt>
                <c:pt idx="180">
                  <c:v>2.2499999999999982</c:v>
                </c:pt>
                <c:pt idx="181">
                  <c:v>2.2624999999999984</c:v>
                </c:pt>
                <c:pt idx="182">
                  <c:v>2.2749999999999986</c:v>
                </c:pt>
                <c:pt idx="183">
                  <c:v>2.2874999999999988</c:v>
                </c:pt>
                <c:pt idx="184">
                  <c:v>2.2999999999999989</c:v>
                </c:pt>
                <c:pt idx="185">
                  <c:v>2.3124999999999991</c:v>
                </c:pt>
                <c:pt idx="186">
                  <c:v>2.3249999999999993</c:v>
                </c:pt>
                <c:pt idx="187">
                  <c:v>2.3374999999999995</c:v>
                </c:pt>
                <c:pt idx="188">
                  <c:v>2.3499999999999996</c:v>
                </c:pt>
                <c:pt idx="189">
                  <c:v>2.3624999999999998</c:v>
                </c:pt>
                <c:pt idx="190">
                  <c:v>2.375</c:v>
                </c:pt>
                <c:pt idx="191">
                  <c:v>2.3875000000000002</c:v>
                </c:pt>
                <c:pt idx="192">
                  <c:v>2.4000000000000004</c:v>
                </c:pt>
                <c:pt idx="193">
                  <c:v>2.4125000000000005</c:v>
                </c:pt>
                <c:pt idx="194">
                  <c:v>2.4250000000000007</c:v>
                </c:pt>
                <c:pt idx="195">
                  <c:v>2.4375000000000009</c:v>
                </c:pt>
                <c:pt idx="196">
                  <c:v>2.4500000000000011</c:v>
                </c:pt>
                <c:pt idx="197">
                  <c:v>2.4625000000000012</c:v>
                </c:pt>
                <c:pt idx="198">
                  <c:v>2.4750000000000014</c:v>
                </c:pt>
                <c:pt idx="199">
                  <c:v>2.4875000000000016</c:v>
                </c:pt>
                <c:pt idx="200">
                  <c:v>2.5000000000000018</c:v>
                </c:pt>
                <c:pt idx="201">
                  <c:v>2.512500000000002</c:v>
                </c:pt>
                <c:pt idx="202">
                  <c:v>2.5250000000000021</c:v>
                </c:pt>
                <c:pt idx="203">
                  <c:v>2.5375000000000023</c:v>
                </c:pt>
                <c:pt idx="204">
                  <c:v>2.5500000000000025</c:v>
                </c:pt>
                <c:pt idx="205">
                  <c:v>2.5625000000000027</c:v>
                </c:pt>
                <c:pt idx="206">
                  <c:v>2.5750000000000028</c:v>
                </c:pt>
                <c:pt idx="207">
                  <c:v>2.587500000000003</c:v>
                </c:pt>
                <c:pt idx="208">
                  <c:v>2.6000000000000032</c:v>
                </c:pt>
                <c:pt idx="209">
                  <c:v>2.6125000000000034</c:v>
                </c:pt>
                <c:pt idx="210">
                  <c:v>2.6250000000000036</c:v>
                </c:pt>
                <c:pt idx="211">
                  <c:v>2.6375000000000037</c:v>
                </c:pt>
                <c:pt idx="212">
                  <c:v>2.6500000000000039</c:v>
                </c:pt>
                <c:pt idx="213">
                  <c:v>2.6625000000000041</c:v>
                </c:pt>
                <c:pt idx="214">
                  <c:v>2.6750000000000043</c:v>
                </c:pt>
                <c:pt idx="215">
                  <c:v>2.6875000000000044</c:v>
                </c:pt>
                <c:pt idx="216">
                  <c:v>2.7000000000000046</c:v>
                </c:pt>
                <c:pt idx="217">
                  <c:v>2.7125000000000048</c:v>
                </c:pt>
                <c:pt idx="218">
                  <c:v>2.725000000000005</c:v>
                </c:pt>
                <c:pt idx="219">
                  <c:v>2.7375000000000052</c:v>
                </c:pt>
                <c:pt idx="220">
                  <c:v>2.7500000000000053</c:v>
                </c:pt>
                <c:pt idx="221">
                  <c:v>2.7625000000000055</c:v>
                </c:pt>
                <c:pt idx="222">
                  <c:v>2.7750000000000057</c:v>
                </c:pt>
                <c:pt idx="223">
                  <c:v>2.7875000000000059</c:v>
                </c:pt>
                <c:pt idx="224">
                  <c:v>2.800000000000006</c:v>
                </c:pt>
                <c:pt idx="225">
                  <c:v>2.8125000000000062</c:v>
                </c:pt>
                <c:pt idx="226">
                  <c:v>2.8250000000000064</c:v>
                </c:pt>
                <c:pt idx="227">
                  <c:v>2.8375000000000066</c:v>
                </c:pt>
                <c:pt idx="228">
                  <c:v>2.8500000000000068</c:v>
                </c:pt>
                <c:pt idx="229">
                  <c:v>2.8625000000000069</c:v>
                </c:pt>
                <c:pt idx="230">
                  <c:v>2.8750000000000071</c:v>
                </c:pt>
                <c:pt idx="231">
                  <c:v>2.8875000000000073</c:v>
                </c:pt>
                <c:pt idx="232">
                  <c:v>2.9000000000000075</c:v>
                </c:pt>
                <c:pt idx="233">
                  <c:v>2.9125000000000076</c:v>
                </c:pt>
                <c:pt idx="234">
                  <c:v>2.9250000000000078</c:v>
                </c:pt>
                <c:pt idx="235">
                  <c:v>2.937500000000008</c:v>
                </c:pt>
                <c:pt idx="236">
                  <c:v>2.9500000000000082</c:v>
                </c:pt>
                <c:pt idx="237">
                  <c:v>2.9625000000000083</c:v>
                </c:pt>
                <c:pt idx="238">
                  <c:v>2.9750000000000085</c:v>
                </c:pt>
                <c:pt idx="239">
                  <c:v>2.9875000000000087</c:v>
                </c:pt>
                <c:pt idx="240">
                  <c:v>3.0000000000000089</c:v>
                </c:pt>
                <c:pt idx="241">
                  <c:v>3.0125000000000091</c:v>
                </c:pt>
                <c:pt idx="242">
                  <c:v>3.0250000000000092</c:v>
                </c:pt>
                <c:pt idx="243">
                  <c:v>3.0375000000000094</c:v>
                </c:pt>
                <c:pt idx="244">
                  <c:v>3.0500000000000096</c:v>
                </c:pt>
                <c:pt idx="245">
                  <c:v>3.0625000000000098</c:v>
                </c:pt>
                <c:pt idx="246">
                  <c:v>3.0750000000000099</c:v>
                </c:pt>
                <c:pt idx="247">
                  <c:v>3.0875000000000101</c:v>
                </c:pt>
                <c:pt idx="248">
                  <c:v>3.1000000000000103</c:v>
                </c:pt>
                <c:pt idx="249">
                  <c:v>3.1125000000000105</c:v>
                </c:pt>
                <c:pt idx="250">
                  <c:v>3.1250000000000107</c:v>
                </c:pt>
                <c:pt idx="251">
                  <c:v>3.1375000000000108</c:v>
                </c:pt>
                <c:pt idx="252">
                  <c:v>3.150000000000011</c:v>
                </c:pt>
                <c:pt idx="253">
                  <c:v>3.1625000000000112</c:v>
                </c:pt>
                <c:pt idx="254">
                  <c:v>3.1750000000000114</c:v>
                </c:pt>
                <c:pt idx="255">
                  <c:v>3.1875000000000115</c:v>
                </c:pt>
                <c:pt idx="256">
                  <c:v>3.2000000000000117</c:v>
                </c:pt>
                <c:pt idx="257">
                  <c:v>3.2125000000000119</c:v>
                </c:pt>
                <c:pt idx="258">
                  <c:v>3.2250000000000121</c:v>
                </c:pt>
                <c:pt idx="259">
                  <c:v>3.2375000000000123</c:v>
                </c:pt>
                <c:pt idx="260">
                  <c:v>3.2500000000000124</c:v>
                </c:pt>
                <c:pt idx="261">
                  <c:v>3.2625000000000126</c:v>
                </c:pt>
                <c:pt idx="262">
                  <c:v>3.2750000000000128</c:v>
                </c:pt>
                <c:pt idx="263">
                  <c:v>3.287500000000013</c:v>
                </c:pt>
                <c:pt idx="264">
                  <c:v>3.3000000000000131</c:v>
                </c:pt>
                <c:pt idx="265">
                  <c:v>3.3125000000000133</c:v>
                </c:pt>
                <c:pt idx="266">
                  <c:v>3.3250000000000135</c:v>
                </c:pt>
                <c:pt idx="267">
                  <c:v>3.3375000000000137</c:v>
                </c:pt>
                <c:pt idx="268">
                  <c:v>3.3500000000000139</c:v>
                </c:pt>
                <c:pt idx="269">
                  <c:v>3.362500000000014</c:v>
                </c:pt>
                <c:pt idx="270">
                  <c:v>3.3750000000000142</c:v>
                </c:pt>
                <c:pt idx="271">
                  <c:v>3.3875000000000144</c:v>
                </c:pt>
                <c:pt idx="272">
                  <c:v>3.4000000000000146</c:v>
                </c:pt>
                <c:pt idx="273">
                  <c:v>3.4125000000000147</c:v>
                </c:pt>
                <c:pt idx="274">
                  <c:v>3.4250000000000149</c:v>
                </c:pt>
                <c:pt idx="275">
                  <c:v>3.4375000000000151</c:v>
                </c:pt>
                <c:pt idx="276">
                  <c:v>3.4500000000000153</c:v>
                </c:pt>
                <c:pt idx="277">
                  <c:v>3.4625000000000155</c:v>
                </c:pt>
                <c:pt idx="278">
                  <c:v>3.4750000000000156</c:v>
                </c:pt>
                <c:pt idx="279">
                  <c:v>3.4875000000000158</c:v>
                </c:pt>
                <c:pt idx="280">
                  <c:v>3.500000000000016</c:v>
                </c:pt>
                <c:pt idx="281">
                  <c:v>3.5125000000000162</c:v>
                </c:pt>
                <c:pt idx="282">
                  <c:v>3.5250000000000163</c:v>
                </c:pt>
                <c:pt idx="283">
                  <c:v>3.5375000000000165</c:v>
                </c:pt>
                <c:pt idx="284">
                  <c:v>3.5500000000000167</c:v>
                </c:pt>
                <c:pt idx="285">
                  <c:v>3.5625000000000169</c:v>
                </c:pt>
                <c:pt idx="286">
                  <c:v>3.5750000000000171</c:v>
                </c:pt>
                <c:pt idx="287">
                  <c:v>3.5875000000000172</c:v>
                </c:pt>
                <c:pt idx="288">
                  <c:v>3.6000000000000174</c:v>
                </c:pt>
                <c:pt idx="289">
                  <c:v>3.6125000000000176</c:v>
                </c:pt>
                <c:pt idx="290">
                  <c:v>3.6250000000000178</c:v>
                </c:pt>
                <c:pt idx="291">
                  <c:v>3.6375000000000179</c:v>
                </c:pt>
                <c:pt idx="292">
                  <c:v>3.6500000000000181</c:v>
                </c:pt>
                <c:pt idx="293">
                  <c:v>3.6625000000000183</c:v>
                </c:pt>
                <c:pt idx="294">
                  <c:v>3.6750000000000185</c:v>
                </c:pt>
                <c:pt idx="295">
                  <c:v>3.6875000000000187</c:v>
                </c:pt>
                <c:pt idx="296">
                  <c:v>3.7000000000000188</c:v>
                </c:pt>
                <c:pt idx="297">
                  <c:v>3.712500000000019</c:v>
                </c:pt>
                <c:pt idx="298">
                  <c:v>3.7250000000000192</c:v>
                </c:pt>
                <c:pt idx="299">
                  <c:v>3.7375000000000194</c:v>
                </c:pt>
                <c:pt idx="300">
                  <c:v>3.7500000000000195</c:v>
                </c:pt>
                <c:pt idx="301">
                  <c:v>3.7625000000000197</c:v>
                </c:pt>
                <c:pt idx="302">
                  <c:v>3.7750000000000199</c:v>
                </c:pt>
                <c:pt idx="303">
                  <c:v>3.7875000000000201</c:v>
                </c:pt>
                <c:pt idx="304">
                  <c:v>3.8000000000000203</c:v>
                </c:pt>
                <c:pt idx="305">
                  <c:v>3.8125000000000204</c:v>
                </c:pt>
                <c:pt idx="306">
                  <c:v>3.8250000000000206</c:v>
                </c:pt>
                <c:pt idx="307">
                  <c:v>3.8375000000000208</c:v>
                </c:pt>
                <c:pt idx="308">
                  <c:v>3.850000000000021</c:v>
                </c:pt>
                <c:pt idx="309">
                  <c:v>3.8625000000000211</c:v>
                </c:pt>
                <c:pt idx="310">
                  <c:v>3.8750000000000213</c:v>
                </c:pt>
                <c:pt idx="311">
                  <c:v>3.8875000000000215</c:v>
                </c:pt>
                <c:pt idx="312">
                  <c:v>3.9000000000000217</c:v>
                </c:pt>
                <c:pt idx="313">
                  <c:v>3.9125000000000218</c:v>
                </c:pt>
                <c:pt idx="314">
                  <c:v>3.925000000000022</c:v>
                </c:pt>
                <c:pt idx="315">
                  <c:v>3.9375000000000222</c:v>
                </c:pt>
                <c:pt idx="316">
                  <c:v>3.9500000000000224</c:v>
                </c:pt>
                <c:pt idx="317">
                  <c:v>3.9625000000000226</c:v>
                </c:pt>
                <c:pt idx="318">
                  <c:v>3.9750000000000227</c:v>
                </c:pt>
                <c:pt idx="319">
                  <c:v>3.9875000000000229</c:v>
                </c:pt>
                <c:pt idx="320">
                  <c:v>4.0000000000000231</c:v>
                </c:pt>
                <c:pt idx="321">
                  <c:v>4.0125000000000233</c:v>
                </c:pt>
                <c:pt idx="322">
                  <c:v>4.0250000000000234</c:v>
                </c:pt>
                <c:pt idx="323">
                  <c:v>4.0375000000000236</c:v>
                </c:pt>
                <c:pt idx="324">
                  <c:v>4.0500000000000238</c:v>
                </c:pt>
                <c:pt idx="325">
                  <c:v>4.062500000000024</c:v>
                </c:pt>
                <c:pt idx="326">
                  <c:v>4.0750000000000242</c:v>
                </c:pt>
                <c:pt idx="327">
                  <c:v>4.0875000000000243</c:v>
                </c:pt>
                <c:pt idx="328">
                  <c:v>4.1000000000000245</c:v>
                </c:pt>
                <c:pt idx="329">
                  <c:v>4.1125000000000247</c:v>
                </c:pt>
                <c:pt idx="330">
                  <c:v>4.1250000000000249</c:v>
                </c:pt>
                <c:pt idx="331">
                  <c:v>4.137500000000025</c:v>
                </c:pt>
                <c:pt idx="332">
                  <c:v>4.1500000000000252</c:v>
                </c:pt>
                <c:pt idx="333">
                  <c:v>4.1625000000000254</c:v>
                </c:pt>
                <c:pt idx="334">
                  <c:v>4.1750000000000256</c:v>
                </c:pt>
                <c:pt idx="335">
                  <c:v>4.1875000000000258</c:v>
                </c:pt>
                <c:pt idx="336">
                  <c:v>4.2000000000000259</c:v>
                </c:pt>
                <c:pt idx="337">
                  <c:v>4.2125000000000261</c:v>
                </c:pt>
                <c:pt idx="338">
                  <c:v>4.2250000000000263</c:v>
                </c:pt>
                <c:pt idx="339">
                  <c:v>4.2375000000000265</c:v>
                </c:pt>
                <c:pt idx="340">
                  <c:v>4.2500000000000266</c:v>
                </c:pt>
                <c:pt idx="341">
                  <c:v>4.2625000000000268</c:v>
                </c:pt>
                <c:pt idx="342">
                  <c:v>4.275000000000027</c:v>
                </c:pt>
                <c:pt idx="343">
                  <c:v>4.2875000000000272</c:v>
                </c:pt>
                <c:pt idx="344">
                  <c:v>4.3000000000000274</c:v>
                </c:pt>
                <c:pt idx="345">
                  <c:v>4.3125000000000275</c:v>
                </c:pt>
                <c:pt idx="346">
                  <c:v>4.3250000000000277</c:v>
                </c:pt>
                <c:pt idx="347">
                  <c:v>4.3375000000000279</c:v>
                </c:pt>
                <c:pt idx="348">
                  <c:v>4.3500000000000281</c:v>
                </c:pt>
                <c:pt idx="349">
                  <c:v>4.3625000000000282</c:v>
                </c:pt>
                <c:pt idx="350">
                  <c:v>4.3750000000000284</c:v>
                </c:pt>
                <c:pt idx="351">
                  <c:v>4.3875000000000286</c:v>
                </c:pt>
                <c:pt idx="352">
                  <c:v>4.4000000000000288</c:v>
                </c:pt>
                <c:pt idx="353">
                  <c:v>4.412500000000029</c:v>
                </c:pt>
                <c:pt idx="354">
                  <c:v>4.4250000000000291</c:v>
                </c:pt>
                <c:pt idx="355">
                  <c:v>4.4375000000000293</c:v>
                </c:pt>
                <c:pt idx="356">
                  <c:v>4.4500000000000295</c:v>
                </c:pt>
                <c:pt idx="357">
                  <c:v>4.4625000000000297</c:v>
                </c:pt>
                <c:pt idx="358">
                  <c:v>4.4750000000000298</c:v>
                </c:pt>
                <c:pt idx="359">
                  <c:v>4.48750000000003</c:v>
                </c:pt>
                <c:pt idx="360">
                  <c:v>4.5000000000000302</c:v>
                </c:pt>
                <c:pt idx="361">
                  <c:v>4.5125000000000304</c:v>
                </c:pt>
                <c:pt idx="362">
                  <c:v>4.5250000000000306</c:v>
                </c:pt>
                <c:pt idx="363">
                  <c:v>4.5375000000000307</c:v>
                </c:pt>
                <c:pt idx="364">
                  <c:v>4.5500000000000309</c:v>
                </c:pt>
                <c:pt idx="365">
                  <c:v>4.5625000000000311</c:v>
                </c:pt>
                <c:pt idx="366">
                  <c:v>4.5750000000000313</c:v>
                </c:pt>
                <c:pt idx="367">
                  <c:v>4.5875000000000314</c:v>
                </c:pt>
                <c:pt idx="368">
                  <c:v>4.6000000000000316</c:v>
                </c:pt>
                <c:pt idx="369">
                  <c:v>4.6125000000000318</c:v>
                </c:pt>
                <c:pt idx="370">
                  <c:v>4.625000000000032</c:v>
                </c:pt>
                <c:pt idx="371">
                  <c:v>4.6375000000000322</c:v>
                </c:pt>
                <c:pt idx="372">
                  <c:v>4.6500000000000323</c:v>
                </c:pt>
                <c:pt idx="373">
                  <c:v>4.6625000000000325</c:v>
                </c:pt>
                <c:pt idx="374">
                  <c:v>4.6750000000000327</c:v>
                </c:pt>
                <c:pt idx="375">
                  <c:v>4.6875000000000329</c:v>
                </c:pt>
                <c:pt idx="376">
                  <c:v>4.700000000000033</c:v>
                </c:pt>
                <c:pt idx="377">
                  <c:v>4.7125000000000332</c:v>
                </c:pt>
                <c:pt idx="378">
                  <c:v>4.7250000000000334</c:v>
                </c:pt>
                <c:pt idx="379">
                  <c:v>4.7375000000000336</c:v>
                </c:pt>
                <c:pt idx="380">
                  <c:v>4.7500000000000338</c:v>
                </c:pt>
                <c:pt idx="381">
                  <c:v>4.7625000000000339</c:v>
                </c:pt>
                <c:pt idx="382">
                  <c:v>4.7750000000000341</c:v>
                </c:pt>
                <c:pt idx="383">
                  <c:v>4.7875000000000343</c:v>
                </c:pt>
                <c:pt idx="384">
                  <c:v>4.8000000000000345</c:v>
                </c:pt>
                <c:pt idx="385">
                  <c:v>4.8125000000000346</c:v>
                </c:pt>
                <c:pt idx="386">
                  <c:v>4.8250000000000348</c:v>
                </c:pt>
                <c:pt idx="387">
                  <c:v>4.837500000000035</c:v>
                </c:pt>
                <c:pt idx="388">
                  <c:v>4.8500000000000352</c:v>
                </c:pt>
                <c:pt idx="389">
                  <c:v>4.8625000000000353</c:v>
                </c:pt>
                <c:pt idx="390">
                  <c:v>4.8750000000000355</c:v>
                </c:pt>
                <c:pt idx="391">
                  <c:v>4.8875000000000357</c:v>
                </c:pt>
                <c:pt idx="392">
                  <c:v>4.9000000000000359</c:v>
                </c:pt>
                <c:pt idx="393">
                  <c:v>4.9125000000000361</c:v>
                </c:pt>
                <c:pt idx="394">
                  <c:v>4.9250000000000362</c:v>
                </c:pt>
                <c:pt idx="395">
                  <c:v>4.9375000000000364</c:v>
                </c:pt>
                <c:pt idx="396">
                  <c:v>4.9500000000000366</c:v>
                </c:pt>
                <c:pt idx="397">
                  <c:v>4.9625000000000368</c:v>
                </c:pt>
                <c:pt idx="398">
                  <c:v>4.9750000000000369</c:v>
                </c:pt>
                <c:pt idx="399">
                  <c:v>4.9875000000000371</c:v>
                </c:pt>
                <c:pt idx="400">
                  <c:v>5.0000000000000373</c:v>
                </c:pt>
                <c:pt idx="401">
                  <c:v>5.0000000000000373</c:v>
                </c:pt>
                <c:pt idx="402">
                  <c:v>5.0125000000000375</c:v>
                </c:pt>
                <c:pt idx="403">
                  <c:v>5.0250000000000377</c:v>
                </c:pt>
                <c:pt idx="404">
                  <c:v>5.0375000000000369</c:v>
                </c:pt>
                <c:pt idx="405">
                  <c:v>5.0500000000000371</c:v>
                </c:pt>
                <c:pt idx="406">
                  <c:v>5.0625000000000373</c:v>
                </c:pt>
                <c:pt idx="407">
                  <c:v>5.0750000000000375</c:v>
                </c:pt>
                <c:pt idx="408">
                  <c:v>5.0875000000000377</c:v>
                </c:pt>
                <c:pt idx="409">
                  <c:v>5.1000000000000369</c:v>
                </c:pt>
                <c:pt idx="410">
                  <c:v>5.1125000000000371</c:v>
                </c:pt>
                <c:pt idx="411">
                  <c:v>5.1250000000000373</c:v>
                </c:pt>
                <c:pt idx="412">
                  <c:v>5.1375000000000375</c:v>
                </c:pt>
                <c:pt idx="413">
                  <c:v>5.1500000000000377</c:v>
                </c:pt>
                <c:pt idx="414">
                  <c:v>5.1625000000000369</c:v>
                </c:pt>
                <c:pt idx="415">
                  <c:v>5.1750000000000371</c:v>
                </c:pt>
                <c:pt idx="416">
                  <c:v>5.1875000000000373</c:v>
                </c:pt>
                <c:pt idx="417">
                  <c:v>5.2000000000000375</c:v>
                </c:pt>
                <c:pt idx="418">
                  <c:v>5.2125000000000377</c:v>
                </c:pt>
                <c:pt idx="419">
                  <c:v>5.2250000000000369</c:v>
                </c:pt>
                <c:pt idx="420">
                  <c:v>5.2375000000000371</c:v>
                </c:pt>
                <c:pt idx="421">
                  <c:v>5.2500000000000373</c:v>
                </c:pt>
                <c:pt idx="422">
                  <c:v>5.2625000000000375</c:v>
                </c:pt>
                <c:pt idx="423">
                  <c:v>5.2750000000000377</c:v>
                </c:pt>
                <c:pt idx="424">
                  <c:v>5.2875000000000369</c:v>
                </c:pt>
                <c:pt idx="425">
                  <c:v>5.3000000000000371</c:v>
                </c:pt>
                <c:pt idx="426">
                  <c:v>5.3125000000000373</c:v>
                </c:pt>
                <c:pt idx="427">
                  <c:v>5.3250000000000375</c:v>
                </c:pt>
                <c:pt idx="428">
                  <c:v>5.3375000000000377</c:v>
                </c:pt>
                <c:pt idx="429">
                  <c:v>5.3500000000000378</c:v>
                </c:pt>
                <c:pt idx="430">
                  <c:v>5.3625000000000371</c:v>
                </c:pt>
                <c:pt idx="431">
                  <c:v>5.3750000000000373</c:v>
                </c:pt>
                <c:pt idx="432">
                  <c:v>5.3875000000000375</c:v>
                </c:pt>
                <c:pt idx="433">
                  <c:v>5.4000000000000377</c:v>
                </c:pt>
                <c:pt idx="434">
                  <c:v>5.4125000000000378</c:v>
                </c:pt>
                <c:pt idx="435">
                  <c:v>5.4250000000000371</c:v>
                </c:pt>
                <c:pt idx="436">
                  <c:v>5.4375000000000373</c:v>
                </c:pt>
                <c:pt idx="437">
                  <c:v>5.4500000000000375</c:v>
                </c:pt>
                <c:pt idx="438">
                  <c:v>5.4625000000000377</c:v>
                </c:pt>
                <c:pt idx="439">
                  <c:v>5.4750000000000378</c:v>
                </c:pt>
                <c:pt idx="440">
                  <c:v>5.487500000000038</c:v>
                </c:pt>
                <c:pt idx="441">
                  <c:v>5.5000000000000373</c:v>
                </c:pt>
                <c:pt idx="442">
                  <c:v>5.5125000000000375</c:v>
                </c:pt>
                <c:pt idx="443">
                  <c:v>5.5250000000000377</c:v>
                </c:pt>
                <c:pt idx="444">
                  <c:v>5.5375000000000369</c:v>
                </c:pt>
                <c:pt idx="445">
                  <c:v>5.5500000000000371</c:v>
                </c:pt>
                <c:pt idx="446">
                  <c:v>5.5625000000000373</c:v>
                </c:pt>
                <c:pt idx="447">
                  <c:v>5.5750000000000375</c:v>
                </c:pt>
                <c:pt idx="448">
                  <c:v>5.5875000000000377</c:v>
                </c:pt>
                <c:pt idx="449">
                  <c:v>5.6000000000000369</c:v>
                </c:pt>
                <c:pt idx="450">
                  <c:v>5.6125000000000371</c:v>
                </c:pt>
                <c:pt idx="451">
                  <c:v>5.6250000000000373</c:v>
                </c:pt>
                <c:pt idx="452">
                  <c:v>5.6375000000000366</c:v>
                </c:pt>
                <c:pt idx="453">
                  <c:v>5.6500000000000368</c:v>
                </c:pt>
                <c:pt idx="454">
                  <c:v>5.6625000000000369</c:v>
                </c:pt>
                <c:pt idx="455">
                  <c:v>5.6750000000000371</c:v>
                </c:pt>
                <c:pt idx="456">
                  <c:v>5.6875000000000373</c:v>
                </c:pt>
                <c:pt idx="457">
                  <c:v>5.7000000000000366</c:v>
                </c:pt>
                <c:pt idx="458">
                  <c:v>5.7125000000000368</c:v>
                </c:pt>
                <c:pt idx="459">
                  <c:v>5.7250000000000369</c:v>
                </c:pt>
                <c:pt idx="460">
                  <c:v>5.7375000000000362</c:v>
                </c:pt>
                <c:pt idx="461">
                  <c:v>5.7500000000000364</c:v>
                </c:pt>
                <c:pt idx="462">
                  <c:v>5.7625000000000366</c:v>
                </c:pt>
                <c:pt idx="463">
                  <c:v>5.7750000000000368</c:v>
                </c:pt>
                <c:pt idx="464">
                  <c:v>5.7875000000000369</c:v>
                </c:pt>
                <c:pt idx="465">
                  <c:v>5.8000000000000362</c:v>
                </c:pt>
                <c:pt idx="466">
                  <c:v>5.8125000000000364</c:v>
                </c:pt>
                <c:pt idx="467">
                  <c:v>5.8250000000000366</c:v>
                </c:pt>
                <c:pt idx="468">
                  <c:v>5.8375000000000359</c:v>
                </c:pt>
                <c:pt idx="469">
                  <c:v>5.8500000000000361</c:v>
                </c:pt>
                <c:pt idx="470">
                  <c:v>5.8625000000000362</c:v>
                </c:pt>
                <c:pt idx="471">
                  <c:v>5.8750000000000364</c:v>
                </c:pt>
                <c:pt idx="472">
                  <c:v>5.8875000000000366</c:v>
                </c:pt>
                <c:pt idx="473">
                  <c:v>5.9000000000000359</c:v>
                </c:pt>
                <c:pt idx="474">
                  <c:v>5.9125000000000361</c:v>
                </c:pt>
                <c:pt idx="475">
                  <c:v>5.9250000000000362</c:v>
                </c:pt>
                <c:pt idx="476">
                  <c:v>5.9375000000000355</c:v>
                </c:pt>
                <c:pt idx="477">
                  <c:v>5.9500000000000357</c:v>
                </c:pt>
                <c:pt idx="478">
                  <c:v>5.9625000000000359</c:v>
                </c:pt>
                <c:pt idx="479">
                  <c:v>5.9750000000000361</c:v>
                </c:pt>
                <c:pt idx="480">
                  <c:v>5.9875000000000362</c:v>
                </c:pt>
                <c:pt idx="481">
                  <c:v>6.0000000000000355</c:v>
                </c:pt>
                <c:pt idx="482">
                  <c:v>6.0125000000000357</c:v>
                </c:pt>
                <c:pt idx="483">
                  <c:v>6.0250000000000359</c:v>
                </c:pt>
                <c:pt idx="484">
                  <c:v>6.0375000000000352</c:v>
                </c:pt>
                <c:pt idx="485">
                  <c:v>6.0500000000000353</c:v>
                </c:pt>
                <c:pt idx="486">
                  <c:v>6.0625000000000355</c:v>
                </c:pt>
                <c:pt idx="487">
                  <c:v>6.0750000000000357</c:v>
                </c:pt>
                <c:pt idx="488">
                  <c:v>6.0875000000000359</c:v>
                </c:pt>
                <c:pt idx="489">
                  <c:v>6.1000000000000352</c:v>
                </c:pt>
                <c:pt idx="490">
                  <c:v>6.1125000000000353</c:v>
                </c:pt>
                <c:pt idx="491">
                  <c:v>6.1250000000000355</c:v>
                </c:pt>
                <c:pt idx="492">
                  <c:v>6.1375000000000348</c:v>
                </c:pt>
                <c:pt idx="493">
                  <c:v>6.150000000000035</c:v>
                </c:pt>
                <c:pt idx="494">
                  <c:v>6.1625000000000352</c:v>
                </c:pt>
                <c:pt idx="495">
                  <c:v>6.1750000000000353</c:v>
                </c:pt>
                <c:pt idx="496">
                  <c:v>6.1875000000000355</c:v>
                </c:pt>
                <c:pt idx="497">
                  <c:v>6.2000000000000348</c:v>
                </c:pt>
                <c:pt idx="498">
                  <c:v>6.212500000000035</c:v>
                </c:pt>
                <c:pt idx="499">
                  <c:v>6.2250000000000352</c:v>
                </c:pt>
                <c:pt idx="500">
                  <c:v>6.2375000000000345</c:v>
                </c:pt>
                <c:pt idx="501">
                  <c:v>6.2500000000000346</c:v>
                </c:pt>
                <c:pt idx="502">
                  <c:v>6.2625000000000348</c:v>
                </c:pt>
                <c:pt idx="503">
                  <c:v>6.275000000000035</c:v>
                </c:pt>
                <c:pt idx="504">
                  <c:v>6.2875000000000352</c:v>
                </c:pt>
                <c:pt idx="505">
                  <c:v>6.3000000000000345</c:v>
                </c:pt>
                <c:pt idx="506">
                  <c:v>6.3125000000000346</c:v>
                </c:pt>
                <c:pt idx="507">
                  <c:v>6.3250000000000348</c:v>
                </c:pt>
                <c:pt idx="508">
                  <c:v>6.3375000000000341</c:v>
                </c:pt>
                <c:pt idx="509">
                  <c:v>6.3500000000000343</c:v>
                </c:pt>
                <c:pt idx="510">
                  <c:v>6.3625000000000345</c:v>
                </c:pt>
                <c:pt idx="511">
                  <c:v>6.3750000000000346</c:v>
                </c:pt>
                <c:pt idx="512">
                  <c:v>6.3875000000000348</c:v>
                </c:pt>
                <c:pt idx="513">
                  <c:v>6.4000000000000341</c:v>
                </c:pt>
                <c:pt idx="514">
                  <c:v>6.4125000000000343</c:v>
                </c:pt>
                <c:pt idx="515">
                  <c:v>6.4250000000000345</c:v>
                </c:pt>
                <c:pt idx="516">
                  <c:v>6.4375000000000338</c:v>
                </c:pt>
                <c:pt idx="517">
                  <c:v>6.4500000000000339</c:v>
                </c:pt>
                <c:pt idx="518">
                  <c:v>6.4625000000000341</c:v>
                </c:pt>
                <c:pt idx="519">
                  <c:v>6.4750000000000343</c:v>
                </c:pt>
                <c:pt idx="520">
                  <c:v>6.4875000000000345</c:v>
                </c:pt>
                <c:pt idx="521">
                  <c:v>6.5000000000000338</c:v>
                </c:pt>
                <c:pt idx="522">
                  <c:v>6.5125000000000339</c:v>
                </c:pt>
                <c:pt idx="523">
                  <c:v>6.5250000000000341</c:v>
                </c:pt>
                <c:pt idx="524">
                  <c:v>6.5375000000000334</c:v>
                </c:pt>
                <c:pt idx="525">
                  <c:v>6.5500000000000336</c:v>
                </c:pt>
                <c:pt idx="526">
                  <c:v>6.5625000000000338</c:v>
                </c:pt>
                <c:pt idx="527">
                  <c:v>6.5750000000000339</c:v>
                </c:pt>
                <c:pt idx="528">
                  <c:v>6.5875000000000341</c:v>
                </c:pt>
                <c:pt idx="529">
                  <c:v>6.6000000000000334</c:v>
                </c:pt>
                <c:pt idx="530">
                  <c:v>6.6125000000000336</c:v>
                </c:pt>
                <c:pt idx="531">
                  <c:v>6.6250000000000338</c:v>
                </c:pt>
                <c:pt idx="532">
                  <c:v>6.637500000000033</c:v>
                </c:pt>
                <c:pt idx="533">
                  <c:v>6.6500000000000332</c:v>
                </c:pt>
                <c:pt idx="534">
                  <c:v>6.6625000000000334</c:v>
                </c:pt>
                <c:pt idx="535">
                  <c:v>6.6750000000000336</c:v>
                </c:pt>
                <c:pt idx="536">
                  <c:v>6.6875000000000338</c:v>
                </c:pt>
                <c:pt idx="537">
                  <c:v>6.700000000000033</c:v>
                </c:pt>
                <c:pt idx="538">
                  <c:v>6.7125000000000332</c:v>
                </c:pt>
                <c:pt idx="539">
                  <c:v>6.7250000000000334</c:v>
                </c:pt>
                <c:pt idx="540">
                  <c:v>6.7375000000000327</c:v>
                </c:pt>
                <c:pt idx="541">
                  <c:v>6.7500000000000329</c:v>
                </c:pt>
                <c:pt idx="542">
                  <c:v>6.762500000000033</c:v>
                </c:pt>
                <c:pt idx="543">
                  <c:v>6.7750000000000332</c:v>
                </c:pt>
                <c:pt idx="544">
                  <c:v>6.7875000000000334</c:v>
                </c:pt>
                <c:pt idx="545">
                  <c:v>6.8000000000000327</c:v>
                </c:pt>
                <c:pt idx="546">
                  <c:v>6.8125000000000329</c:v>
                </c:pt>
                <c:pt idx="547">
                  <c:v>6.825000000000033</c:v>
                </c:pt>
                <c:pt idx="548">
                  <c:v>6.8375000000000323</c:v>
                </c:pt>
                <c:pt idx="549">
                  <c:v>6.8500000000000325</c:v>
                </c:pt>
                <c:pt idx="550">
                  <c:v>6.8625000000000327</c:v>
                </c:pt>
                <c:pt idx="551">
                  <c:v>6.8750000000000329</c:v>
                </c:pt>
                <c:pt idx="552">
                  <c:v>6.887500000000033</c:v>
                </c:pt>
                <c:pt idx="553">
                  <c:v>6.9000000000000323</c:v>
                </c:pt>
                <c:pt idx="554">
                  <c:v>6.9125000000000325</c:v>
                </c:pt>
                <c:pt idx="555">
                  <c:v>6.9250000000000327</c:v>
                </c:pt>
                <c:pt idx="556">
                  <c:v>6.937500000000032</c:v>
                </c:pt>
                <c:pt idx="557">
                  <c:v>6.9500000000000322</c:v>
                </c:pt>
                <c:pt idx="558">
                  <c:v>6.9625000000000323</c:v>
                </c:pt>
                <c:pt idx="559">
                  <c:v>6.9750000000000325</c:v>
                </c:pt>
                <c:pt idx="560">
                  <c:v>6.9875000000000327</c:v>
                </c:pt>
                <c:pt idx="561">
                  <c:v>7.000000000000032</c:v>
                </c:pt>
                <c:pt idx="562">
                  <c:v>7.0125000000000322</c:v>
                </c:pt>
                <c:pt idx="563">
                  <c:v>7.0250000000000323</c:v>
                </c:pt>
                <c:pt idx="564">
                  <c:v>7.0375000000000325</c:v>
                </c:pt>
                <c:pt idx="565">
                  <c:v>7.0500000000000327</c:v>
                </c:pt>
                <c:pt idx="566">
                  <c:v>7.0625000000000329</c:v>
                </c:pt>
                <c:pt idx="567">
                  <c:v>7.075000000000033</c:v>
                </c:pt>
                <c:pt idx="568">
                  <c:v>7.0875000000000332</c:v>
                </c:pt>
                <c:pt idx="569">
                  <c:v>7.1000000000000334</c:v>
                </c:pt>
                <c:pt idx="570">
                  <c:v>7.1125000000000336</c:v>
                </c:pt>
                <c:pt idx="571">
                  <c:v>7.1250000000000338</c:v>
                </c:pt>
                <c:pt idx="572">
                  <c:v>7.1375000000000339</c:v>
                </c:pt>
                <c:pt idx="573">
                  <c:v>7.1500000000000341</c:v>
                </c:pt>
                <c:pt idx="574">
                  <c:v>7.1625000000000343</c:v>
                </c:pt>
                <c:pt idx="575">
                  <c:v>7.1750000000000345</c:v>
                </c:pt>
                <c:pt idx="576">
                  <c:v>7.1875000000000346</c:v>
                </c:pt>
                <c:pt idx="577">
                  <c:v>7.2000000000000348</c:v>
                </c:pt>
                <c:pt idx="578">
                  <c:v>7.212500000000035</c:v>
                </c:pt>
                <c:pt idx="579">
                  <c:v>7.2250000000000352</c:v>
                </c:pt>
                <c:pt idx="580">
                  <c:v>7.2375000000000353</c:v>
                </c:pt>
                <c:pt idx="581">
                  <c:v>7.2500000000000355</c:v>
                </c:pt>
                <c:pt idx="582">
                  <c:v>7.2625000000000357</c:v>
                </c:pt>
                <c:pt idx="583">
                  <c:v>7.2750000000000359</c:v>
                </c:pt>
                <c:pt idx="584">
                  <c:v>7.2875000000000361</c:v>
                </c:pt>
                <c:pt idx="585">
                  <c:v>7.3000000000000362</c:v>
                </c:pt>
                <c:pt idx="586">
                  <c:v>7.3125000000000364</c:v>
                </c:pt>
                <c:pt idx="587">
                  <c:v>7.3250000000000366</c:v>
                </c:pt>
                <c:pt idx="588">
                  <c:v>7.3375000000000368</c:v>
                </c:pt>
                <c:pt idx="589">
                  <c:v>7.3500000000000369</c:v>
                </c:pt>
                <c:pt idx="590">
                  <c:v>7.3625000000000371</c:v>
                </c:pt>
                <c:pt idx="591">
                  <c:v>7.3750000000000373</c:v>
                </c:pt>
                <c:pt idx="592">
                  <c:v>7.3875000000000375</c:v>
                </c:pt>
                <c:pt idx="593">
                  <c:v>7.4000000000000377</c:v>
                </c:pt>
                <c:pt idx="594">
                  <c:v>7.4125000000000378</c:v>
                </c:pt>
                <c:pt idx="595">
                  <c:v>7.425000000000038</c:v>
                </c:pt>
                <c:pt idx="596">
                  <c:v>7.4375000000000382</c:v>
                </c:pt>
                <c:pt idx="597">
                  <c:v>7.4500000000000384</c:v>
                </c:pt>
                <c:pt idx="598">
                  <c:v>7.4625000000000385</c:v>
                </c:pt>
                <c:pt idx="599">
                  <c:v>7.4750000000000387</c:v>
                </c:pt>
                <c:pt idx="600">
                  <c:v>7.4875000000000389</c:v>
                </c:pt>
                <c:pt idx="601">
                  <c:v>7.5000000000000391</c:v>
                </c:pt>
                <c:pt idx="602">
                  <c:v>7.5125000000000393</c:v>
                </c:pt>
                <c:pt idx="603">
                  <c:v>7.5250000000000394</c:v>
                </c:pt>
                <c:pt idx="604">
                  <c:v>7.5375000000000396</c:v>
                </c:pt>
                <c:pt idx="605">
                  <c:v>7.5500000000000398</c:v>
                </c:pt>
                <c:pt idx="606">
                  <c:v>7.56250000000004</c:v>
                </c:pt>
                <c:pt idx="607">
                  <c:v>7.5750000000000401</c:v>
                </c:pt>
                <c:pt idx="608">
                  <c:v>7.5875000000000403</c:v>
                </c:pt>
                <c:pt idx="609">
                  <c:v>7.6000000000000405</c:v>
                </c:pt>
                <c:pt idx="610">
                  <c:v>7.6125000000000407</c:v>
                </c:pt>
                <c:pt idx="611">
                  <c:v>7.6250000000000409</c:v>
                </c:pt>
                <c:pt idx="612">
                  <c:v>7.637500000000041</c:v>
                </c:pt>
                <c:pt idx="613">
                  <c:v>7.6500000000000412</c:v>
                </c:pt>
                <c:pt idx="614">
                  <c:v>7.6625000000000414</c:v>
                </c:pt>
                <c:pt idx="615">
                  <c:v>7.6750000000000416</c:v>
                </c:pt>
                <c:pt idx="616">
                  <c:v>7.6875000000000417</c:v>
                </c:pt>
                <c:pt idx="617">
                  <c:v>7.7000000000000419</c:v>
                </c:pt>
                <c:pt idx="618">
                  <c:v>7.7125000000000421</c:v>
                </c:pt>
                <c:pt idx="619">
                  <c:v>7.7250000000000423</c:v>
                </c:pt>
                <c:pt idx="620">
                  <c:v>7.7375000000000425</c:v>
                </c:pt>
                <c:pt idx="621">
                  <c:v>7.7500000000000426</c:v>
                </c:pt>
                <c:pt idx="622">
                  <c:v>7.7625000000000428</c:v>
                </c:pt>
                <c:pt idx="623">
                  <c:v>7.775000000000043</c:v>
                </c:pt>
                <c:pt idx="624">
                  <c:v>7.7875000000000432</c:v>
                </c:pt>
                <c:pt idx="625">
                  <c:v>7.8000000000000433</c:v>
                </c:pt>
                <c:pt idx="626">
                  <c:v>7.8125000000000435</c:v>
                </c:pt>
                <c:pt idx="627">
                  <c:v>7.8250000000000437</c:v>
                </c:pt>
                <c:pt idx="628">
                  <c:v>7.8375000000000439</c:v>
                </c:pt>
                <c:pt idx="629">
                  <c:v>7.8500000000000441</c:v>
                </c:pt>
                <c:pt idx="630">
                  <c:v>7.8625000000000442</c:v>
                </c:pt>
                <c:pt idx="631">
                  <c:v>7.8750000000000444</c:v>
                </c:pt>
                <c:pt idx="632">
                  <c:v>7.8875000000000446</c:v>
                </c:pt>
                <c:pt idx="633">
                  <c:v>7.9000000000000448</c:v>
                </c:pt>
                <c:pt idx="634">
                  <c:v>7.9125000000000449</c:v>
                </c:pt>
                <c:pt idx="635">
                  <c:v>7.9250000000000451</c:v>
                </c:pt>
                <c:pt idx="636">
                  <c:v>7.9375000000000453</c:v>
                </c:pt>
                <c:pt idx="637">
                  <c:v>7.9500000000000455</c:v>
                </c:pt>
                <c:pt idx="638">
                  <c:v>7.9625000000000457</c:v>
                </c:pt>
                <c:pt idx="639">
                  <c:v>7.9750000000000458</c:v>
                </c:pt>
                <c:pt idx="640">
                  <c:v>7.987500000000046</c:v>
                </c:pt>
                <c:pt idx="641">
                  <c:v>8.0000000000000462</c:v>
                </c:pt>
                <c:pt idx="642">
                  <c:v>8.0125000000000455</c:v>
                </c:pt>
                <c:pt idx="643">
                  <c:v>8.0250000000000465</c:v>
                </c:pt>
                <c:pt idx="644">
                  <c:v>8.0375000000000476</c:v>
                </c:pt>
                <c:pt idx="645">
                  <c:v>8.0500000000000469</c:v>
                </c:pt>
                <c:pt idx="646">
                  <c:v>8.0625000000000462</c:v>
                </c:pt>
                <c:pt idx="647">
                  <c:v>8.0750000000000473</c:v>
                </c:pt>
                <c:pt idx="648">
                  <c:v>8.0875000000000483</c:v>
                </c:pt>
                <c:pt idx="649">
                  <c:v>8.1000000000000476</c:v>
                </c:pt>
                <c:pt idx="650">
                  <c:v>8.1125000000000469</c:v>
                </c:pt>
                <c:pt idx="651">
                  <c:v>8.125000000000048</c:v>
                </c:pt>
                <c:pt idx="652">
                  <c:v>8.137500000000049</c:v>
                </c:pt>
                <c:pt idx="653">
                  <c:v>8.1500000000000483</c:v>
                </c:pt>
                <c:pt idx="654">
                  <c:v>8.1625000000000476</c:v>
                </c:pt>
                <c:pt idx="655">
                  <c:v>8.1750000000000487</c:v>
                </c:pt>
                <c:pt idx="656">
                  <c:v>8.1875000000000497</c:v>
                </c:pt>
                <c:pt idx="657">
                  <c:v>8.200000000000049</c:v>
                </c:pt>
                <c:pt idx="658">
                  <c:v>8.2125000000000483</c:v>
                </c:pt>
                <c:pt idx="659">
                  <c:v>8.2250000000000494</c:v>
                </c:pt>
                <c:pt idx="660">
                  <c:v>8.2375000000000504</c:v>
                </c:pt>
                <c:pt idx="661">
                  <c:v>8.2500000000000497</c:v>
                </c:pt>
                <c:pt idx="662">
                  <c:v>8.262500000000049</c:v>
                </c:pt>
                <c:pt idx="663">
                  <c:v>8.2750000000000501</c:v>
                </c:pt>
                <c:pt idx="664">
                  <c:v>8.2875000000000512</c:v>
                </c:pt>
                <c:pt idx="665">
                  <c:v>8.3000000000000504</c:v>
                </c:pt>
                <c:pt idx="666">
                  <c:v>8.3125000000000497</c:v>
                </c:pt>
                <c:pt idx="667">
                  <c:v>8.3250000000000508</c:v>
                </c:pt>
                <c:pt idx="668">
                  <c:v>8.3375000000000519</c:v>
                </c:pt>
                <c:pt idx="669">
                  <c:v>8.3500000000000512</c:v>
                </c:pt>
                <c:pt idx="670">
                  <c:v>8.3625000000000504</c:v>
                </c:pt>
                <c:pt idx="671">
                  <c:v>8.3750000000000515</c:v>
                </c:pt>
                <c:pt idx="672">
                  <c:v>8.3875000000000526</c:v>
                </c:pt>
                <c:pt idx="673">
                  <c:v>8.4000000000000519</c:v>
                </c:pt>
                <c:pt idx="674">
                  <c:v>8.4125000000000512</c:v>
                </c:pt>
                <c:pt idx="675">
                  <c:v>8.4250000000000522</c:v>
                </c:pt>
                <c:pt idx="676">
                  <c:v>8.4375000000000533</c:v>
                </c:pt>
                <c:pt idx="677">
                  <c:v>8.4500000000000526</c:v>
                </c:pt>
                <c:pt idx="678">
                  <c:v>8.4625000000000519</c:v>
                </c:pt>
                <c:pt idx="679">
                  <c:v>8.4750000000000529</c:v>
                </c:pt>
                <c:pt idx="680">
                  <c:v>8.487500000000054</c:v>
                </c:pt>
                <c:pt idx="681">
                  <c:v>8.5000000000000533</c:v>
                </c:pt>
                <c:pt idx="682">
                  <c:v>8.5125000000000526</c:v>
                </c:pt>
                <c:pt idx="683">
                  <c:v>8.5250000000000536</c:v>
                </c:pt>
                <c:pt idx="684">
                  <c:v>8.5375000000000547</c:v>
                </c:pt>
                <c:pt idx="685">
                  <c:v>8.550000000000054</c:v>
                </c:pt>
                <c:pt idx="686">
                  <c:v>8.5625000000000533</c:v>
                </c:pt>
                <c:pt idx="687">
                  <c:v>8.5750000000000544</c:v>
                </c:pt>
                <c:pt idx="688">
                  <c:v>8.5875000000000554</c:v>
                </c:pt>
                <c:pt idx="689">
                  <c:v>8.6000000000000547</c:v>
                </c:pt>
                <c:pt idx="690">
                  <c:v>8.612500000000054</c:v>
                </c:pt>
                <c:pt idx="691">
                  <c:v>8.6250000000000551</c:v>
                </c:pt>
                <c:pt idx="692">
                  <c:v>8.6375000000000561</c:v>
                </c:pt>
                <c:pt idx="693">
                  <c:v>8.6500000000000554</c:v>
                </c:pt>
                <c:pt idx="694">
                  <c:v>8.6625000000000547</c:v>
                </c:pt>
                <c:pt idx="695">
                  <c:v>8.6750000000000558</c:v>
                </c:pt>
                <c:pt idx="696">
                  <c:v>8.6875000000000568</c:v>
                </c:pt>
                <c:pt idx="697">
                  <c:v>8.7000000000000561</c:v>
                </c:pt>
                <c:pt idx="698">
                  <c:v>8.7125000000000554</c:v>
                </c:pt>
                <c:pt idx="699">
                  <c:v>8.7250000000000565</c:v>
                </c:pt>
                <c:pt idx="700">
                  <c:v>8.7375000000000576</c:v>
                </c:pt>
                <c:pt idx="701">
                  <c:v>8.7500000000000568</c:v>
                </c:pt>
                <c:pt idx="702">
                  <c:v>8.7625000000000561</c:v>
                </c:pt>
                <c:pt idx="703">
                  <c:v>8.7750000000000572</c:v>
                </c:pt>
                <c:pt idx="704">
                  <c:v>8.7875000000000583</c:v>
                </c:pt>
                <c:pt idx="705">
                  <c:v>8.8000000000000576</c:v>
                </c:pt>
                <c:pt idx="706">
                  <c:v>8.8125000000000568</c:v>
                </c:pt>
                <c:pt idx="707">
                  <c:v>8.8250000000000579</c:v>
                </c:pt>
                <c:pt idx="708">
                  <c:v>8.837500000000059</c:v>
                </c:pt>
                <c:pt idx="709">
                  <c:v>8.8500000000000583</c:v>
                </c:pt>
                <c:pt idx="710">
                  <c:v>8.8625000000000576</c:v>
                </c:pt>
                <c:pt idx="711">
                  <c:v>8.8750000000000586</c:v>
                </c:pt>
                <c:pt idx="712">
                  <c:v>8.8875000000000597</c:v>
                </c:pt>
                <c:pt idx="713">
                  <c:v>8.900000000000059</c:v>
                </c:pt>
                <c:pt idx="714">
                  <c:v>8.9125000000000583</c:v>
                </c:pt>
                <c:pt idx="715">
                  <c:v>8.9250000000000593</c:v>
                </c:pt>
                <c:pt idx="716">
                  <c:v>8.9375000000000604</c:v>
                </c:pt>
                <c:pt idx="717">
                  <c:v>8.9500000000000597</c:v>
                </c:pt>
                <c:pt idx="718">
                  <c:v>8.962500000000059</c:v>
                </c:pt>
                <c:pt idx="719">
                  <c:v>8.97500000000006</c:v>
                </c:pt>
                <c:pt idx="720">
                  <c:v>8.9875000000000611</c:v>
                </c:pt>
                <c:pt idx="721">
                  <c:v>9.0000000000000604</c:v>
                </c:pt>
                <c:pt idx="722">
                  <c:v>9.0125000000000597</c:v>
                </c:pt>
                <c:pt idx="723">
                  <c:v>9.0250000000000608</c:v>
                </c:pt>
                <c:pt idx="724">
                  <c:v>9.0375000000000618</c:v>
                </c:pt>
                <c:pt idx="725">
                  <c:v>9.0500000000000611</c:v>
                </c:pt>
                <c:pt idx="726">
                  <c:v>9.0625000000000604</c:v>
                </c:pt>
                <c:pt idx="727">
                  <c:v>9.0750000000000615</c:v>
                </c:pt>
                <c:pt idx="728">
                  <c:v>9.0875000000000625</c:v>
                </c:pt>
                <c:pt idx="729">
                  <c:v>9.1000000000000618</c:v>
                </c:pt>
                <c:pt idx="730">
                  <c:v>9.1125000000000611</c:v>
                </c:pt>
                <c:pt idx="731">
                  <c:v>9.1250000000000622</c:v>
                </c:pt>
                <c:pt idx="732">
                  <c:v>9.1375000000000632</c:v>
                </c:pt>
                <c:pt idx="733">
                  <c:v>9.1500000000000625</c:v>
                </c:pt>
                <c:pt idx="734">
                  <c:v>9.1625000000000618</c:v>
                </c:pt>
                <c:pt idx="735">
                  <c:v>9.1750000000000629</c:v>
                </c:pt>
                <c:pt idx="736">
                  <c:v>9.1875000000000639</c:v>
                </c:pt>
                <c:pt idx="737">
                  <c:v>9.2000000000000632</c:v>
                </c:pt>
                <c:pt idx="738">
                  <c:v>9.2125000000000625</c:v>
                </c:pt>
                <c:pt idx="739">
                  <c:v>9.2250000000000636</c:v>
                </c:pt>
                <c:pt idx="740">
                  <c:v>9.2375000000000647</c:v>
                </c:pt>
                <c:pt idx="741">
                  <c:v>9.2500000000000639</c:v>
                </c:pt>
                <c:pt idx="742">
                  <c:v>9.2625000000000632</c:v>
                </c:pt>
                <c:pt idx="743">
                  <c:v>9.2750000000000643</c:v>
                </c:pt>
                <c:pt idx="744">
                  <c:v>9.2875000000000654</c:v>
                </c:pt>
                <c:pt idx="745">
                  <c:v>9.3000000000000647</c:v>
                </c:pt>
                <c:pt idx="746">
                  <c:v>9.3125000000000639</c:v>
                </c:pt>
                <c:pt idx="747">
                  <c:v>9.325000000000065</c:v>
                </c:pt>
                <c:pt idx="748">
                  <c:v>9.3375000000000661</c:v>
                </c:pt>
                <c:pt idx="749">
                  <c:v>9.3500000000000654</c:v>
                </c:pt>
                <c:pt idx="750">
                  <c:v>9.3625000000000647</c:v>
                </c:pt>
                <c:pt idx="751">
                  <c:v>9.3750000000000657</c:v>
                </c:pt>
                <c:pt idx="752">
                  <c:v>9.3875000000000668</c:v>
                </c:pt>
                <c:pt idx="753">
                  <c:v>9.4000000000000661</c:v>
                </c:pt>
                <c:pt idx="754">
                  <c:v>9.4125000000000654</c:v>
                </c:pt>
                <c:pt idx="755">
                  <c:v>9.4250000000000664</c:v>
                </c:pt>
                <c:pt idx="756">
                  <c:v>9.4375000000000675</c:v>
                </c:pt>
                <c:pt idx="757">
                  <c:v>9.4500000000000668</c:v>
                </c:pt>
                <c:pt idx="758">
                  <c:v>9.4625000000000661</c:v>
                </c:pt>
                <c:pt idx="759">
                  <c:v>9.4750000000000671</c:v>
                </c:pt>
                <c:pt idx="760">
                  <c:v>9.4875000000000682</c:v>
                </c:pt>
                <c:pt idx="761">
                  <c:v>9.5000000000000675</c:v>
                </c:pt>
                <c:pt idx="762">
                  <c:v>9.5125000000000668</c:v>
                </c:pt>
                <c:pt idx="763">
                  <c:v>9.5250000000000679</c:v>
                </c:pt>
                <c:pt idx="764">
                  <c:v>9.5375000000000689</c:v>
                </c:pt>
                <c:pt idx="765">
                  <c:v>9.5500000000000682</c:v>
                </c:pt>
                <c:pt idx="766">
                  <c:v>9.5625000000000675</c:v>
                </c:pt>
                <c:pt idx="767">
                  <c:v>9.5750000000000686</c:v>
                </c:pt>
                <c:pt idx="768">
                  <c:v>9.5875000000000696</c:v>
                </c:pt>
                <c:pt idx="769">
                  <c:v>9.6000000000000689</c:v>
                </c:pt>
                <c:pt idx="770">
                  <c:v>9.6125000000000682</c:v>
                </c:pt>
                <c:pt idx="771">
                  <c:v>9.6250000000000693</c:v>
                </c:pt>
                <c:pt idx="772">
                  <c:v>9.6375000000000703</c:v>
                </c:pt>
                <c:pt idx="773">
                  <c:v>9.6500000000000696</c:v>
                </c:pt>
                <c:pt idx="774">
                  <c:v>9.6625000000000689</c:v>
                </c:pt>
                <c:pt idx="775">
                  <c:v>9.67500000000007</c:v>
                </c:pt>
                <c:pt idx="776">
                  <c:v>9.6875000000000711</c:v>
                </c:pt>
                <c:pt idx="777">
                  <c:v>9.7000000000000703</c:v>
                </c:pt>
                <c:pt idx="778">
                  <c:v>9.7125000000000696</c:v>
                </c:pt>
                <c:pt idx="779">
                  <c:v>9.7250000000000707</c:v>
                </c:pt>
                <c:pt idx="780">
                  <c:v>9.7375000000000718</c:v>
                </c:pt>
                <c:pt idx="781">
                  <c:v>9.7500000000000711</c:v>
                </c:pt>
                <c:pt idx="782">
                  <c:v>9.7625000000000703</c:v>
                </c:pt>
                <c:pt idx="783">
                  <c:v>9.7750000000000714</c:v>
                </c:pt>
                <c:pt idx="784">
                  <c:v>9.7875000000000725</c:v>
                </c:pt>
                <c:pt idx="785">
                  <c:v>9.8000000000000718</c:v>
                </c:pt>
                <c:pt idx="786">
                  <c:v>9.8125000000000711</c:v>
                </c:pt>
                <c:pt idx="787">
                  <c:v>9.8250000000000721</c:v>
                </c:pt>
                <c:pt idx="788">
                  <c:v>9.8375000000000732</c:v>
                </c:pt>
                <c:pt idx="789">
                  <c:v>9.8500000000000725</c:v>
                </c:pt>
                <c:pt idx="790">
                  <c:v>9.8625000000000718</c:v>
                </c:pt>
                <c:pt idx="791">
                  <c:v>9.8750000000000728</c:v>
                </c:pt>
                <c:pt idx="792">
                  <c:v>9.8875000000000739</c:v>
                </c:pt>
                <c:pt idx="793">
                  <c:v>9.9000000000000732</c:v>
                </c:pt>
                <c:pt idx="794">
                  <c:v>9.9125000000000725</c:v>
                </c:pt>
                <c:pt idx="795">
                  <c:v>9.9250000000000735</c:v>
                </c:pt>
                <c:pt idx="796">
                  <c:v>9.9375000000000746</c:v>
                </c:pt>
                <c:pt idx="797">
                  <c:v>9.9500000000000739</c:v>
                </c:pt>
                <c:pt idx="798">
                  <c:v>9.9625000000000732</c:v>
                </c:pt>
                <c:pt idx="799">
                  <c:v>9.9750000000000743</c:v>
                </c:pt>
                <c:pt idx="800">
                  <c:v>9.9875000000000753</c:v>
                </c:pt>
                <c:pt idx="801">
                  <c:v>10.000000000000075</c:v>
                </c:pt>
                <c:pt idx="802">
                  <c:v>10.000000000000075</c:v>
                </c:pt>
                <c:pt idx="803">
                  <c:v>10.012500000000074</c:v>
                </c:pt>
                <c:pt idx="804">
                  <c:v>10.025000000000075</c:v>
                </c:pt>
                <c:pt idx="805">
                  <c:v>10.037500000000074</c:v>
                </c:pt>
                <c:pt idx="806">
                  <c:v>10.050000000000075</c:v>
                </c:pt>
                <c:pt idx="807">
                  <c:v>10.062500000000075</c:v>
                </c:pt>
                <c:pt idx="808">
                  <c:v>10.075000000000074</c:v>
                </c:pt>
                <c:pt idx="809">
                  <c:v>10.087500000000075</c:v>
                </c:pt>
                <c:pt idx="810">
                  <c:v>10.100000000000074</c:v>
                </c:pt>
                <c:pt idx="811">
                  <c:v>10.112500000000075</c:v>
                </c:pt>
                <c:pt idx="812">
                  <c:v>10.125000000000075</c:v>
                </c:pt>
                <c:pt idx="813">
                  <c:v>10.137500000000074</c:v>
                </c:pt>
                <c:pt idx="814">
                  <c:v>10.150000000000075</c:v>
                </c:pt>
                <c:pt idx="815">
                  <c:v>10.162500000000074</c:v>
                </c:pt>
                <c:pt idx="816">
                  <c:v>10.175000000000075</c:v>
                </c:pt>
                <c:pt idx="817">
                  <c:v>10.187500000000075</c:v>
                </c:pt>
                <c:pt idx="818">
                  <c:v>10.200000000000074</c:v>
                </c:pt>
                <c:pt idx="819">
                  <c:v>10.212500000000075</c:v>
                </c:pt>
                <c:pt idx="820">
                  <c:v>10.225000000000074</c:v>
                </c:pt>
                <c:pt idx="821">
                  <c:v>10.237500000000075</c:v>
                </c:pt>
                <c:pt idx="822">
                  <c:v>10.250000000000075</c:v>
                </c:pt>
                <c:pt idx="823">
                  <c:v>10.262500000000074</c:v>
                </c:pt>
                <c:pt idx="824">
                  <c:v>10.275000000000075</c:v>
                </c:pt>
                <c:pt idx="825">
                  <c:v>10.287500000000074</c:v>
                </c:pt>
                <c:pt idx="826">
                  <c:v>10.300000000000075</c:v>
                </c:pt>
                <c:pt idx="827">
                  <c:v>10.312500000000075</c:v>
                </c:pt>
                <c:pt idx="828">
                  <c:v>10.325000000000074</c:v>
                </c:pt>
                <c:pt idx="829">
                  <c:v>10.337500000000075</c:v>
                </c:pt>
                <c:pt idx="830">
                  <c:v>10.350000000000074</c:v>
                </c:pt>
                <c:pt idx="831">
                  <c:v>10.362500000000075</c:v>
                </c:pt>
                <c:pt idx="832">
                  <c:v>10.375000000000075</c:v>
                </c:pt>
                <c:pt idx="833">
                  <c:v>10.387500000000074</c:v>
                </c:pt>
                <c:pt idx="834">
                  <c:v>10.400000000000075</c:v>
                </c:pt>
                <c:pt idx="835">
                  <c:v>10.412500000000074</c:v>
                </c:pt>
                <c:pt idx="836">
                  <c:v>10.425000000000075</c:v>
                </c:pt>
                <c:pt idx="837">
                  <c:v>10.437500000000075</c:v>
                </c:pt>
                <c:pt idx="838">
                  <c:v>10.450000000000076</c:v>
                </c:pt>
                <c:pt idx="839">
                  <c:v>10.462500000000075</c:v>
                </c:pt>
                <c:pt idx="840">
                  <c:v>10.475000000000074</c:v>
                </c:pt>
                <c:pt idx="841">
                  <c:v>10.487500000000075</c:v>
                </c:pt>
                <c:pt idx="842">
                  <c:v>10.500000000000075</c:v>
                </c:pt>
                <c:pt idx="843">
                  <c:v>10.512500000000074</c:v>
                </c:pt>
                <c:pt idx="844">
                  <c:v>10.525000000000075</c:v>
                </c:pt>
                <c:pt idx="845">
                  <c:v>10.537500000000074</c:v>
                </c:pt>
                <c:pt idx="846">
                  <c:v>10.550000000000075</c:v>
                </c:pt>
                <c:pt idx="847">
                  <c:v>10.562500000000075</c:v>
                </c:pt>
                <c:pt idx="848">
                  <c:v>10.575000000000074</c:v>
                </c:pt>
                <c:pt idx="849">
                  <c:v>10.587500000000075</c:v>
                </c:pt>
                <c:pt idx="850">
                  <c:v>10.600000000000074</c:v>
                </c:pt>
                <c:pt idx="851">
                  <c:v>10.612500000000075</c:v>
                </c:pt>
                <c:pt idx="852">
                  <c:v>10.625000000000075</c:v>
                </c:pt>
                <c:pt idx="853">
                  <c:v>10.637500000000074</c:v>
                </c:pt>
                <c:pt idx="854">
                  <c:v>10.650000000000075</c:v>
                </c:pt>
                <c:pt idx="855">
                  <c:v>10.662500000000074</c:v>
                </c:pt>
                <c:pt idx="856">
                  <c:v>10.675000000000074</c:v>
                </c:pt>
                <c:pt idx="857">
                  <c:v>10.687500000000075</c:v>
                </c:pt>
                <c:pt idx="858">
                  <c:v>10.700000000000074</c:v>
                </c:pt>
                <c:pt idx="859">
                  <c:v>10.712500000000073</c:v>
                </c:pt>
                <c:pt idx="860">
                  <c:v>10.725000000000074</c:v>
                </c:pt>
                <c:pt idx="861">
                  <c:v>10.737500000000074</c:v>
                </c:pt>
                <c:pt idx="862">
                  <c:v>10.750000000000075</c:v>
                </c:pt>
                <c:pt idx="863">
                  <c:v>10.762500000000074</c:v>
                </c:pt>
                <c:pt idx="864">
                  <c:v>10.775000000000073</c:v>
                </c:pt>
                <c:pt idx="865">
                  <c:v>10.787500000000074</c:v>
                </c:pt>
                <c:pt idx="866">
                  <c:v>10.800000000000074</c:v>
                </c:pt>
                <c:pt idx="867">
                  <c:v>10.812500000000075</c:v>
                </c:pt>
                <c:pt idx="868">
                  <c:v>10.825000000000074</c:v>
                </c:pt>
                <c:pt idx="869">
                  <c:v>10.837500000000073</c:v>
                </c:pt>
                <c:pt idx="870">
                  <c:v>10.850000000000074</c:v>
                </c:pt>
                <c:pt idx="871">
                  <c:v>10.862500000000074</c:v>
                </c:pt>
                <c:pt idx="872">
                  <c:v>10.875000000000073</c:v>
                </c:pt>
                <c:pt idx="873">
                  <c:v>10.887500000000074</c:v>
                </c:pt>
                <c:pt idx="874">
                  <c:v>10.900000000000073</c:v>
                </c:pt>
                <c:pt idx="875">
                  <c:v>10.912500000000072</c:v>
                </c:pt>
                <c:pt idx="876">
                  <c:v>10.925000000000074</c:v>
                </c:pt>
                <c:pt idx="877">
                  <c:v>10.937500000000073</c:v>
                </c:pt>
                <c:pt idx="878">
                  <c:v>10.950000000000074</c:v>
                </c:pt>
                <c:pt idx="879">
                  <c:v>10.962500000000073</c:v>
                </c:pt>
                <c:pt idx="880">
                  <c:v>10.975000000000072</c:v>
                </c:pt>
                <c:pt idx="881">
                  <c:v>10.987500000000074</c:v>
                </c:pt>
                <c:pt idx="882">
                  <c:v>11.000000000000073</c:v>
                </c:pt>
                <c:pt idx="883">
                  <c:v>11.012500000000074</c:v>
                </c:pt>
                <c:pt idx="884">
                  <c:v>11.025000000000073</c:v>
                </c:pt>
                <c:pt idx="885">
                  <c:v>11.037500000000072</c:v>
                </c:pt>
                <c:pt idx="886">
                  <c:v>11.050000000000074</c:v>
                </c:pt>
                <c:pt idx="887">
                  <c:v>11.062500000000073</c:v>
                </c:pt>
                <c:pt idx="888">
                  <c:v>11.075000000000072</c:v>
                </c:pt>
                <c:pt idx="889">
                  <c:v>11.087500000000073</c:v>
                </c:pt>
                <c:pt idx="890">
                  <c:v>11.100000000000072</c:v>
                </c:pt>
                <c:pt idx="891">
                  <c:v>11.112500000000072</c:v>
                </c:pt>
                <c:pt idx="892">
                  <c:v>11.125000000000073</c:v>
                </c:pt>
                <c:pt idx="893">
                  <c:v>11.137500000000072</c:v>
                </c:pt>
                <c:pt idx="894">
                  <c:v>11.150000000000073</c:v>
                </c:pt>
                <c:pt idx="895">
                  <c:v>11.162500000000072</c:v>
                </c:pt>
                <c:pt idx="896">
                  <c:v>11.175000000000072</c:v>
                </c:pt>
                <c:pt idx="897">
                  <c:v>11.187500000000073</c:v>
                </c:pt>
                <c:pt idx="898">
                  <c:v>11.200000000000072</c:v>
                </c:pt>
                <c:pt idx="899">
                  <c:v>11.212500000000073</c:v>
                </c:pt>
                <c:pt idx="900">
                  <c:v>11.225000000000072</c:v>
                </c:pt>
                <c:pt idx="901">
                  <c:v>11.237500000000072</c:v>
                </c:pt>
                <c:pt idx="902">
                  <c:v>11.250000000000073</c:v>
                </c:pt>
                <c:pt idx="903">
                  <c:v>11.262500000000072</c:v>
                </c:pt>
                <c:pt idx="904">
                  <c:v>11.275000000000071</c:v>
                </c:pt>
                <c:pt idx="905">
                  <c:v>11.287500000000072</c:v>
                </c:pt>
                <c:pt idx="906">
                  <c:v>11.300000000000072</c:v>
                </c:pt>
                <c:pt idx="907">
                  <c:v>11.312500000000071</c:v>
                </c:pt>
                <c:pt idx="908">
                  <c:v>11.325000000000072</c:v>
                </c:pt>
                <c:pt idx="909">
                  <c:v>11.337500000000071</c:v>
                </c:pt>
                <c:pt idx="910">
                  <c:v>11.350000000000072</c:v>
                </c:pt>
                <c:pt idx="911">
                  <c:v>11.362500000000072</c:v>
                </c:pt>
                <c:pt idx="912">
                  <c:v>11.375000000000071</c:v>
                </c:pt>
                <c:pt idx="913">
                  <c:v>11.387500000000072</c:v>
                </c:pt>
                <c:pt idx="914">
                  <c:v>11.400000000000071</c:v>
                </c:pt>
                <c:pt idx="915">
                  <c:v>11.412500000000072</c:v>
                </c:pt>
                <c:pt idx="916">
                  <c:v>11.425000000000072</c:v>
                </c:pt>
                <c:pt idx="917">
                  <c:v>11.437500000000071</c:v>
                </c:pt>
                <c:pt idx="918">
                  <c:v>11.450000000000072</c:v>
                </c:pt>
                <c:pt idx="919">
                  <c:v>11.462500000000071</c:v>
                </c:pt>
                <c:pt idx="920">
                  <c:v>11.475000000000071</c:v>
                </c:pt>
                <c:pt idx="921">
                  <c:v>11.487500000000072</c:v>
                </c:pt>
                <c:pt idx="922">
                  <c:v>11.500000000000071</c:v>
                </c:pt>
                <c:pt idx="923">
                  <c:v>11.51250000000007</c:v>
                </c:pt>
                <c:pt idx="924">
                  <c:v>11.525000000000071</c:v>
                </c:pt>
                <c:pt idx="925">
                  <c:v>11.537500000000071</c:v>
                </c:pt>
                <c:pt idx="926">
                  <c:v>11.550000000000072</c:v>
                </c:pt>
                <c:pt idx="927">
                  <c:v>11.562500000000071</c:v>
                </c:pt>
                <c:pt idx="928">
                  <c:v>11.57500000000007</c:v>
                </c:pt>
                <c:pt idx="929">
                  <c:v>11.587500000000071</c:v>
                </c:pt>
                <c:pt idx="930">
                  <c:v>11.600000000000071</c:v>
                </c:pt>
                <c:pt idx="931">
                  <c:v>11.612500000000072</c:v>
                </c:pt>
                <c:pt idx="932">
                  <c:v>11.625000000000071</c:v>
                </c:pt>
                <c:pt idx="933">
                  <c:v>11.63750000000007</c:v>
                </c:pt>
                <c:pt idx="934">
                  <c:v>11.650000000000071</c:v>
                </c:pt>
                <c:pt idx="935">
                  <c:v>11.662500000000071</c:v>
                </c:pt>
                <c:pt idx="936">
                  <c:v>11.67500000000007</c:v>
                </c:pt>
                <c:pt idx="937">
                  <c:v>11.687500000000071</c:v>
                </c:pt>
                <c:pt idx="938">
                  <c:v>11.70000000000007</c:v>
                </c:pt>
                <c:pt idx="939">
                  <c:v>11.71250000000007</c:v>
                </c:pt>
                <c:pt idx="940">
                  <c:v>11.725000000000071</c:v>
                </c:pt>
                <c:pt idx="941">
                  <c:v>11.73750000000007</c:v>
                </c:pt>
                <c:pt idx="942">
                  <c:v>11.750000000000071</c:v>
                </c:pt>
                <c:pt idx="943">
                  <c:v>11.76250000000007</c:v>
                </c:pt>
                <c:pt idx="944">
                  <c:v>11.77500000000007</c:v>
                </c:pt>
                <c:pt idx="945">
                  <c:v>11.787500000000071</c:v>
                </c:pt>
                <c:pt idx="946">
                  <c:v>11.80000000000007</c:v>
                </c:pt>
                <c:pt idx="947">
                  <c:v>11.812500000000071</c:v>
                </c:pt>
                <c:pt idx="948">
                  <c:v>11.82500000000007</c:v>
                </c:pt>
                <c:pt idx="949">
                  <c:v>11.83750000000007</c:v>
                </c:pt>
                <c:pt idx="950">
                  <c:v>11.850000000000071</c:v>
                </c:pt>
                <c:pt idx="951">
                  <c:v>11.86250000000007</c:v>
                </c:pt>
                <c:pt idx="952">
                  <c:v>11.875000000000069</c:v>
                </c:pt>
                <c:pt idx="953">
                  <c:v>11.88750000000007</c:v>
                </c:pt>
                <c:pt idx="954">
                  <c:v>11.90000000000007</c:v>
                </c:pt>
                <c:pt idx="955">
                  <c:v>11.912500000000069</c:v>
                </c:pt>
                <c:pt idx="956">
                  <c:v>11.92500000000007</c:v>
                </c:pt>
                <c:pt idx="957">
                  <c:v>11.937500000000069</c:v>
                </c:pt>
                <c:pt idx="958">
                  <c:v>11.95000000000007</c:v>
                </c:pt>
                <c:pt idx="959">
                  <c:v>11.96250000000007</c:v>
                </c:pt>
                <c:pt idx="960">
                  <c:v>11.975000000000069</c:v>
                </c:pt>
                <c:pt idx="961">
                  <c:v>11.98750000000007</c:v>
                </c:pt>
                <c:pt idx="962">
                  <c:v>12.000000000000069</c:v>
                </c:pt>
                <c:pt idx="963">
                  <c:v>12.01250000000007</c:v>
                </c:pt>
                <c:pt idx="964">
                  <c:v>12.02500000000007</c:v>
                </c:pt>
                <c:pt idx="965">
                  <c:v>12.037500000000069</c:v>
                </c:pt>
                <c:pt idx="966">
                  <c:v>12.05000000000007</c:v>
                </c:pt>
                <c:pt idx="967">
                  <c:v>12.062500000000071</c:v>
                </c:pt>
                <c:pt idx="968">
                  <c:v>12.07500000000007</c:v>
                </c:pt>
                <c:pt idx="969">
                  <c:v>12.08750000000007</c:v>
                </c:pt>
                <c:pt idx="970">
                  <c:v>12.100000000000071</c:v>
                </c:pt>
                <c:pt idx="971">
                  <c:v>12.112500000000072</c:v>
                </c:pt>
                <c:pt idx="972">
                  <c:v>12.125000000000071</c:v>
                </c:pt>
                <c:pt idx="973">
                  <c:v>12.13750000000007</c:v>
                </c:pt>
                <c:pt idx="974">
                  <c:v>12.150000000000071</c:v>
                </c:pt>
                <c:pt idx="975">
                  <c:v>12.162500000000072</c:v>
                </c:pt>
                <c:pt idx="976">
                  <c:v>12.175000000000072</c:v>
                </c:pt>
                <c:pt idx="977">
                  <c:v>12.187500000000071</c:v>
                </c:pt>
                <c:pt idx="978">
                  <c:v>12.200000000000072</c:v>
                </c:pt>
                <c:pt idx="979">
                  <c:v>12.212500000000073</c:v>
                </c:pt>
                <c:pt idx="980">
                  <c:v>12.225000000000072</c:v>
                </c:pt>
                <c:pt idx="981">
                  <c:v>12.237500000000072</c:v>
                </c:pt>
                <c:pt idx="982">
                  <c:v>12.250000000000073</c:v>
                </c:pt>
                <c:pt idx="983">
                  <c:v>12.262500000000074</c:v>
                </c:pt>
                <c:pt idx="984">
                  <c:v>12.275000000000073</c:v>
                </c:pt>
                <c:pt idx="985">
                  <c:v>12.287500000000072</c:v>
                </c:pt>
                <c:pt idx="986">
                  <c:v>12.300000000000074</c:v>
                </c:pt>
                <c:pt idx="987">
                  <c:v>12.312500000000075</c:v>
                </c:pt>
                <c:pt idx="988">
                  <c:v>12.325000000000074</c:v>
                </c:pt>
                <c:pt idx="989">
                  <c:v>12.337500000000073</c:v>
                </c:pt>
                <c:pt idx="990">
                  <c:v>12.350000000000074</c:v>
                </c:pt>
                <c:pt idx="991">
                  <c:v>12.362500000000075</c:v>
                </c:pt>
                <c:pt idx="992">
                  <c:v>12.375000000000075</c:v>
                </c:pt>
                <c:pt idx="993">
                  <c:v>12.387500000000074</c:v>
                </c:pt>
                <c:pt idx="994">
                  <c:v>12.400000000000075</c:v>
                </c:pt>
                <c:pt idx="995">
                  <c:v>12.412500000000076</c:v>
                </c:pt>
                <c:pt idx="996">
                  <c:v>12.425000000000075</c:v>
                </c:pt>
                <c:pt idx="997">
                  <c:v>12.437500000000075</c:v>
                </c:pt>
                <c:pt idx="998">
                  <c:v>12.450000000000076</c:v>
                </c:pt>
                <c:pt idx="999">
                  <c:v>12.462500000000077</c:v>
                </c:pt>
                <c:pt idx="1000">
                  <c:v>12.475000000000076</c:v>
                </c:pt>
                <c:pt idx="1001">
                  <c:v>12.487500000000075</c:v>
                </c:pt>
                <c:pt idx="1002">
                  <c:v>12.500000000000076</c:v>
                </c:pt>
                <c:pt idx="1003">
                  <c:v>12.512500000000077</c:v>
                </c:pt>
                <c:pt idx="1004">
                  <c:v>12.525000000000077</c:v>
                </c:pt>
                <c:pt idx="1005">
                  <c:v>12.537500000000076</c:v>
                </c:pt>
                <c:pt idx="1006">
                  <c:v>12.550000000000077</c:v>
                </c:pt>
                <c:pt idx="1007">
                  <c:v>12.562500000000078</c:v>
                </c:pt>
                <c:pt idx="1008">
                  <c:v>12.575000000000077</c:v>
                </c:pt>
                <c:pt idx="1009">
                  <c:v>12.587500000000077</c:v>
                </c:pt>
                <c:pt idx="1010">
                  <c:v>12.600000000000078</c:v>
                </c:pt>
                <c:pt idx="1011">
                  <c:v>12.612500000000079</c:v>
                </c:pt>
                <c:pt idx="1012">
                  <c:v>12.625000000000078</c:v>
                </c:pt>
                <c:pt idx="1013">
                  <c:v>12.637500000000077</c:v>
                </c:pt>
                <c:pt idx="1014">
                  <c:v>12.650000000000079</c:v>
                </c:pt>
                <c:pt idx="1015">
                  <c:v>12.66250000000008</c:v>
                </c:pt>
                <c:pt idx="1016">
                  <c:v>12.675000000000079</c:v>
                </c:pt>
                <c:pt idx="1017">
                  <c:v>12.687500000000078</c:v>
                </c:pt>
                <c:pt idx="1018">
                  <c:v>12.700000000000079</c:v>
                </c:pt>
                <c:pt idx="1019">
                  <c:v>12.71250000000008</c:v>
                </c:pt>
                <c:pt idx="1020">
                  <c:v>12.72500000000008</c:v>
                </c:pt>
                <c:pt idx="1021">
                  <c:v>12.737500000000079</c:v>
                </c:pt>
                <c:pt idx="1022">
                  <c:v>12.75000000000008</c:v>
                </c:pt>
                <c:pt idx="1023">
                  <c:v>12.762500000000081</c:v>
                </c:pt>
                <c:pt idx="1024">
                  <c:v>12.77500000000008</c:v>
                </c:pt>
                <c:pt idx="1025">
                  <c:v>12.78750000000008</c:v>
                </c:pt>
                <c:pt idx="1026">
                  <c:v>12.800000000000081</c:v>
                </c:pt>
                <c:pt idx="1027">
                  <c:v>12.812500000000082</c:v>
                </c:pt>
                <c:pt idx="1028">
                  <c:v>12.825000000000081</c:v>
                </c:pt>
                <c:pt idx="1029">
                  <c:v>12.83750000000008</c:v>
                </c:pt>
                <c:pt idx="1030">
                  <c:v>12.850000000000081</c:v>
                </c:pt>
                <c:pt idx="1031">
                  <c:v>12.862500000000082</c:v>
                </c:pt>
                <c:pt idx="1032">
                  <c:v>12.875000000000082</c:v>
                </c:pt>
                <c:pt idx="1033">
                  <c:v>12.887500000000081</c:v>
                </c:pt>
                <c:pt idx="1034">
                  <c:v>12.900000000000082</c:v>
                </c:pt>
                <c:pt idx="1035">
                  <c:v>12.912500000000083</c:v>
                </c:pt>
                <c:pt idx="1036">
                  <c:v>12.925000000000082</c:v>
                </c:pt>
                <c:pt idx="1037">
                  <c:v>12.937500000000082</c:v>
                </c:pt>
                <c:pt idx="1038">
                  <c:v>12.950000000000083</c:v>
                </c:pt>
                <c:pt idx="1039">
                  <c:v>12.962500000000084</c:v>
                </c:pt>
                <c:pt idx="1040">
                  <c:v>12.975000000000083</c:v>
                </c:pt>
                <c:pt idx="1041">
                  <c:v>12.987500000000082</c:v>
                </c:pt>
                <c:pt idx="1042">
                  <c:v>13.000000000000083</c:v>
                </c:pt>
                <c:pt idx="1043">
                  <c:v>13.012500000000085</c:v>
                </c:pt>
                <c:pt idx="1044">
                  <c:v>13.025000000000084</c:v>
                </c:pt>
                <c:pt idx="1045">
                  <c:v>13.037500000000083</c:v>
                </c:pt>
                <c:pt idx="1046">
                  <c:v>13.050000000000084</c:v>
                </c:pt>
                <c:pt idx="1047">
                  <c:v>13.062500000000085</c:v>
                </c:pt>
                <c:pt idx="1048">
                  <c:v>13.075000000000085</c:v>
                </c:pt>
                <c:pt idx="1049">
                  <c:v>13.087500000000084</c:v>
                </c:pt>
                <c:pt idx="1050">
                  <c:v>13.100000000000085</c:v>
                </c:pt>
                <c:pt idx="1051">
                  <c:v>13.112500000000086</c:v>
                </c:pt>
                <c:pt idx="1052">
                  <c:v>13.125000000000085</c:v>
                </c:pt>
                <c:pt idx="1053">
                  <c:v>13.137500000000085</c:v>
                </c:pt>
                <c:pt idx="1054">
                  <c:v>13.150000000000086</c:v>
                </c:pt>
                <c:pt idx="1055">
                  <c:v>13.162500000000087</c:v>
                </c:pt>
                <c:pt idx="1056">
                  <c:v>13.175000000000086</c:v>
                </c:pt>
                <c:pt idx="1057">
                  <c:v>13.187500000000085</c:v>
                </c:pt>
                <c:pt idx="1058">
                  <c:v>13.200000000000086</c:v>
                </c:pt>
                <c:pt idx="1059">
                  <c:v>13.212500000000087</c:v>
                </c:pt>
                <c:pt idx="1060">
                  <c:v>13.225000000000087</c:v>
                </c:pt>
                <c:pt idx="1061">
                  <c:v>13.237500000000086</c:v>
                </c:pt>
                <c:pt idx="1062">
                  <c:v>13.250000000000087</c:v>
                </c:pt>
                <c:pt idx="1063">
                  <c:v>13.262500000000088</c:v>
                </c:pt>
                <c:pt idx="1064">
                  <c:v>13.275000000000087</c:v>
                </c:pt>
                <c:pt idx="1065">
                  <c:v>13.287500000000087</c:v>
                </c:pt>
                <c:pt idx="1066">
                  <c:v>13.300000000000088</c:v>
                </c:pt>
                <c:pt idx="1067">
                  <c:v>13.312500000000089</c:v>
                </c:pt>
                <c:pt idx="1068">
                  <c:v>13.325000000000088</c:v>
                </c:pt>
                <c:pt idx="1069">
                  <c:v>13.337500000000087</c:v>
                </c:pt>
                <c:pt idx="1070">
                  <c:v>13.350000000000088</c:v>
                </c:pt>
                <c:pt idx="1071">
                  <c:v>13.36250000000009</c:v>
                </c:pt>
                <c:pt idx="1072">
                  <c:v>13.375000000000089</c:v>
                </c:pt>
                <c:pt idx="1073">
                  <c:v>13.387500000000088</c:v>
                </c:pt>
                <c:pt idx="1074">
                  <c:v>13.400000000000089</c:v>
                </c:pt>
                <c:pt idx="1075">
                  <c:v>13.41250000000009</c:v>
                </c:pt>
                <c:pt idx="1076">
                  <c:v>13.42500000000009</c:v>
                </c:pt>
                <c:pt idx="1077">
                  <c:v>13.437500000000089</c:v>
                </c:pt>
                <c:pt idx="1078">
                  <c:v>13.45000000000009</c:v>
                </c:pt>
                <c:pt idx="1079">
                  <c:v>13.462500000000091</c:v>
                </c:pt>
                <c:pt idx="1080">
                  <c:v>13.47500000000009</c:v>
                </c:pt>
                <c:pt idx="1081">
                  <c:v>13.48750000000009</c:v>
                </c:pt>
                <c:pt idx="1082">
                  <c:v>13.500000000000091</c:v>
                </c:pt>
                <c:pt idx="1083">
                  <c:v>13.512500000000092</c:v>
                </c:pt>
                <c:pt idx="1084">
                  <c:v>13.525000000000091</c:v>
                </c:pt>
                <c:pt idx="1085">
                  <c:v>13.53750000000009</c:v>
                </c:pt>
                <c:pt idx="1086">
                  <c:v>13.550000000000091</c:v>
                </c:pt>
                <c:pt idx="1087">
                  <c:v>13.562500000000092</c:v>
                </c:pt>
                <c:pt idx="1088">
                  <c:v>13.575000000000092</c:v>
                </c:pt>
                <c:pt idx="1089">
                  <c:v>13.587500000000091</c:v>
                </c:pt>
                <c:pt idx="1090">
                  <c:v>13.600000000000092</c:v>
                </c:pt>
                <c:pt idx="1091">
                  <c:v>13.612500000000093</c:v>
                </c:pt>
                <c:pt idx="1092">
                  <c:v>13.625000000000092</c:v>
                </c:pt>
                <c:pt idx="1093">
                  <c:v>13.637500000000092</c:v>
                </c:pt>
                <c:pt idx="1094">
                  <c:v>13.650000000000093</c:v>
                </c:pt>
                <c:pt idx="1095">
                  <c:v>13.662500000000094</c:v>
                </c:pt>
                <c:pt idx="1096">
                  <c:v>13.675000000000093</c:v>
                </c:pt>
                <c:pt idx="1097">
                  <c:v>13.687500000000092</c:v>
                </c:pt>
                <c:pt idx="1098">
                  <c:v>13.700000000000093</c:v>
                </c:pt>
                <c:pt idx="1099">
                  <c:v>13.712500000000095</c:v>
                </c:pt>
                <c:pt idx="1100">
                  <c:v>13.725000000000094</c:v>
                </c:pt>
                <c:pt idx="1101">
                  <c:v>13.737500000000093</c:v>
                </c:pt>
                <c:pt idx="1102">
                  <c:v>13.750000000000094</c:v>
                </c:pt>
                <c:pt idx="1103">
                  <c:v>13.762500000000095</c:v>
                </c:pt>
                <c:pt idx="1104">
                  <c:v>13.775000000000095</c:v>
                </c:pt>
                <c:pt idx="1105">
                  <c:v>13.787500000000094</c:v>
                </c:pt>
                <c:pt idx="1106">
                  <c:v>13.800000000000095</c:v>
                </c:pt>
                <c:pt idx="1107">
                  <c:v>13.812500000000096</c:v>
                </c:pt>
                <c:pt idx="1108">
                  <c:v>13.825000000000095</c:v>
                </c:pt>
                <c:pt idx="1109">
                  <c:v>13.837500000000095</c:v>
                </c:pt>
                <c:pt idx="1110">
                  <c:v>13.850000000000096</c:v>
                </c:pt>
                <c:pt idx="1111">
                  <c:v>13.862500000000097</c:v>
                </c:pt>
                <c:pt idx="1112">
                  <c:v>13.875000000000096</c:v>
                </c:pt>
                <c:pt idx="1113">
                  <c:v>13.887500000000095</c:v>
                </c:pt>
                <c:pt idx="1114">
                  <c:v>13.900000000000096</c:v>
                </c:pt>
                <c:pt idx="1115">
                  <c:v>13.912500000000097</c:v>
                </c:pt>
                <c:pt idx="1116">
                  <c:v>13.925000000000097</c:v>
                </c:pt>
                <c:pt idx="1117">
                  <c:v>13.937500000000096</c:v>
                </c:pt>
                <c:pt idx="1118">
                  <c:v>13.950000000000097</c:v>
                </c:pt>
                <c:pt idx="1119">
                  <c:v>13.962500000000098</c:v>
                </c:pt>
                <c:pt idx="1120">
                  <c:v>13.975000000000097</c:v>
                </c:pt>
                <c:pt idx="1121">
                  <c:v>13.987500000000097</c:v>
                </c:pt>
                <c:pt idx="1122">
                  <c:v>14.000000000000098</c:v>
                </c:pt>
                <c:pt idx="1123">
                  <c:v>14.012500000000099</c:v>
                </c:pt>
                <c:pt idx="1124">
                  <c:v>14.025000000000098</c:v>
                </c:pt>
                <c:pt idx="1125">
                  <c:v>14.037500000000097</c:v>
                </c:pt>
                <c:pt idx="1126">
                  <c:v>14.050000000000098</c:v>
                </c:pt>
                <c:pt idx="1127">
                  <c:v>14.062500000000099</c:v>
                </c:pt>
                <c:pt idx="1128">
                  <c:v>14.075000000000099</c:v>
                </c:pt>
                <c:pt idx="1129">
                  <c:v>14.087500000000098</c:v>
                </c:pt>
                <c:pt idx="1130">
                  <c:v>14.100000000000099</c:v>
                </c:pt>
                <c:pt idx="1131">
                  <c:v>14.1125000000001</c:v>
                </c:pt>
                <c:pt idx="1132">
                  <c:v>14.125000000000099</c:v>
                </c:pt>
                <c:pt idx="1133">
                  <c:v>14.137500000000099</c:v>
                </c:pt>
                <c:pt idx="1134">
                  <c:v>14.1500000000001</c:v>
                </c:pt>
                <c:pt idx="1135">
                  <c:v>14.162500000000101</c:v>
                </c:pt>
                <c:pt idx="1136">
                  <c:v>14.1750000000001</c:v>
                </c:pt>
                <c:pt idx="1137">
                  <c:v>14.187500000000099</c:v>
                </c:pt>
                <c:pt idx="1138">
                  <c:v>14.200000000000101</c:v>
                </c:pt>
                <c:pt idx="1139">
                  <c:v>14.212500000000102</c:v>
                </c:pt>
                <c:pt idx="1140">
                  <c:v>14.225000000000101</c:v>
                </c:pt>
                <c:pt idx="1141">
                  <c:v>14.2375000000001</c:v>
                </c:pt>
                <c:pt idx="1142">
                  <c:v>14.250000000000101</c:v>
                </c:pt>
                <c:pt idx="1143">
                  <c:v>14.262500000000102</c:v>
                </c:pt>
                <c:pt idx="1144">
                  <c:v>14.275000000000102</c:v>
                </c:pt>
                <c:pt idx="1145">
                  <c:v>14.287500000000101</c:v>
                </c:pt>
                <c:pt idx="1146">
                  <c:v>14.300000000000102</c:v>
                </c:pt>
                <c:pt idx="1147">
                  <c:v>14.312500000000103</c:v>
                </c:pt>
                <c:pt idx="1148">
                  <c:v>14.325000000000102</c:v>
                </c:pt>
                <c:pt idx="1149">
                  <c:v>14.337500000000102</c:v>
                </c:pt>
                <c:pt idx="1150">
                  <c:v>14.350000000000103</c:v>
                </c:pt>
                <c:pt idx="1151">
                  <c:v>14.362500000000104</c:v>
                </c:pt>
                <c:pt idx="1152">
                  <c:v>14.375000000000103</c:v>
                </c:pt>
                <c:pt idx="1153">
                  <c:v>14.387500000000102</c:v>
                </c:pt>
                <c:pt idx="1154">
                  <c:v>14.400000000000103</c:v>
                </c:pt>
                <c:pt idx="1155">
                  <c:v>14.412500000000104</c:v>
                </c:pt>
                <c:pt idx="1156">
                  <c:v>14.425000000000104</c:v>
                </c:pt>
                <c:pt idx="1157">
                  <c:v>14.437500000000103</c:v>
                </c:pt>
                <c:pt idx="1158">
                  <c:v>14.450000000000104</c:v>
                </c:pt>
                <c:pt idx="1159">
                  <c:v>14.462500000000105</c:v>
                </c:pt>
                <c:pt idx="1160">
                  <c:v>14.475000000000104</c:v>
                </c:pt>
                <c:pt idx="1161">
                  <c:v>14.487500000000104</c:v>
                </c:pt>
                <c:pt idx="1162">
                  <c:v>14.500000000000105</c:v>
                </c:pt>
                <c:pt idx="1163">
                  <c:v>14.512500000000106</c:v>
                </c:pt>
                <c:pt idx="1164">
                  <c:v>14.525000000000105</c:v>
                </c:pt>
                <c:pt idx="1165">
                  <c:v>14.537500000000104</c:v>
                </c:pt>
                <c:pt idx="1166">
                  <c:v>14.550000000000106</c:v>
                </c:pt>
                <c:pt idx="1167">
                  <c:v>14.562500000000107</c:v>
                </c:pt>
                <c:pt idx="1168">
                  <c:v>14.575000000000106</c:v>
                </c:pt>
                <c:pt idx="1169">
                  <c:v>14.587500000000105</c:v>
                </c:pt>
                <c:pt idx="1170">
                  <c:v>14.600000000000106</c:v>
                </c:pt>
                <c:pt idx="1171">
                  <c:v>14.612500000000107</c:v>
                </c:pt>
                <c:pt idx="1172">
                  <c:v>14.625000000000107</c:v>
                </c:pt>
                <c:pt idx="1173">
                  <c:v>14.637500000000106</c:v>
                </c:pt>
                <c:pt idx="1174">
                  <c:v>14.650000000000107</c:v>
                </c:pt>
                <c:pt idx="1175">
                  <c:v>14.662500000000108</c:v>
                </c:pt>
                <c:pt idx="1176">
                  <c:v>14.675000000000107</c:v>
                </c:pt>
                <c:pt idx="1177">
                  <c:v>14.687500000000107</c:v>
                </c:pt>
                <c:pt idx="1178">
                  <c:v>14.700000000000108</c:v>
                </c:pt>
                <c:pt idx="1179">
                  <c:v>14.712500000000109</c:v>
                </c:pt>
                <c:pt idx="1180">
                  <c:v>14.725000000000108</c:v>
                </c:pt>
                <c:pt idx="1181">
                  <c:v>14.737500000000107</c:v>
                </c:pt>
                <c:pt idx="1182">
                  <c:v>14.750000000000108</c:v>
                </c:pt>
                <c:pt idx="1183">
                  <c:v>14.762500000000109</c:v>
                </c:pt>
                <c:pt idx="1184">
                  <c:v>14.775000000000109</c:v>
                </c:pt>
                <c:pt idx="1185">
                  <c:v>14.787500000000108</c:v>
                </c:pt>
                <c:pt idx="1186">
                  <c:v>14.800000000000109</c:v>
                </c:pt>
                <c:pt idx="1187">
                  <c:v>14.81250000000011</c:v>
                </c:pt>
                <c:pt idx="1188">
                  <c:v>14.825000000000109</c:v>
                </c:pt>
                <c:pt idx="1189">
                  <c:v>14.837500000000109</c:v>
                </c:pt>
                <c:pt idx="1190">
                  <c:v>14.85000000000011</c:v>
                </c:pt>
                <c:pt idx="1191">
                  <c:v>14.862500000000111</c:v>
                </c:pt>
                <c:pt idx="1192">
                  <c:v>14.87500000000011</c:v>
                </c:pt>
                <c:pt idx="1193">
                  <c:v>14.887500000000109</c:v>
                </c:pt>
                <c:pt idx="1194">
                  <c:v>14.90000000000011</c:v>
                </c:pt>
                <c:pt idx="1195">
                  <c:v>14.912500000000112</c:v>
                </c:pt>
                <c:pt idx="1196">
                  <c:v>14.925000000000111</c:v>
                </c:pt>
                <c:pt idx="1197">
                  <c:v>14.93750000000011</c:v>
                </c:pt>
                <c:pt idx="1198">
                  <c:v>14.950000000000111</c:v>
                </c:pt>
                <c:pt idx="1199">
                  <c:v>14.962500000000112</c:v>
                </c:pt>
                <c:pt idx="1200">
                  <c:v>14.975000000000112</c:v>
                </c:pt>
                <c:pt idx="1201">
                  <c:v>14.987500000000111</c:v>
                </c:pt>
                <c:pt idx="1202">
                  <c:v>15.000000000000112</c:v>
                </c:pt>
                <c:pt idx="1203">
                  <c:v>15.000000000000112</c:v>
                </c:pt>
                <c:pt idx="1204">
                  <c:v>15.012500000000111</c:v>
                </c:pt>
                <c:pt idx="1205">
                  <c:v>15.025000000000112</c:v>
                </c:pt>
                <c:pt idx="1206">
                  <c:v>15.037500000000112</c:v>
                </c:pt>
                <c:pt idx="1207">
                  <c:v>15.050000000000113</c:v>
                </c:pt>
                <c:pt idx="1208">
                  <c:v>15.062500000000112</c:v>
                </c:pt>
                <c:pt idx="1209">
                  <c:v>15.075000000000111</c:v>
                </c:pt>
                <c:pt idx="1210">
                  <c:v>15.087500000000112</c:v>
                </c:pt>
                <c:pt idx="1211">
                  <c:v>15.100000000000112</c:v>
                </c:pt>
                <c:pt idx="1212">
                  <c:v>15.112500000000113</c:v>
                </c:pt>
                <c:pt idx="1213">
                  <c:v>15.125000000000112</c:v>
                </c:pt>
                <c:pt idx="1214">
                  <c:v>15.137500000000111</c:v>
                </c:pt>
                <c:pt idx="1215">
                  <c:v>15.150000000000112</c:v>
                </c:pt>
                <c:pt idx="1216">
                  <c:v>15.162500000000112</c:v>
                </c:pt>
                <c:pt idx="1217">
                  <c:v>15.175000000000113</c:v>
                </c:pt>
                <c:pt idx="1218">
                  <c:v>15.187500000000112</c:v>
                </c:pt>
                <c:pt idx="1219">
                  <c:v>15.200000000000111</c:v>
                </c:pt>
                <c:pt idx="1220">
                  <c:v>15.212500000000112</c:v>
                </c:pt>
                <c:pt idx="1221">
                  <c:v>15.225000000000112</c:v>
                </c:pt>
                <c:pt idx="1222">
                  <c:v>15.237500000000113</c:v>
                </c:pt>
                <c:pt idx="1223">
                  <c:v>15.250000000000112</c:v>
                </c:pt>
                <c:pt idx="1224">
                  <c:v>15.262500000000111</c:v>
                </c:pt>
                <c:pt idx="1225">
                  <c:v>15.275000000000112</c:v>
                </c:pt>
                <c:pt idx="1226">
                  <c:v>15.287500000000112</c:v>
                </c:pt>
                <c:pt idx="1227">
                  <c:v>15.300000000000113</c:v>
                </c:pt>
                <c:pt idx="1228">
                  <c:v>15.312500000000112</c:v>
                </c:pt>
                <c:pt idx="1229">
                  <c:v>15.325000000000111</c:v>
                </c:pt>
                <c:pt idx="1230">
                  <c:v>15.337500000000112</c:v>
                </c:pt>
                <c:pt idx="1231">
                  <c:v>15.350000000000112</c:v>
                </c:pt>
                <c:pt idx="1232">
                  <c:v>15.362500000000113</c:v>
                </c:pt>
                <c:pt idx="1233">
                  <c:v>15.375000000000112</c:v>
                </c:pt>
                <c:pt idx="1234">
                  <c:v>15.387500000000113</c:v>
                </c:pt>
                <c:pt idx="1235">
                  <c:v>15.400000000000112</c:v>
                </c:pt>
                <c:pt idx="1236">
                  <c:v>15.412500000000112</c:v>
                </c:pt>
                <c:pt idx="1237">
                  <c:v>15.425000000000113</c:v>
                </c:pt>
                <c:pt idx="1238">
                  <c:v>15.437500000000112</c:v>
                </c:pt>
                <c:pt idx="1239">
                  <c:v>15.450000000000113</c:v>
                </c:pt>
                <c:pt idx="1240">
                  <c:v>15.462500000000112</c:v>
                </c:pt>
                <c:pt idx="1241">
                  <c:v>15.475000000000112</c:v>
                </c:pt>
                <c:pt idx="1242">
                  <c:v>15.487500000000113</c:v>
                </c:pt>
                <c:pt idx="1243">
                  <c:v>15.500000000000112</c:v>
                </c:pt>
                <c:pt idx="1244">
                  <c:v>15.512500000000113</c:v>
                </c:pt>
                <c:pt idx="1245">
                  <c:v>15.525000000000112</c:v>
                </c:pt>
                <c:pt idx="1246">
                  <c:v>15.537500000000112</c:v>
                </c:pt>
                <c:pt idx="1247">
                  <c:v>15.550000000000113</c:v>
                </c:pt>
                <c:pt idx="1248">
                  <c:v>15.562500000000112</c:v>
                </c:pt>
                <c:pt idx="1249">
                  <c:v>15.575000000000111</c:v>
                </c:pt>
                <c:pt idx="1250">
                  <c:v>15.587500000000112</c:v>
                </c:pt>
                <c:pt idx="1251">
                  <c:v>15.600000000000112</c:v>
                </c:pt>
                <c:pt idx="1252">
                  <c:v>15.612500000000111</c:v>
                </c:pt>
                <c:pt idx="1253">
                  <c:v>15.625000000000112</c:v>
                </c:pt>
                <c:pt idx="1254">
                  <c:v>15.637500000000111</c:v>
                </c:pt>
                <c:pt idx="1255">
                  <c:v>15.650000000000112</c:v>
                </c:pt>
                <c:pt idx="1256">
                  <c:v>15.662500000000112</c:v>
                </c:pt>
                <c:pt idx="1257">
                  <c:v>15.675000000000111</c:v>
                </c:pt>
                <c:pt idx="1258">
                  <c:v>15.687500000000112</c:v>
                </c:pt>
                <c:pt idx="1259">
                  <c:v>15.700000000000111</c:v>
                </c:pt>
                <c:pt idx="1260">
                  <c:v>15.712500000000112</c:v>
                </c:pt>
                <c:pt idx="1261">
                  <c:v>15.725000000000112</c:v>
                </c:pt>
                <c:pt idx="1262">
                  <c:v>15.737500000000111</c:v>
                </c:pt>
                <c:pt idx="1263">
                  <c:v>15.750000000000112</c:v>
                </c:pt>
                <c:pt idx="1264">
                  <c:v>15.762500000000111</c:v>
                </c:pt>
                <c:pt idx="1265">
                  <c:v>15.77500000000011</c:v>
                </c:pt>
                <c:pt idx="1266">
                  <c:v>15.787500000000112</c:v>
                </c:pt>
                <c:pt idx="1267">
                  <c:v>15.800000000000111</c:v>
                </c:pt>
                <c:pt idx="1268">
                  <c:v>15.81250000000011</c:v>
                </c:pt>
                <c:pt idx="1269">
                  <c:v>15.825000000000111</c:v>
                </c:pt>
                <c:pt idx="1270">
                  <c:v>15.83750000000011</c:v>
                </c:pt>
                <c:pt idx="1271">
                  <c:v>15.850000000000112</c:v>
                </c:pt>
                <c:pt idx="1272">
                  <c:v>15.862500000000111</c:v>
                </c:pt>
                <c:pt idx="1273">
                  <c:v>15.87500000000011</c:v>
                </c:pt>
                <c:pt idx="1274">
                  <c:v>15.887500000000111</c:v>
                </c:pt>
                <c:pt idx="1275">
                  <c:v>15.90000000000011</c:v>
                </c:pt>
                <c:pt idx="1276">
                  <c:v>15.912500000000112</c:v>
                </c:pt>
                <c:pt idx="1277">
                  <c:v>15.925000000000111</c:v>
                </c:pt>
                <c:pt idx="1278">
                  <c:v>15.93750000000011</c:v>
                </c:pt>
                <c:pt idx="1279">
                  <c:v>15.950000000000111</c:v>
                </c:pt>
                <c:pt idx="1280">
                  <c:v>15.96250000000011</c:v>
                </c:pt>
                <c:pt idx="1281">
                  <c:v>15.97500000000011</c:v>
                </c:pt>
                <c:pt idx="1282">
                  <c:v>15.987500000000111</c:v>
                </c:pt>
                <c:pt idx="1283">
                  <c:v>16.00000000000011</c:v>
                </c:pt>
                <c:pt idx="1284">
                  <c:v>16.012500000000109</c:v>
                </c:pt>
                <c:pt idx="1285">
                  <c:v>16.025000000000109</c:v>
                </c:pt>
                <c:pt idx="1286">
                  <c:v>16.037500000000112</c:v>
                </c:pt>
                <c:pt idx="1287">
                  <c:v>16.050000000000111</c:v>
                </c:pt>
                <c:pt idx="1288">
                  <c:v>16.06250000000011</c:v>
                </c:pt>
                <c:pt idx="1289">
                  <c:v>16.075000000000109</c:v>
                </c:pt>
                <c:pt idx="1290">
                  <c:v>16.087500000000109</c:v>
                </c:pt>
                <c:pt idx="1291">
                  <c:v>16.100000000000112</c:v>
                </c:pt>
                <c:pt idx="1292">
                  <c:v>16.112500000000111</c:v>
                </c:pt>
                <c:pt idx="1293">
                  <c:v>16.12500000000011</c:v>
                </c:pt>
                <c:pt idx="1294">
                  <c:v>16.137500000000109</c:v>
                </c:pt>
                <c:pt idx="1295">
                  <c:v>16.150000000000109</c:v>
                </c:pt>
                <c:pt idx="1296">
                  <c:v>16.162500000000108</c:v>
                </c:pt>
                <c:pt idx="1297">
                  <c:v>16.175000000000111</c:v>
                </c:pt>
                <c:pt idx="1298">
                  <c:v>16.18750000000011</c:v>
                </c:pt>
                <c:pt idx="1299">
                  <c:v>16.200000000000109</c:v>
                </c:pt>
                <c:pt idx="1300">
                  <c:v>16.212500000000109</c:v>
                </c:pt>
                <c:pt idx="1301">
                  <c:v>16.225000000000108</c:v>
                </c:pt>
                <c:pt idx="1302">
                  <c:v>16.237500000000111</c:v>
                </c:pt>
                <c:pt idx="1303">
                  <c:v>16.25000000000011</c:v>
                </c:pt>
                <c:pt idx="1304">
                  <c:v>16.262500000000109</c:v>
                </c:pt>
                <c:pt idx="1305">
                  <c:v>16.275000000000109</c:v>
                </c:pt>
                <c:pt idx="1306">
                  <c:v>16.287500000000108</c:v>
                </c:pt>
                <c:pt idx="1307">
                  <c:v>16.300000000000111</c:v>
                </c:pt>
                <c:pt idx="1308">
                  <c:v>16.31250000000011</c:v>
                </c:pt>
                <c:pt idx="1309">
                  <c:v>16.325000000000109</c:v>
                </c:pt>
                <c:pt idx="1310">
                  <c:v>16.337500000000109</c:v>
                </c:pt>
                <c:pt idx="1311">
                  <c:v>16.350000000000108</c:v>
                </c:pt>
                <c:pt idx="1312">
                  <c:v>16.362500000000111</c:v>
                </c:pt>
                <c:pt idx="1313">
                  <c:v>16.37500000000011</c:v>
                </c:pt>
                <c:pt idx="1314">
                  <c:v>16.387500000000109</c:v>
                </c:pt>
                <c:pt idx="1315">
                  <c:v>16.400000000000109</c:v>
                </c:pt>
                <c:pt idx="1316">
                  <c:v>16.412500000000108</c:v>
                </c:pt>
                <c:pt idx="1317">
                  <c:v>16.425000000000107</c:v>
                </c:pt>
                <c:pt idx="1318">
                  <c:v>16.43750000000011</c:v>
                </c:pt>
                <c:pt idx="1319">
                  <c:v>16.450000000000109</c:v>
                </c:pt>
                <c:pt idx="1320">
                  <c:v>16.462500000000109</c:v>
                </c:pt>
                <c:pt idx="1321">
                  <c:v>16.475000000000108</c:v>
                </c:pt>
                <c:pt idx="1322">
                  <c:v>16.487500000000107</c:v>
                </c:pt>
                <c:pt idx="1323">
                  <c:v>16.50000000000011</c:v>
                </c:pt>
                <c:pt idx="1324">
                  <c:v>16.512500000000109</c:v>
                </c:pt>
                <c:pt idx="1325">
                  <c:v>16.525000000000109</c:v>
                </c:pt>
                <c:pt idx="1326">
                  <c:v>16.537500000000108</c:v>
                </c:pt>
                <c:pt idx="1327">
                  <c:v>16.550000000000107</c:v>
                </c:pt>
                <c:pt idx="1328">
                  <c:v>16.562500000000107</c:v>
                </c:pt>
                <c:pt idx="1329">
                  <c:v>16.575000000000109</c:v>
                </c:pt>
                <c:pt idx="1330">
                  <c:v>16.587500000000109</c:v>
                </c:pt>
                <c:pt idx="1331">
                  <c:v>16.600000000000108</c:v>
                </c:pt>
                <c:pt idx="1332">
                  <c:v>16.612500000000107</c:v>
                </c:pt>
                <c:pt idx="1333">
                  <c:v>16.625000000000107</c:v>
                </c:pt>
                <c:pt idx="1334">
                  <c:v>16.637500000000109</c:v>
                </c:pt>
                <c:pt idx="1335">
                  <c:v>16.650000000000109</c:v>
                </c:pt>
                <c:pt idx="1336">
                  <c:v>16.662500000000108</c:v>
                </c:pt>
                <c:pt idx="1337">
                  <c:v>16.675000000000107</c:v>
                </c:pt>
                <c:pt idx="1338">
                  <c:v>16.687500000000107</c:v>
                </c:pt>
                <c:pt idx="1339">
                  <c:v>16.700000000000109</c:v>
                </c:pt>
                <c:pt idx="1340">
                  <c:v>16.712500000000109</c:v>
                </c:pt>
                <c:pt idx="1341">
                  <c:v>16.725000000000108</c:v>
                </c:pt>
                <c:pt idx="1342">
                  <c:v>16.737500000000107</c:v>
                </c:pt>
                <c:pt idx="1343">
                  <c:v>16.750000000000107</c:v>
                </c:pt>
                <c:pt idx="1344">
                  <c:v>16.762500000000109</c:v>
                </c:pt>
                <c:pt idx="1345">
                  <c:v>16.775000000000109</c:v>
                </c:pt>
                <c:pt idx="1346">
                  <c:v>16.787500000000108</c:v>
                </c:pt>
                <c:pt idx="1347">
                  <c:v>16.800000000000107</c:v>
                </c:pt>
                <c:pt idx="1348">
                  <c:v>16.812500000000107</c:v>
                </c:pt>
                <c:pt idx="1349">
                  <c:v>16.825000000000106</c:v>
                </c:pt>
                <c:pt idx="1350">
                  <c:v>16.837500000000109</c:v>
                </c:pt>
                <c:pt idx="1351">
                  <c:v>16.850000000000108</c:v>
                </c:pt>
                <c:pt idx="1352">
                  <c:v>16.862500000000107</c:v>
                </c:pt>
                <c:pt idx="1353">
                  <c:v>16.875000000000107</c:v>
                </c:pt>
                <c:pt idx="1354">
                  <c:v>16.887500000000106</c:v>
                </c:pt>
                <c:pt idx="1355">
                  <c:v>16.900000000000109</c:v>
                </c:pt>
                <c:pt idx="1356">
                  <c:v>16.912500000000108</c:v>
                </c:pt>
                <c:pt idx="1357">
                  <c:v>16.925000000000107</c:v>
                </c:pt>
                <c:pt idx="1358">
                  <c:v>16.937500000000107</c:v>
                </c:pt>
                <c:pt idx="1359">
                  <c:v>16.950000000000106</c:v>
                </c:pt>
                <c:pt idx="1360">
                  <c:v>16.962500000000105</c:v>
                </c:pt>
                <c:pt idx="1361">
                  <c:v>16.975000000000108</c:v>
                </c:pt>
                <c:pt idx="1362">
                  <c:v>16.987500000000107</c:v>
                </c:pt>
                <c:pt idx="1363">
                  <c:v>17.000000000000107</c:v>
                </c:pt>
                <c:pt idx="1364">
                  <c:v>17.012500000000106</c:v>
                </c:pt>
                <c:pt idx="1365">
                  <c:v>17.025000000000105</c:v>
                </c:pt>
                <c:pt idx="1366">
                  <c:v>17.037500000000108</c:v>
                </c:pt>
                <c:pt idx="1367">
                  <c:v>17.050000000000107</c:v>
                </c:pt>
                <c:pt idx="1368">
                  <c:v>17.062500000000107</c:v>
                </c:pt>
                <c:pt idx="1369">
                  <c:v>17.075000000000109</c:v>
                </c:pt>
                <c:pt idx="1370">
                  <c:v>17.087500000000109</c:v>
                </c:pt>
                <c:pt idx="1371">
                  <c:v>17.100000000000108</c:v>
                </c:pt>
                <c:pt idx="1372">
                  <c:v>17.112500000000107</c:v>
                </c:pt>
                <c:pt idx="1373">
                  <c:v>17.125000000000107</c:v>
                </c:pt>
                <c:pt idx="1374">
                  <c:v>17.137500000000109</c:v>
                </c:pt>
                <c:pt idx="1375">
                  <c:v>17.150000000000109</c:v>
                </c:pt>
                <c:pt idx="1376">
                  <c:v>17.162500000000108</c:v>
                </c:pt>
                <c:pt idx="1377">
                  <c:v>17.175000000000111</c:v>
                </c:pt>
                <c:pt idx="1378">
                  <c:v>17.18750000000011</c:v>
                </c:pt>
                <c:pt idx="1379">
                  <c:v>17.200000000000109</c:v>
                </c:pt>
                <c:pt idx="1380">
                  <c:v>17.212500000000109</c:v>
                </c:pt>
                <c:pt idx="1381">
                  <c:v>17.225000000000108</c:v>
                </c:pt>
                <c:pt idx="1382">
                  <c:v>17.237500000000111</c:v>
                </c:pt>
                <c:pt idx="1383">
                  <c:v>17.25000000000011</c:v>
                </c:pt>
                <c:pt idx="1384">
                  <c:v>17.262500000000109</c:v>
                </c:pt>
                <c:pt idx="1385">
                  <c:v>17.275000000000112</c:v>
                </c:pt>
                <c:pt idx="1386">
                  <c:v>17.287500000000112</c:v>
                </c:pt>
                <c:pt idx="1387">
                  <c:v>17.300000000000111</c:v>
                </c:pt>
                <c:pt idx="1388">
                  <c:v>17.31250000000011</c:v>
                </c:pt>
                <c:pt idx="1389">
                  <c:v>17.325000000000109</c:v>
                </c:pt>
                <c:pt idx="1390">
                  <c:v>17.337500000000112</c:v>
                </c:pt>
                <c:pt idx="1391">
                  <c:v>17.350000000000112</c:v>
                </c:pt>
                <c:pt idx="1392">
                  <c:v>17.362500000000111</c:v>
                </c:pt>
                <c:pt idx="1393">
                  <c:v>17.375000000000114</c:v>
                </c:pt>
                <c:pt idx="1394">
                  <c:v>17.387500000000113</c:v>
                </c:pt>
                <c:pt idx="1395">
                  <c:v>17.400000000000112</c:v>
                </c:pt>
                <c:pt idx="1396">
                  <c:v>17.412500000000112</c:v>
                </c:pt>
                <c:pt idx="1397">
                  <c:v>17.425000000000111</c:v>
                </c:pt>
                <c:pt idx="1398">
                  <c:v>17.437500000000114</c:v>
                </c:pt>
                <c:pt idx="1399">
                  <c:v>17.450000000000113</c:v>
                </c:pt>
                <c:pt idx="1400">
                  <c:v>17.462500000000112</c:v>
                </c:pt>
                <c:pt idx="1401">
                  <c:v>17.475000000000115</c:v>
                </c:pt>
                <c:pt idx="1402">
                  <c:v>17.487500000000114</c:v>
                </c:pt>
                <c:pt idx="1403">
                  <c:v>17.500000000000114</c:v>
                </c:pt>
                <c:pt idx="1404">
                  <c:v>17.512500000000113</c:v>
                </c:pt>
                <c:pt idx="1405">
                  <c:v>17.525000000000112</c:v>
                </c:pt>
                <c:pt idx="1406">
                  <c:v>17.537500000000115</c:v>
                </c:pt>
                <c:pt idx="1407">
                  <c:v>17.550000000000114</c:v>
                </c:pt>
                <c:pt idx="1408">
                  <c:v>17.562500000000114</c:v>
                </c:pt>
                <c:pt idx="1409">
                  <c:v>17.575000000000117</c:v>
                </c:pt>
                <c:pt idx="1410">
                  <c:v>17.587500000000116</c:v>
                </c:pt>
                <c:pt idx="1411">
                  <c:v>17.600000000000115</c:v>
                </c:pt>
                <c:pt idx="1412">
                  <c:v>17.612500000000114</c:v>
                </c:pt>
                <c:pt idx="1413">
                  <c:v>17.625000000000114</c:v>
                </c:pt>
                <c:pt idx="1414">
                  <c:v>17.637500000000117</c:v>
                </c:pt>
                <c:pt idx="1415">
                  <c:v>17.650000000000116</c:v>
                </c:pt>
                <c:pt idx="1416">
                  <c:v>17.662500000000115</c:v>
                </c:pt>
                <c:pt idx="1417">
                  <c:v>17.675000000000118</c:v>
                </c:pt>
                <c:pt idx="1418">
                  <c:v>17.687500000000117</c:v>
                </c:pt>
                <c:pt idx="1419">
                  <c:v>17.700000000000117</c:v>
                </c:pt>
                <c:pt idx="1420">
                  <c:v>17.712500000000116</c:v>
                </c:pt>
                <c:pt idx="1421">
                  <c:v>17.725000000000115</c:v>
                </c:pt>
                <c:pt idx="1422">
                  <c:v>17.737500000000118</c:v>
                </c:pt>
                <c:pt idx="1423">
                  <c:v>17.750000000000117</c:v>
                </c:pt>
                <c:pt idx="1424">
                  <c:v>17.762500000000117</c:v>
                </c:pt>
                <c:pt idx="1425">
                  <c:v>17.775000000000119</c:v>
                </c:pt>
                <c:pt idx="1426">
                  <c:v>17.787500000000119</c:v>
                </c:pt>
                <c:pt idx="1427">
                  <c:v>17.800000000000118</c:v>
                </c:pt>
                <c:pt idx="1428">
                  <c:v>17.812500000000117</c:v>
                </c:pt>
                <c:pt idx="1429">
                  <c:v>17.825000000000117</c:v>
                </c:pt>
                <c:pt idx="1430">
                  <c:v>17.837500000000119</c:v>
                </c:pt>
                <c:pt idx="1431">
                  <c:v>17.850000000000119</c:v>
                </c:pt>
                <c:pt idx="1432">
                  <c:v>17.862500000000118</c:v>
                </c:pt>
                <c:pt idx="1433">
                  <c:v>17.875000000000121</c:v>
                </c:pt>
                <c:pt idx="1434">
                  <c:v>17.88750000000012</c:v>
                </c:pt>
                <c:pt idx="1435">
                  <c:v>17.900000000000119</c:v>
                </c:pt>
                <c:pt idx="1436">
                  <c:v>17.912500000000119</c:v>
                </c:pt>
                <c:pt idx="1437">
                  <c:v>17.925000000000118</c:v>
                </c:pt>
                <c:pt idx="1438">
                  <c:v>17.937500000000121</c:v>
                </c:pt>
                <c:pt idx="1439">
                  <c:v>17.95000000000012</c:v>
                </c:pt>
                <c:pt idx="1440">
                  <c:v>17.962500000000119</c:v>
                </c:pt>
                <c:pt idx="1441">
                  <c:v>17.975000000000122</c:v>
                </c:pt>
                <c:pt idx="1442">
                  <c:v>17.987500000000122</c:v>
                </c:pt>
                <c:pt idx="1443">
                  <c:v>18.000000000000121</c:v>
                </c:pt>
                <c:pt idx="1444">
                  <c:v>18.01250000000012</c:v>
                </c:pt>
                <c:pt idx="1445">
                  <c:v>18.025000000000119</c:v>
                </c:pt>
                <c:pt idx="1446">
                  <c:v>18.037500000000122</c:v>
                </c:pt>
                <c:pt idx="1447">
                  <c:v>18.050000000000122</c:v>
                </c:pt>
                <c:pt idx="1448">
                  <c:v>18.062500000000121</c:v>
                </c:pt>
                <c:pt idx="1449">
                  <c:v>18.075000000000124</c:v>
                </c:pt>
                <c:pt idx="1450">
                  <c:v>18.087500000000123</c:v>
                </c:pt>
                <c:pt idx="1451">
                  <c:v>18.100000000000122</c:v>
                </c:pt>
                <c:pt idx="1452">
                  <c:v>18.112500000000122</c:v>
                </c:pt>
                <c:pt idx="1453">
                  <c:v>18.125000000000121</c:v>
                </c:pt>
                <c:pt idx="1454">
                  <c:v>18.137500000000124</c:v>
                </c:pt>
                <c:pt idx="1455">
                  <c:v>18.150000000000123</c:v>
                </c:pt>
                <c:pt idx="1456">
                  <c:v>18.162500000000122</c:v>
                </c:pt>
                <c:pt idx="1457">
                  <c:v>18.175000000000125</c:v>
                </c:pt>
                <c:pt idx="1458">
                  <c:v>18.187500000000124</c:v>
                </c:pt>
                <c:pt idx="1459">
                  <c:v>18.200000000000124</c:v>
                </c:pt>
                <c:pt idx="1460">
                  <c:v>18.212500000000123</c:v>
                </c:pt>
                <c:pt idx="1461">
                  <c:v>18.225000000000122</c:v>
                </c:pt>
                <c:pt idx="1462">
                  <c:v>18.237500000000125</c:v>
                </c:pt>
                <c:pt idx="1463">
                  <c:v>18.250000000000124</c:v>
                </c:pt>
                <c:pt idx="1464">
                  <c:v>18.262500000000124</c:v>
                </c:pt>
                <c:pt idx="1465">
                  <c:v>18.275000000000126</c:v>
                </c:pt>
                <c:pt idx="1466">
                  <c:v>18.287500000000126</c:v>
                </c:pt>
                <c:pt idx="1467">
                  <c:v>18.300000000000125</c:v>
                </c:pt>
                <c:pt idx="1468">
                  <c:v>18.312500000000124</c:v>
                </c:pt>
                <c:pt idx="1469">
                  <c:v>18.325000000000124</c:v>
                </c:pt>
                <c:pt idx="1470">
                  <c:v>18.337500000000126</c:v>
                </c:pt>
                <c:pt idx="1471">
                  <c:v>18.350000000000126</c:v>
                </c:pt>
                <c:pt idx="1472">
                  <c:v>18.362500000000125</c:v>
                </c:pt>
                <c:pt idx="1473">
                  <c:v>18.375000000000128</c:v>
                </c:pt>
                <c:pt idx="1474">
                  <c:v>18.387500000000127</c:v>
                </c:pt>
                <c:pt idx="1475">
                  <c:v>18.400000000000126</c:v>
                </c:pt>
                <c:pt idx="1476">
                  <c:v>18.412500000000126</c:v>
                </c:pt>
                <c:pt idx="1477">
                  <c:v>18.425000000000125</c:v>
                </c:pt>
                <c:pt idx="1478">
                  <c:v>18.437500000000128</c:v>
                </c:pt>
                <c:pt idx="1479">
                  <c:v>18.450000000000127</c:v>
                </c:pt>
                <c:pt idx="1480">
                  <c:v>18.462500000000126</c:v>
                </c:pt>
                <c:pt idx="1481">
                  <c:v>18.475000000000129</c:v>
                </c:pt>
                <c:pt idx="1482">
                  <c:v>18.487500000000129</c:v>
                </c:pt>
                <c:pt idx="1483">
                  <c:v>18.500000000000128</c:v>
                </c:pt>
                <c:pt idx="1484">
                  <c:v>18.512500000000127</c:v>
                </c:pt>
                <c:pt idx="1485">
                  <c:v>18.525000000000126</c:v>
                </c:pt>
                <c:pt idx="1486">
                  <c:v>18.537500000000129</c:v>
                </c:pt>
                <c:pt idx="1487">
                  <c:v>18.550000000000129</c:v>
                </c:pt>
                <c:pt idx="1488">
                  <c:v>18.562500000000128</c:v>
                </c:pt>
                <c:pt idx="1489">
                  <c:v>18.575000000000131</c:v>
                </c:pt>
                <c:pt idx="1490">
                  <c:v>18.58750000000013</c:v>
                </c:pt>
                <c:pt idx="1491">
                  <c:v>18.600000000000129</c:v>
                </c:pt>
                <c:pt idx="1492">
                  <c:v>18.612500000000129</c:v>
                </c:pt>
                <c:pt idx="1493">
                  <c:v>18.625000000000128</c:v>
                </c:pt>
                <c:pt idx="1494">
                  <c:v>18.637500000000131</c:v>
                </c:pt>
                <c:pt idx="1495">
                  <c:v>18.65000000000013</c:v>
                </c:pt>
                <c:pt idx="1496">
                  <c:v>18.662500000000129</c:v>
                </c:pt>
                <c:pt idx="1497">
                  <c:v>18.675000000000132</c:v>
                </c:pt>
                <c:pt idx="1498">
                  <c:v>18.687500000000131</c:v>
                </c:pt>
                <c:pt idx="1499">
                  <c:v>18.700000000000131</c:v>
                </c:pt>
                <c:pt idx="1500">
                  <c:v>18.71250000000013</c:v>
                </c:pt>
                <c:pt idx="1501">
                  <c:v>18.725000000000129</c:v>
                </c:pt>
                <c:pt idx="1502">
                  <c:v>18.737500000000132</c:v>
                </c:pt>
                <c:pt idx="1503">
                  <c:v>18.750000000000131</c:v>
                </c:pt>
                <c:pt idx="1504">
                  <c:v>18.762500000000131</c:v>
                </c:pt>
                <c:pt idx="1505">
                  <c:v>18.775000000000134</c:v>
                </c:pt>
                <c:pt idx="1506">
                  <c:v>18.787500000000133</c:v>
                </c:pt>
                <c:pt idx="1507">
                  <c:v>18.800000000000132</c:v>
                </c:pt>
                <c:pt idx="1508">
                  <c:v>18.812500000000131</c:v>
                </c:pt>
                <c:pt idx="1509">
                  <c:v>18.825000000000131</c:v>
                </c:pt>
                <c:pt idx="1510">
                  <c:v>18.837500000000134</c:v>
                </c:pt>
                <c:pt idx="1511">
                  <c:v>18.850000000000133</c:v>
                </c:pt>
                <c:pt idx="1512">
                  <c:v>18.862500000000132</c:v>
                </c:pt>
                <c:pt idx="1513">
                  <c:v>18.875000000000135</c:v>
                </c:pt>
                <c:pt idx="1514">
                  <c:v>18.887500000000134</c:v>
                </c:pt>
                <c:pt idx="1515">
                  <c:v>18.900000000000134</c:v>
                </c:pt>
                <c:pt idx="1516">
                  <c:v>18.912500000000133</c:v>
                </c:pt>
                <c:pt idx="1517">
                  <c:v>18.925000000000132</c:v>
                </c:pt>
                <c:pt idx="1518">
                  <c:v>18.937500000000135</c:v>
                </c:pt>
                <c:pt idx="1519">
                  <c:v>18.950000000000134</c:v>
                </c:pt>
                <c:pt idx="1520">
                  <c:v>18.962500000000134</c:v>
                </c:pt>
                <c:pt idx="1521">
                  <c:v>18.975000000000136</c:v>
                </c:pt>
                <c:pt idx="1522">
                  <c:v>18.987500000000136</c:v>
                </c:pt>
                <c:pt idx="1523">
                  <c:v>19.000000000000135</c:v>
                </c:pt>
                <c:pt idx="1524">
                  <c:v>19.012500000000134</c:v>
                </c:pt>
                <c:pt idx="1525">
                  <c:v>19.025000000000134</c:v>
                </c:pt>
                <c:pt idx="1526">
                  <c:v>19.037500000000136</c:v>
                </c:pt>
                <c:pt idx="1527">
                  <c:v>19.050000000000136</c:v>
                </c:pt>
                <c:pt idx="1528">
                  <c:v>19.062500000000135</c:v>
                </c:pt>
                <c:pt idx="1529">
                  <c:v>19.075000000000138</c:v>
                </c:pt>
                <c:pt idx="1530">
                  <c:v>19.087500000000137</c:v>
                </c:pt>
                <c:pt idx="1531">
                  <c:v>19.100000000000136</c:v>
                </c:pt>
                <c:pt idx="1532">
                  <c:v>19.112500000000136</c:v>
                </c:pt>
                <c:pt idx="1533">
                  <c:v>19.125000000000135</c:v>
                </c:pt>
                <c:pt idx="1534">
                  <c:v>19.137500000000138</c:v>
                </c:pt>
                <c:pt idx="1535">
                  <c:v>19.150000000000137</c:v>
                </c:pt>
                <c:pt idx="1536">
                  <c:v>19.162500000000136</c:v>
                </c:pt>
                <c:pt idx="1537">
                  <c:v>19.175000000000139</c:v>
                </c:pt>
                <c:pt idx="1538">
                  <c:v>19.187500000000139</c:v>
                </c:pt>
                <c:pt idx="1539">
                  <c:v>19.200000000000138</c:v>
                </c:pt>
                <c:pt idx="1540">
                  <c:v>19.212500000000137</c:v>
                </c:pt>
                <c:pt idx="1541">
                  <c:v>19.225000000000136</c:v>
                </c:pt>
                <c:pt idx="1542">
                  <c:v>19.237500000000139</c:v>
                </c:pt>
                <c:pt idx="1543">
                  <c:v>19.250000000000139</c:v>
                </c:pt>
                <c:pt idx="1544">
                  <c:v>19.262500000000138</c:v>
                </c:pt>
                <c:pt idx="1545">
                  <c:v>19.275000000000141</c:v>
                </c:pt>
                <c:pt idx="1546">
                  <c:v>19.28750000000014</c:v>
                </c:pt>
                <c:pt idx="1547">
                  <c:v>19.300000000000139</c:v>
                </c:pt>
                <c:pt idx="1548">
                  <c:v>19.312500000000139</c:v>
                </c:pt>
                <c:pt idx="1549">
                  <c:v>19.325000000000138</c:v>
                </c:pt>
                <c:pt idx="1550">
                  <c:v>19.337500000000141</c:v>
                </c:pt>
                <c:pt idx="1551">
                  <c:v>19.35000000000014</c:v>
                </c:pt>
                <c:pt idx="1552">
                  <c:v>19.362500000000139</c:v>
                </c:pt>
                <c:pt idx="1553">
                  <c:v>19.375000000000142</c:v>
                </c:pt>
                <c:pt idx="1554">
                  <c:v>19.387500000000141</c:v>
                </c:pt>
                <c:pt idx="1555">
                  <c:v>19.400000000000141</c:v>
                </c:pt>
                <c:pt idx="1556">
                  <c:v>19.41250000000014</c:v>
                </c:pt>
                <c:pt idx="1557">
                  <c:v>19.425000000000139</c:v>
                </c:pt>
                <c:pt idx="1558">
                  <c:v>19.437500000000142</c:v>
                </c:pt>
                <c:pt idx="1559">
                  <c:v>19.450000000000141</c:v>
                </c:pt>
                <c:pt idx="1560">
                  <c:v>19.462500000000141</c:v>
                </c:pt>
                <c:pt idx="1561">
                  <c:v>19.475000000000144</c:v>
                </c:pt>
                <c:pt idx="1562">
                  <c:v>19.487500000000143</c:v>
                </c:pt>
                <c:pt idx="1563">
                  <c:v>19.500000000000142</c:v>
                </c:pt>
                <c:pt idx="1564">
                  <c:v>19.512500000000141</c:v>
                </c:pt>
                <c:pt idx="1565">
                  <c:v>19.525000000000141</c:v>
                </c:pt>
                <c:pt idx="1566">
                  <c:v>19.537500000000144</c:v>
                </c:pt>
                <c:pt idx="1567">
                  <c:v>19.550000000000143</c:v>
                </c:pt>
                <c:pt idx="1568">
                  <c:v>19.562500000000142</c:v>
                </c:pt>
                <c:pt idx="1569">
                  <c:v>19.575000000000145</c:v>
                </c:pt>
                <c:pt idx="1570">
                  <c:v>19.587500000000144</c:v>
                </c:pt>
                <c:pt idx="1571">
                  <c:v>19.600000000000144</c:v>
                </c:pt>
                <c:pt idx="1572">
                  <c:v>19.612500000000143</c:v>
                </c:pt>
                <c:pt idx="1573">
                  <c:v>19.625000000000142</c:v>
                </c:pt>
                <c:pt idx="1574">
                  <c:v>19.637500000000145</c:v>
                </c:pt>
                <c:pt idx="1575">
                  <c:v>19.650000000000144</c:v>
                </c:pt>
                <c:pt idx="1576">
                  <c:v>19.662500000000144</c:v>
                </c:pt>
                <c:pt idx="1577">
                  <c:v>19.675000000000146</c:v>
                </c:pt>
                <c:pt idx="1578">
                  <c:v>19.687500000000146</c:v>
                </c:pt>
                <c:pt idx="1579">
                  <c:v>19.700000000000145</c:v>
                </c:pt>
                <c:pt idx="1580">
                  <c:v>19.712500000000144</c:v>
                </c:pt>
                <c:pt idx="1581">
                  <c:v>19.725000000000144</c:v>
                </c:pt>
                <c:pt idx="1582">
                  <c:v>19.737500000000146</c:v>
                </c:pt>
                <c:pt idx="1583">
                  <c:v>19.750000000000146</c:v>
                </c:pt>
                <c:pt idx="1584">
                  <c:v>19.762500000000145</c:v>
                </c:pt>
                <c:pt idx="1585">
                  <c:v>19.775000000000148</c:v>
                </c:pt>
                <c:pt idx="1586">
                  <c:v>19.787500000000147</c:v>
                </c:pt>
                <c:pt idx="1587">
                  <c:v>19.800000000000146</c:v>
                </c:pt>
                <c:pt idx="1588">
                  <c:v>19.812500000000146</c:v>
                </c:pt>
                <c:pt idx="1589">
                  <c:v>19.825000000000145</c:v>
                </c:pt>
                <c:pt idx="1590">
                  <c:v>19.837500000000148</c:v>
                </c:pt>
                <c:pt idx="1591">
                  <c:v>19.850000000000147</c:v>
                </c:pt>
                <c:pt idx="1592">
                  <c:v>19.862500000000146</c:v>
                </c:pt>
                <c:pt idx="1593">
                  <c:v>19.875000000000149</c:v>
                </c:pt>
                <c:pt idx="1594">
                  <c:v>19.887500000000149</c:v>
                </c:pt>
                <c:pt idx="1595">
                  <c:v>19.900000000000148</c:v>
                </c:pt>
                <c:pt idx="1596">
                  <c:v>19.912500000000147</c:v>
                </c:pt>
                <c:pt idx="1597">
                  <c:v>19.925000000000146</c:v>
                </c:pt>
                <c:pt idx="1598">
                  <c:v>19.937500000000149</c:v>
                </c:pt>
                <c:pt idx="1599">
                  <c:v>19.950000000000149</c:v>
                </c:pt>
                <c:pt idx="1600">
                  <c:v>19.962500000000148</c:v>
                </c:pt>
                <c:pt idx="1601">
                  <c:v>19.975000000000151</c:v>
                </c:pt>
                <c:pt idx="1602">
                  <c:v>19.98750000000015</c:v>
                </c:pt>
                <c:pt idx="1603">
                  <c:v>20.000000000000149</c:v>
                </c:pt>
              </c:numCache>
            </c:numRef>
          </c:xVal>
          <c:yVal>
            <c:numRef>
              <c:f>Plot_Beam!$N$13:$N$1616</c:f>
              <c:numCache>
                <c:formatCode>General</c:formatCode>
                <c:ptCount val="1604"/>
                <c:pt idx="0">
                  <c:v>-7.3300306861887708E-8</c:v>
                </c:pt>
                <c:pt idx="1">
                  <c:v>-8.0463543413188808E-8</c:v>
                </c:pt>
                <c:pt idx="2">
                  <c:v>-8.8098038679430728E-8</c:v>
                </c:pt>
                <c:pt idx="3">
                  <c:v>-9.6195915386133329E-8</c:v>
                </c:pt>
                <c:pt idx="4">
                  <c:v>-1.047493371842418E-7</c:v>
                </c:pt>
                <c:pt idx="5">
                  <c:v>-1.1375050865012673E-7</c:v>
                </c:pt>
                <c:pt idx="6">
                  <c:v>-1.2319167528558406E-7</c:v>
                </c:pt>
                <c:pt idx="7">
                  <c:v>-1.3306512351783503E-7</c:v>
                </c:pt>
                <c:pt idx="8">
                  <c:v>-1.4336318069952637E-7</c:v>
                </c:pt>
                <c:pt idx="9">
                  <c:v>-1.5407821510873007E-7</c:v>
                </c:pt>
                <c:pt idx="10">
                  <c:v>-1.652026359489435E-7</c:v>
                </c:pt>
                <c:pt idx="11">
                  <c:v>-1.7672889334908941E-7</c:v>
                </c:pt>
                <c:pt idx="12">
                  <c:v>-1.8864947836351594E-7</c:v>
                </c:pt>
                <c:pt idx="13">
                  <c:v>-2.0095692297199656E-7</c:v>
                </c:pt>
                <c:pt idx="14">
                  <c:v>-2.1364380007973007E-7</c:v>
                </c:pt>
                <c:pt idx="15">
                  <c:v>-2.2670272351734069E-7</c:v>
                </c:pt>
                <c:pt idx="16">
                  <c:v>-2.4012634804087792E-7</c:v>
                </c:pt>
                <c:pt idx="17">
                  <c:v>-2.5390736933181675E-7</c:v>
                </c:pt>
                <c:pt idx="18">
                  <c:v>-2.6803852399705746E-7</c:v>
                </c:pt>
                <c:pt idx="19">
                  <c:v>-2.8251258956892569E-7</c:v>
                </c:pt>
                <c:pt idx="20">
                  <c:v>-2.9732238450517234E-7</c:v>
                </c:pt>
                <c:pt idx="21">
                  <c:v>-3.1246076818897396E-7</c:v>
                </c:pt>
                <c:pt idx="22">
                  <c:v>-3.2792064092893223E-7</c:v>
                </c:pt>
                <c:pt idx="23">
                  <c:v>-3.4369494395907419E-7</c:v>
                </c:pt>
                <c:pt idx="24">
                  <c:v>-3.5977665943885228E-7</c:v>
                </c:pt>
                <c:pt idx="25">
                  <c:v>-3.7615881045314439E-7</c:v>
                </c:pt>
                <c:pt idx="26">
                  <c:v>-3.9283446101225364E-7</c:v>
                </c:pt>
                <c:pt idx="27">
                  <c:v>-4.0979671605190864E-7</c:v>
                </c:pt>
                <c:pt idx="28">
                  <c:v>-4.2703872143326324E-7</c:v>
                </c:pt>
                <c:pt idx="29">
                  <c:v>-4.4455366394289685E-7</c:v>
                </c:pt>
                <c:pt idx="30">
                  <c:v>-4.6233477129281392E-7</c:v>
                </c:pt>
                <c:pt idx="31">
                  <c:v>-4.8037531212044449E-7</c:v>
                </c:pt>
                <c:pt idx="32">
                  <c:v>-4.9866859598864393E-7</c:v>
                </c:pt>
                <c:pt idx="33">
                  <c:v>-5.1720797338569308E-7</c:v>
                </c:pt>
                <c:pt idx="34">
                  <c:v>-5.3598683572529793E-7</c:v>
                </c:pt>
                <c:pt idx="35">
                  <c:v>-5.5499861534658993E-7</c:v>
                </c:pt>
                <c:pt idx="36">
                  <c:v>-5.7423678551412578E-7</c:v>
                </c:pt>
                <c:pt idx="37">
                  <c:v>-5.9369486041788764E-7</c:v>
                </c:pt>
                <c:pt idx="38">
                  <c:v>-6.1336639517328334E-7</c:v>
                </c:pt>
                <c:pt idx="39">
                  <c:v>-6.3324498582114556E-7</c:v>
                </c:pt>
                <c:pt idx="40">
                  <c:v>-6.5332426932773251E-7</c:v>
                </c:pt>
                <c:pt idx="41">
                  <c:v>-6.7359792358472789E-7</c:v>
                </c:pt>
                <c:pt idx="42">
                  <c:v>-6.9405966740924055E-7</c:v>
                </c:pt>
                <c:pt idx="43">
                  <c:v>-7.1470326054380509E-7</c:v>
                </c:pt>
                <c:pt idx="44">
                  <c:v>-7.3552250365638106E-7</c:v>
                </c:pt>
                <c:pt idx="45">
                  <c:v>-7.5651123834035359E-7</c:v>
                </c:pt>
                <c:pt idx="46">
                  <c:v>-7.7766334711453294E-7</c:v>
                </c:pt>
                <c:pt idx="47">
                  <c:v>-7.9897275342315516E-7</c:v>
                </c:pt>
                <c:pt idx="48">
                  <c:v>-8.204334216358812E-7</c:v>
                </c:pt>
                <c:pt idx="49">
                  <c:v>-8.4203935704779784E-7</c:v>
                </c:pt>
                <c:pt idx="50">
                  <c:v>-8.6378460587941676E-7</c:v>
                </c:pt>
                <c:pt idx="51">
                  <c:v>-8.8566325527667522E-7</c:v>
                </c:pt>
                <c:pt idx="52">
                  <c:v>-9.0766943331093593E-7</c:v>
                </c:pt>
                <c:pt idx="53">
                  <c:v>-9.2979730897898676E-7</c:v>
                </c:pt>
                <c:pt idx="54">
                  <c:v>-9.5204109220304093E-7</c:v>
                </c:pt>
                <c:pt idx="55">
                  <c:v>-9.7439503383073733E-7</c:v>
                </c:pt>
                <c:pt idx="56">
                  <c:v>-9.968534256351401E-7</c:v>
                </c:pt>
                <c:pt idx="57">
                  <c:v>-1.0194106003147384E-6</c:v>
                </c:pt>
                <c:pt idx="58">
                  <c:v>-1.0420609314934471E-6</c:v>
                </c:pt>
                <c:pt idx="59">
                  <c:v>-1.0647988337206066E-6</c:v>
                </c:pt>
                <c:pt idx="60">
                  <c:v>-1.0876187624709819E-6</c:v>
                </c:pt>
                <c:pt idx="61">
                  <c:v>-1.1105152141447644E-6</c:v>
                </c:pt>
                <c:pt idx="62">
                  <c:v>-1.13348272606757E-6</c:v>
                </c:pt>
                <c:pt idx="63">
                  <c:v>-1.1565158764904406E-6</c:v>
                </c:pt>
                <c:pt idx="64">
                  <c:v>-1.1796092845898427E-6</c:v>
                </c:pt>
                <c:pt idx="65">
                  <c:v>-1.202757610467669E-6</c:v>
                </c:pt>
                <c:pt idx="66">
                  <c:v>-1.2259555551512369E-6</c:v>
                </c:pt>
                <c:pt idx="67">
                  <c:v>-1.2491978605932895E-6</c:v>
                </c:pt>
                <c:pt idx="68">
                  <c:v>-1.2724793096719958E-6</c:v>
                </c:pt>
                <c:pt idx="69">
                  <c:v>-1.2957947261909488E-6</c:v>
                </c:pt>
                <c:pt idx="70">
                  <c:v>-1.319138974879168E-6</c:v>
                </c:pt>
                <c:pt idx="71">
                  <c:v>-1.3425069613910978E-6</c:v>
                </c:pt>
                <c:pt idx="72">
                  <c:v>-1.3658936323066082E-6</c:v>
                </c:pt>
                <c:pt idx="73">
                  <c:v>-1.3892939751309941E-6</c:v>
                </c:pt>
                <c:pt idx="74">
                  <c:v>-1.4127030182949762E-6</c:v>
                </c:pt>
                <c:pt idx="75">
                  <c:v>-1.4361158311547011E-6</c:v>
                </c:pt>
                <c:pt idx="76">
                  <c:v>-1.4595275239917387E-6</c:v>
                </c:pt>
                <c:pt idx="77">
                  <c:v>-1.482933248013087E-6</c:v>
                </c:pt>
                <c:pt idx="78">
                  <c:v>-1.5063281953511676E-6</c:v>
                </c:pt>
                <c:pt idx="79">
                  <c:v>-1.5297075990638278E-6</c:v>
                </c:pt>
                <c:pt idx="80">
                  <c:v>-1.55306673313434E-6</c:v>
                </c:pt>
                <c:pt idx="81">
                  <c:v>-1.5764009124714028E-6</c:v>
                </c:pt>
                <c:pt idx="82">
                  <c:v>-1.5997054929091399E-6</c:v>
                </c:pt>
                <c:pt idx="83">
                  <c:v>-1.6229758712070996E-6</c:v>
                </c:pt>
                <c:pt idx="84">
                  <c:v>-1.6462074850502563E-6</c:v>
                </c:pt>
                <c:pt idx="85">
                  <c:v>-1.66939581304901E-6</c:v>
                </c:pt>
                <c:pt idx="86">
                  <c:v>-1.6925363747391852E-6</c:v>
                </c:pt>
                <c:pt idx="87">
                  <c:v>-1.715624730582032E-6</c:v>
                </c:pt>
                <c:pt idx="88">
                  <c:v>-1.7386564819642263E-6</c:v>
                </c:pt>
                <c:pt idx="89">
                  <c:v>-1.7616272711978692E-6</c:v>
                </c:pt>
                <c:pt idx="90">
                  <c:v>-1.7845327815204872E-6</c:v>
                </c:pt>
                <c:pt idx="91">
                  <c:v>-1.8073687370950314E-6</c:v>
                </c:pt>
                <c:pt idx="92">
                  <c:v>-1.8301309030098794E-6</c:v>
                </c:pt>
                <c:pt idx="93">
                  <c:v>-1.8528150852788342E-6</c:v>
                </c:pt>
                <c:pt idx="94">
                  <c:v>-1.8754171308411227E-6</c:v>
                </c:pt>
                <c:pt idx="95">
                  <c:v>-1.8979329275613984E-6</c:v>
                </c:pt>
                <c:pt idx="96">
                  <c:v>-1.9203584042297401E-6</c:v>
                </c:pt>
                <c:pt idx="97">
                  <c:v>-1.9426895305616519E-6</c:v>
                </c:pt>
                <c:pt idx="98">
                  <c:v>-1.9649223171980621E-6</c:v>
                </c:pt>
                <c:pt idx="99">
                  <c:v>-1.9870528157053261E-6</c:v>
                </c:pt>
                <c:pt idx="100">
                  <c:v>-2.0090771185752236E-6</c:v>
                </c:pt>
                <c:pt idx="101">
                  <c:v>-2.0309913592249603E-6</c:v>
                </c:pt>
                <c:pt idx="102">
                  <c:v>-2.0527917119971667E-6</c:v>
                </c:pt>
                <c:pt idx="103">
                  <c:v>-2.0744743921599E-6</c:v>
                </c:pt>
                <c:pt idx="104">
                  <c:v>-2.0960356559066401E-6</c:v>
                </c:pt>
                <c:pt idx="105">
                  <c:v>-2.1174718003562936E-6</c:v>
                </c:pt>
                <c:pt idx="106">
                  <c:v>-2.1387791635531939E-6</c:v>
                </c:pt>
                <c:pt idx="107">
                  <c:v>-2.1599541244670985E-6</c:v>
                </c:pt>
                <c:pt idx="108">
                  <c:v>-2.1809931029931899E-6</c:v>
                </c:pt>
                <c:pt idx="109">
                  <c:v>-2.2018925599520759E-6</c:v>
                </c:pt>
                <c:pt idx="110">
                  <c:v>-2.2226489970897904E-6</c:v>
                </c:pt>
                <c:pt idx="111">
                  <c:v>-2.2432589570777926E-6</c:v>
                </c:pt>
                <c:pt idx="112">
                  <c:v>-2.2637190235129679E-6</c:v>
                </c:pt>
                <c:pt idx="113">
                  <c:v>-2.284025820917624E-6</c:v>
                </c:pt>
                <c:pt idx="114">
                  <c:v>-2.3041760147394969E-6</c:v>
                </c:pt>
                <c:pt idx="115">
                  <c:v>-2.3241663113517474E-6</c:v>
                </c:pt>
                <c:pt idx="116">
                  <c:v>-2.3439934580529609E-6</c:v>
                </c:pt>
                <c:pt idx="117">
                  <c:v>-2.3636542430671486E-6</c:v>
                </c:pt>
                <c:pt idx="118">
                  <c:v>-2.3831454955437478E-6</c:v>
                </c:pt>
                <c:pt idx="119">
                  <c:v>-2.4024640855576199E-6</c:v>
                </c:pt>
                <c:pt idx="120">
                  <c:v>-2.4216069241090516E-6</c:v>
                </c:pt>
                <c:pt idx="121">
                  <c:v>-2.4405709631237555E-6</c:v>
                </c:pt>
                <c:pt idx="122">
                  <c:v>-2.4593531954528698E-6</c:v>
                </c:pt>
                <c:pt idx="123">
                  <c:v>-2.4779506548729587E-6</c:v>
                </c:pt>
                <c:pt idx="124">
                  <c:v>-2.4963604160860098E-6</c:v>
                </c:pt>
                <c:pt idx="125">
                  <c:v>-2.5145795947194375E-6</c:v>
                </c:pt>
                <c:pt idx="126">
                  <c:v>-2.532605347326082E-6</c:v>
                </c:pt>
                <c:pt idx="127">
                  <c:v>-2.5504348713842067E-6</c:v>
                </c:pt>
                <c:pt idx="128">
                  <c:v>-2.5680654052975023E-6</c:v>
                </c:pt>
                <c:pt idx="129">
                  <c:v>-2.5854942283950848E-6</c:v>
                </c:pt>
                <c:pt idx="130">
                  <c:v>-2.6027186609314957E-6</c:v>
                </c:pt>
                <c:pt idx="131">
                  <c:v>-2.619736064086699E-6</c:v>
                </c:pt>
                <c:pt idx="132">
                  <c:v>-2.6365438399660889E-6</c:v>
                </c:pt>
                <c:pt idx="133">
                  <c:v>-2.6531394316004803E-6</c:v>
                </c:pt>
                <c:pt idx="134">
                  <c:v>-2.6695203229461166E-6</c:v>
                </c:pt>
                <c:pt idx="135">
                  <c:v>-2.6856840388846657E-6</c:v>
                </c:pt>
                <c:pt idx="136">
                  <c:v>-2.7016281452232199E-6</c:v>
                </c:pt>
                <c:pt idx="137">
                  <c:v>-2.7173502486942976E-6</c:v>
                </c:pt>
                <c:pt idx="138">
                  <c:v>-2.7328479969558427E-6</c:v>
                </c:pt>
                <c:pt idx="139">
                  <c:v>-2.7481190785912251E-6</c:v>
                </c:pt>
                <c:pt idx="140">
                  <c:v>-2.763161223109239E-6</c:v>
                </c:pt>
                <c:pt idx="141">
                  <c:v>-2.7779722009441032E-6</c:v>
                </c:pt>
                <c:pt idx="142">
                  <c:v>-2.7925498234554644E-6</c:v>
                </c:pt>
                <c:pt idx="143">
                  <c:v>-2.8068919429283925E-6</c:v>
                </c:pt>
                <c:pt idx="144">
                  <c:v>-2.8209964525733837E-6</c:v>
                </c:pt>
                <c:pt idx="145">
                  <c:v>-2.8348612865263591E-6</c:v>
                </c:pt>
                <c:pt idx="146">
                  <c:v>-2.848484419848665E-6</c:v>
                </c:pt>
                <c:pt idx="147">
                  <c:v>-2.8618638685270737E-6</c:v>
                </c:pt>
                <c:pt idx="148">
                  <c:v>-2.8749976894737836E-6</c:v>
                </c:pt>
                <c:pt idx="149">
                  <c:v>-2.8878839805264168E-6</c:v>
                </c:pt>
                <c:pt idx="150">
                  <c:v>-2.9005208804480202E-6</c:v>
                </c:pt>
                <c:pt idx="151">
                  <c:v>-2.9129065689270693E-6</c:v>
                </c:pt>
                <c:pt idx="152">
                  <c:v>-2.925039266577462E-6</c:v>
                </c:pt>
                <c:pt idx="153">
                  <c:v>-2.9369172349385229E-6</c:v>
                </c:pt>
                <c:pt idx="154">
                  <c:v>-2.9485387764750003E-6</c:v>
                </c:pt>
                <c:pt idx="155">
                  <c:v>-2.9599022345770701E-6</c:v>
                </c:pt>
                <c:pt idx="156">
                  <c:v>-2.9710059935603335E-6</c:v>
                </c:pt>
                <c:pt idx="157">
                  <c:v>-2.9818484786658148E-6</c:v>
                </c:pt>
                <c:pt idx="158">
                  <c:v>-2.9924281560599657E-6</c:v>
                </c:pt>
                <c:pt idx="159">
                  <c:v>-3.0027435328346625E-6</c:v>
                </c:pt>
                <c:pt idx="160">
                  <c:v>-3.012793157007206E-6</c:v>
                </c:pt>
                <c:pt idx="161">
                  <c:v>-3.0225756175203243E-6</c:v>
                </c:pt>
                <c:pt idx="162">
                  <c:v>-3.0320895442421705E-6</c:v>
                </c:pt>
                <c:pt idx="163">
                  <c:v>-3.0413336079663219E-6</c:v>
                </c:pt>
                <c:pt idx="164">
                  <c:v>-3.050306520411781E-6</c:v>
                </c:pt>
                <c:pt idx="165">
                  <c:v>-3.0590070342229765E-6</c:v>
                </c:pt>
                <c:pt idx="166">
                  <c:v>-3.0674339429697635E-6</c:v>
                </c:pt>
                <c:pt idx="167">
                  <c:v>-3.0755860811474211E-6</c:v>
                </c:pt>
                <c:pt idx="168">
                  <c:v>-3.0834623241766524E-6</c:v>
                </c:pt>
                <c:pt idx="169">
                  <c:v>-3.0910615884035878E-6</c:v>
                </c:pt>
                <c:pt idx="170">
                  <c:v>-3.0983828310997846E-6</c:v>
                </c:pt>
                <c:pt idx="171">
                  <c:v>-3.1054250504622212E-6</c:v>
                </c:pt>
                <c:pt idx="172">
                  <c:v>-3.1121872856133052E-6</c:v>
                </c:pt>
                <c:pt idx="173">
                  <c:v>-3.1186686166008678E-6</c:v>
                </c:pt>
                <c:pt idx="174">
                  <c:v>-3.1248681643981648E-6</c:v>
                </c:pt>
                <c:pt idx="175">
                  <c:v>-3.1307850909038821E-6</c:v>
                </c:pt>
                <c:pt idx="176">
                  <c:v>-3.1364185989421214E-6</c:v>
                </c:pt>
                <c:pt idx="177">
                  <c:v>-3.1417679322624187E-6</c:v>
                </c:pt>
                <c:pt idx="178">
                  <c:v>-3.1468323755397327E-6</c:v>
                </c:pt>
                <c:pt idx="179">
                  <c:v>-3.1516112543744474E-6</c:v>
                </c:pt>
                <c:pt idx="180">
                  <c:v>-3.1561039352923701E-6</c:v>
                </c:pt>
                <c:pt idx="181">
                  <c:v>-3.1603098257447376E-6</c:v>
                </c:pt>
                <c:pt idx="182">
                  <c:v>-3.1642283741082063E-6</c:v>
                </c:pt>
                <c:pt idx="183">
                  <c:v>-3.1678590696848624E-6</c:v>
                </c:pt>
                <c:pt idx="184">
                  <c:v>-3.1712014427022159E-6</c:v>
                </c:pt>
                <c:pt idx="185">
                  <c:v>-3.1742550643132077E-6</c:v>
                </c:pt>
                <c:pt idx="186">
                  <c:v>-3.1770195465961937E-6</c:v>
                </c:pt>
                <c:pt idx="187">
                  <c:v>-3.17949454255496E-6</c:v>
                </c:pt>
                <c:pt idx="188">
                  <c:v>-3.1816797461187218E-6</c:v>
                </c:pt>
                <c:pt idx="189">
                  <c:v>-3.1835748921421142E-6</c:v>
                </c:pt>
                <c:pt idx="190">
                  <c:v>-3.1851797564052014E-6</c:v>
                </c:pt>
                <c:pt idx="191">
                  <c:v>-3.1864941556134691E-6</c:v>
                </c:pt>
                <c:pt idx="192">
                  <c:v>-3.1875179473978331E-6</c:v>
                </c:pt>
                <c:pt idx="193">
                  <c:v>-3.1882510303146313E-6</c:v>
                </c:pt>
                <c:pt idx="194">
                  <c:v>-3.188693343845627E-6</c:v>
                </c:pt>
                <c:pt idx="195">
                  <c:v>-3.1888448683980093E-6</c:v>
                </c:pt>
                <c:pt idx="196">
                  <c:v>-3.1887056253043949E-6</c:v>
                </c:pt>
                <c:pt idx="197">
                  <c:v>-3.1882756768228229E-6</c:v>
                </c:pt>
                <c:pt idx="198">
                  <c:v>-3.1875551261367588E-6</c:v>
                </c:pt>
                <c:pt idx="199">
                  <c:v>-3.1865441173550933E-6</c:v>
                </c:pt>
                <c:pt idx="200">
                  <c:v>-3.1852428355121441E-6</c:v>
                </c:pt>
                <c:pt idx="201">
                  <c:v>-3.1836515065676503E-6</c:v>
                </c:pt>
                <c:pt idx="202">
                  <c:v>-3.1817703974067798E-6</c:v>
                </c:pt>
                <c:pt idx="203">
                  <c:v>-3.1795998158401274E-6</c:v>
                </c:pt>
                <c:pt idx="204">
                  <c:v>-3.1771401106037092E-6</c:v>
                </c:pt>
                <c:pt idx="205">
                  <c:v>-3.1743916713589637E-6</c:v>
                </c:pt>
                <c:pt idx="206">
                  <c:v>-3.1713549286927656E-6</c:v>
                </c:pt>
                <c:pt idx="207">
                  <c:v>-3.1680303541174083E-6</c:v>
                </c:pt>
                <c:pt idx="208">
                  <c:v>-3.1644184600706093E-6</c:v>
                </c:pt>
                <c:pt idx="209">
                  <c:v>-3.1605197999155109E-6</c:v>
                </c:pt>
                <c:pt idx="210">
                  <c:v>-3.1563349679406861E-6</c:v>
                </c:pt>
                <c:pt idx="211">
                  <c:v>-3.1518645993601299E-6</c:v>
                </c:pt>
                <c:pt idx="212">
                  <c:v>-3.1471093703132605E-6</c:v>
                </c:pt>
                <c:pt idx="213">
                  <c:v>-3.1420699978649276E-6</c:v>
                </c:pt>
                <c:pt idx="214">
                  <c:v>-3.1367472400054009E-6</c:v>
                </c:pt>
                <c:pt idx="215">
                  <c:v>-3.1311418956503756E-6</c:v>
                </c:pt>
                <c:pt idx="216">
                  <c:v>-3.1252548046409756E-6</c:v>
                </c:pt>
                <c:pt idx="217">
                  <c:v>-3.1190868477437459E-6</c:v>
                </c:pt>
                <c:pt idx="218">
                  <c:v>-3.112638946650662E-6</c:v>
                </c:pt>
                <c:pt idx="219">
                  <c:v>-3.1059120639791218E-6</c:v>
                </c:pt>
                <c:pt idx="220">
                  <c:v>-3.0989072032719459E-6</c:v>
                </c:pt>
                <c:pt idx="221">
                  <c:v>-3.0916254089973864E-6</c:v>
                </c:pt>
                <c:pt idx="222">
                  <c:v>-3.0840677665491162E-6</c:v>
                </c:pt>
                <c:pt idx="223">
                  <c:v>-3.0762354022462348E-6</c:v>
                </c:pt>
                <c:pt idx="224">
                  <c:v>-3.0681294833332704E-6</c:v>
                </c:pt>
                <c:pt idx="225">
                  <c:v>-3.0597512179801652E-6</c:v>
                </c:pt>
                <c:pt idx="226">
                  <c:v>-3.0511018552823071E-6</c:v>
                </c:pt>
                <c:pt idx="227">
                  <c:v>-3.0421826852604851E-6</c:v>
                </c:pt>
                <c:pt idx="228">
                  <c:v>-3.0329950388609302E-6</c:v>
                </c:pt>
                <c:pt idx="229">
                  <c:v>-3.0235402879552995E-6</c:v>
                </c:pt>
                <c:pt idx="230">
                  <c:v>-3.0138198453406594E-6</c:v>
                </c:pt>
                <c:pt idx="231">
                  <c:v>-3.0038351647395229E-6</c:v>
                </c:pt>
                <c:pt idx="232">
                  <c:v>-2.9935877407998079E-6</c:v>
                </c:pt>
                <c:pt idx="233">
                  <c:v>-2.9830791090948781E-6</c:v>
                </c:pt>
                <c:pt idx="234">
                  <c:v>-2.9723108461235038E-6</c:v>
                </c:pt>
                <c:pt idx="235">
                  <c:v>-2.9612845693098931E-6</c:v>
                </c:pt>
                <c:pt idx="236">
                  <c:v>-2.9500019370036785E-6</c:v>
                </c:pt>
                <c:pt idx="237">
                  <c:v>-2.9384646484799026E-6</c:v>
                </c:pt>
                <c:pt idx="238">
                  <c:v>-2.9266744439390584E-6</c:v>
                </c:pt>
                <c:pt idx="239">
                  <c:v>-2.9146331045070435E-6</c:v>
                </c:pt>
                <c:pt idx="240">
                  <c:v>-2.9023424522351952E-6</c:v>
                </c:pt>
                <c:pt idx="241">
                  <c:v>-2.889804350100263E-6</c:v>
                </c:pt>
                <c:pt idx="242">
                  <c:v>-2.8770207020044322E-6</c:v>
                </c:pt>
                <c:pt idx="243">
                  <c:v>-2.8639934527753045E-6</c:v>
                </c:pt>
                <c:pt idx="244">
                  <c:v>-2.8507245881659201E-6</c:v>
                </c:pt>
                <c:pt idx="245">
                  <c:v>-2.837216134854735E-6</c:v>
                </c:pt>
                <c:pt idx="246">
                  <c:v>-2.8234701604456239E-6</c:v>
                </c:pt>
                <c:pt idx="247">
                  <c:v>-2.8094887734679037E-6</c:v>
                </c:pt>
                <c:pt idx="248">
                  <c:v>-2.7952741233763037E-6</c:v>
                </c:pt>
                <c:pt idx="249">
                  <c:v>-2.7808284005509905E-6</c:v>
                </c:pt>
                <c:pt idx="250">
                  <c:v>-2.7661538362975374E-6</c:v>
                </c:pt>
                <c:pt idx="251">
                  <c:v>-2.7512527028469614E-6</c:v>
                </c:pt>
                <c:pt idx="252">
                  <c:v>-2.7361273133556935E-6</c:v>
                </c:pt>
                <c:pt idx="253">
                  <c:v>-2.7207800219056007E-6</c:v>
                </c:pt>
                <c:pt idx="254">
                  <c:v>-2.7052132235039577E-6</c:v>
                </c:pt>
                <c:pt idx="255">
                  <c:v>-2.6894293540834836E-6</c:v>
                </c:pt>
                <c:pt idx="256">
                  <c:v>-2.6734308905023165E-6</c:v>
                </c:pt>
                <c:pt idx="257">
                  <c:v>-2.657220350544015E-6</c:v>
                </c:pt>
                <c:pt idx="258">
                  <c:v>-2.64080029291757E-6</c:v>
                </c:pt>
                <c:pt idx="259">
                  <c:v>-2.6241733172573865E-6</c:v>
                </c:pt>
                <c:pt idx="260">
                  <c:v>-2.6073420641233103E-6</c:v>
                </c:pt>
                <c:pt idx="261">
                  <c:v>-2.5903092150005968E-6</c:v>
                </c:pt>
                <c:pt idx="262">
                  <c:v>-2.5730774922999438E-6</c:v>
                </c:pt>
                <c:pt idx="263">
                  <c:v>-2.5556496593574593E-6</c:v>
                </c:pt>
                <c:pt idx="264">
                  <c:v>-2.5380285204346827E-6</c:v>
                </c:pt>
                <c:pt idx="265">
                  <c:v>-2.5202169207185795E-6</c:v>
                </c:pt>
                <c:pt idx="266">
                  <c:v>-2.5022177463215419E-6</c:v>
                </c:pt>
                <c:pt idx="267">
                  <c:v>-2.4840339242813925E-6</c:v>
                </c:pt>
                <c:pt idx="268">
                  <c:v>-2.4656684225613554E-6</c:v>
                </c:pt>
                <c:pt idx="269">
                  <c:v>-2.4471242500501083E-6</c:v>
                </c:pt>
                <c:pt idx="270">
                  <c:v>-2.4284044565617425E-6</c:v>
                </c:pt>
                <c:pt idx="271">
                  <c:v>-2.4095121328357682E-6</c:v>
                </c:pt>
                <c:pt idx="272">
                  <c:v>-2.3904504105371346E-6</c:v>
                </c:pt>
                <c:pt idx="273">
                  <c:v>-2.3712224622562082E-6</c:v>
                </c:pt>
                <c:pt idx="274">
                  <c:v>-2.3518315015087804E-6</c:v>
                </c:pt>
                <c:pt idx="275">
                  <c:v>-2.3322807827360704E-6</c:v>
                </c:pt>
                <c:pt idx="276">
                  <c:v>-2.3125736013047179E-6</c:v>
                </c:pt>
                <c:pt idx="277">
                  <c:v>-2.292713293506803E-6</c:v>
                </c:pt>
                <c:pt idx="278">
                  <c:v>-2.2727032365598123E-6</c:v>
                </c:pt>
                <c:pt idx="279">
                  <c:v>-2.2525468486066621E-6</c:v>
                </c:pt>
                <c:pt idx="280">
                  <c:v>-2.2322475887157012E-6</c:v>
                </c:pt>
                <c:pt idx="281">
                  <c:v>-2.211808956880708E-6</c:v>
                </c:pt>
                <c:pt idx="282">
                  <c:v>-2.1912344940208652E-6</c:v>
                </c:pt>
                <c:pt idx="283">
                  <c:v>-2.1705277819808041E-6</c:v>
                </c:pt>
                <c:pt idx="284">
                  <c:v>-2.1496924435305651E-6</c:v>
                </c:pt>
                <c:pt idx="285">
                  <c:v>-2.1287321423656315E-6</c:v>
                </c:pt>
                <c:pt idx="286">
                  <c:v>-2.1076505831068881E-6</c:v>
                </c:pt>
                <c:pt idx="287">
                  <c:v>-2.0864515113006588E-6</c:v>
                </c:pt>
                <c:pt idx="288">
                  <c:v>-2.0651387134186957E-6</c:v>
                </c:pt>
                <c:pt idx="289">
                  <c:v>-2.0437160168581715E-6</c:v>
                </c:pt>
                <c:pt idx="290">
                  <c:v>-2.0221872899416841E-6</c:v>
                </c:pt>
                <c:pt idx="291">
                  <c:v>-2.0005564419172603E-6</c:v>
                </c:pt>
                <c:pt idx="292">
                  <c:v>-1.9788274229583527E-6</c:v>
                </c:pt>
                <c:pt idx="293">
                  <c:v>-1.9570042241638265E-6</c:v>
                </c:pt>
                <c:pt idx="294">
                  <c:v>-1.9350908775579907E-6</c:v>
                </c:pt>
                <c:pt idx="295">
                  <c:v>-1.9130914560905655E-6</c:v>
                </c:pt>
                <c:pt idx="296">
                  <c:v>-1.8910100736367053E-6</c:v>
                </c:pt>
                <c:pt idx="297">
                  <c:v>-1.8688508849969791E-6</c:v>
                </c:pt>
                <c:pt idx="298">
                  <c:v>-1.846618085897404E-6</c:v>
                </c:pt>
                <c:pt idx="299">
                  <c:v>-1.8243159129893965E-6</c:v>
                </c:pt>
                <c:pt idx="300">
                  <c:v>-1.8019486438498057E-6</c:v>
                </c:pt>
                <c:pt idx="301">
                  <c:v>-1.7795205969809207E-6</c:v>
                </c:pt>
                <c:pt idx="302">
                  <c:v>-1.7570361318104282E-6</c:v>
                </c:pt>
                <c:pt idx="303">
                  <c:v>-1.7344996486914758E-6</c:v>
                </c:pt>
                <c:pt idx="304">
                  <c:v>-1.7119155889026109E-6</c:v>
                </c:pt>
                <c:pt idx="305">
                  <c:v>-1.6892884346478024E-6</c:v>
                </c:pt>
                <c:pt idx="306">
                  <c:v>-1.6666227090564628E-6</c:v>
                </c:pt>
                <c:pt idx="307">
                  <c:v>-1.6439229761834328E-6</c:v>
                </c:pt>
                <c:pt idx="308">
                  <c:v>-1.6211938410089466E-6</c:v>
                </c:pt>
                <c:pt idx="309">
                  <c:v>-1.5984399494386995E-6</c:v>
                </c:pt>
                <c:pt idx="310">
                  <c:v>-1.5756659883037971E-6</c:v>
                </c:pt>
                <c:pt idx="311">
                  <c:v>-1.5528766853607674E-6</c:v>
                </c:pt>
                <c:pt idx="312">
                  <c:v>-1.5300768092915638E-6</c:v>
                </c:pt>
                <c:pt idx="313">
                  <c:v>-1.5072711697035757E-6</c:v>
                </c:pt>
                <c:pt idx="314">
                  <c:v>-1.4844646171296113E-6</c:v>
                </c:pt>
                <c:pt idx="315">
                  <c:v>-1.4616620430278909E-6</c:v>
                </c:pt>
                <c:pt idx="316">
                  <c:v>-1.4388683797820849E-6</c:v>
                </c:pt>
                <c:pt idx="317">
                  <c:v>-1.4160886007012745E-6</c:v>
                </c:pt>
                <c:pt idx="318">
                  <c:v>-1.3933277200199729E-6</c:v>
                </c:pt>
                <c:pt idx="319">
                  <c:v>-1.3705907928981045E-6</c:v>
                </c:pt>
                <c:pt idx="320">
                  <c:v>-1.3478829154210317E-6</c:v>
                </c:pt>
                <c:pt idx="321">
                  <c:v>-1.3252092245995439E-6</c:v>
                </c:pt>
                <c:pt idx="322">
                  <c:v>-1.3025748983698527E-6</c:v>
                </c:pt>
                <c:pt idx="323">
                  <c:v>-1.2799851555935889E-6</c:v>
                </c:pt>
                <c:pt idx="324">
                  <c:v>-1.2574452560578171E-6</c:v>
                </c:pt>
                <c:pt idx="325">
                  <c:v>-1.2349605004750136E-6</c:v>
                </c:pt>
                <c:pt idx="326">
                  <c:v>-1.2125362304831075E-6</c:v>
                </c:pt>
                <c:pt idx="327">
                  <c:v>-1.1901778286454301E-6</c:v>
                </c:pt>
                <c:pt idx="328">
                  <c:v>-1.1678907184507319E-6</c:v>
                </c:pt>
                <c:pt idx="329">
                  <c:v>-1.1456803643132161E-6</c:v>
                </c:pt>
                <c:pt idx="330">
                  <c:v>-1.1235522715725038E-6</c:v>
                </c:pt>
                <c:pt idx="331">
                  <c:v>-1.1015119864935998E-6</c:v>
                </c:pt>
                <c:pt idx="332">
                  <c:v>-1.0795650962670039E-6</c:v>
                </c:pt>
                <c:pt idx="333">
                  <c:v>-1.0577172290085847E-6</c:v>
                </c:pt>
                <c:pt idx="334">
                  <c:v>-1.0359740537596635E-6</c:v>
                </c:pt>
                <c:pt idx="335">
                  <c:v>-1.0143412804869783E-6</c:v>
                </c:pt>
                <c:pt idx="336">
                  <c:v>-9.9282466008269449E-7</c:v>
                </c:pt>
                <c:pt idx="337">
                  <c:v>-9.714299843644146E-7</c:v>
                </c:pt>
                <c:pt idx="338">
                  <c:v>-9.5016308607513008E-7</c:v>
                </c:pt>
                <c:pt idx="339">
                  <c:v>-9.2902983888330295E-7</c:v>
                </c:pt>
                <c:pt idx="340">
                  <c:v>-9.0803615738280331E-7</c:v>
                </c:pt>
                <c:pt idx="341">
                  <c:v>-8.8718799709291881E-7</c:v>
                </c:pt>
                <c:pt idx="342">
                  <c:v>-8.6649135445835469E-7</c:v>
                </c:pt>
                <c:pt idx="343">
                  <c:v>-8.4595226684926826E-7</c:v>
                </c:pt>
                <c:pt idx="344">
                  <c:v>-8.2557681256121919E-7</c:v>
                </c:pt>
                <c:pt idx="345">
                  <c:v>-8.0537111081519549E-7</c:v>
                </c:pt>
                <c:pt idx="346">
                  <c:v>-7.8534132175763073E-7</c:v>
                </c:pt>
                <c:pt idx="347">
                  <c:v>-7.6549364646037156E-7</c:v>
                </c:pt>
                <c:pt idx="348">
                  <c:v>-7.4583432692067899E-7</c:v>
                </c:pt>
                <c:pt idx="349">
                  <c:v>-7.2636964606123884E-7</c:v>
                </c:pt>
                <c:pt idx="350">
                  <c:v>-7.0710592773019543E-7</c:v>
                </c:pt>
                <c:pt idx="351">
                  <c:v>-6.8804953670108984E-7</c:v>
                </c:pt>
                <c:pt idx="352">
                  <c:v>-6.6920687867287138E-7</c:v>
                </c:pt>
                <c:pt idx="353">
                  <c:v>-6.5058440026995725E-7</c:v>
                </c:pt>
                <c:pt idx="354">
                  <c:v>-6.3218858904216082E-7</c:v>
                </c:pt>
                <c:pt idx="355">
                  <c:v>-6.1402597346472828E-7</c:v>
                </c:pt>
                <c:pt idx="356">
                  <c:v>-5.9610312293833812E-7</c:v>
                </c:pt>
                <c:pt idx="357">
                  <c:v>-5.7842664778909572E-7</c:v>
                </c:pt>
                <c:pt idx="358">
                  <c:v>-5.6100319926851587E-7</c:v>
                </c:pt>
                <c:pt idx="359">
                  <c:v>-5.4383946955354324E-7</c:v>
                </c:pt>
                <c:pt idx="360">
                  <c:v>-5.2694219174654703E-7</c:v>
                </c:pt>
                <c:pt idx="361">
                  <c:v>-5.1031813987534741E-7</c:v>
                </c:pt>
                <c:pt idx="362">
                  <c:v>-4.939741288931574E-7</c:v>
                </c:pt>
                <c:pt idx="363">
                  <c:v>-4.7791701467861728E-7</c:v>
                </c:pt>
                <c:pt idx="364">
                  <c:v>-4.6215369403582033E-7</c:v>
                </c:pt>
                <c:pt idx="365">
                  <c:v>-4.4669110469426147E-7</c:v>
                </c:pt>
                <c:pt idx="366">
                  <c:v>-4.3153622530886826E-7</c:v>
                </c:pt>
                <c:pt idx="367">
                  <c:v>-4.1669607545998613E-7</c:v>
                </c:pt>
                <c:pt idx="368">
                  <c:v>-4.0217771565340226E-7</c:v>
                </c:pt>
                <c:pt idx="369">
                  <c:v>-3.8798824732030187E-7</c:v>
                </c:pt>
                <c:pt idx="370">
                  <c:v>-3.741348128173362E-7</c:v>
                </c:pt>
                <c:pt idx="371">
                  <c:v>-3.6062459542654149E-7</c:v>
                </c:pt>
                <c:pt idx="372">
                  <c:v>-3.474648193554033E-7</c:v>
                </c:pt>
                <c:pt idx="373">
                  <c:v>-3.3466274973682679E-7</c:v>
                </c:pt>
                <c:pt idx="374">
                  <c:v>-3.2222569262913911E-7</c:v>
                </c:pt>
                <c:pt idx="375">
                  <c:v>-3.1016099501608931E-7</c:v>
                </c:pt>
                <c:pt idx="376">
                  <c:v>-2.984760448068585E-7</c:v>
                </c:pt>
                <c:pt idx="377">
                  <c:v>-2.8717827083605713E-7</c:v>
                </c:pt>
                <c:pt idx="378">
                  <c:v>-2.762751428637297E-7</c:v>
                </c:pt>
                <c:pt idx="379">
                  <c:v>-2.6577417157531168E-7</c:v>
                </c:pt>
                <c:pt idx="380">
                  <c:v>-2.5568290858167906E-7</c:v>
                </c:pt>
                <c:pt idx="381">
                  <c:v>-2.4600894641915977E-7</c:v>
                </c:pt>
                <c:pt idx="382">
                  <c:v>-2.3675991854947637E-7</c:v>
                </c:pt>
                <c:pt idx="383">
                  <c:v>-2.2794349935977627E-7</c:v>
                </c:pt>
                <c:pt idx="384">
                  <c:v>-2.1956740416265977E-7</c:v>
                </c:pt>
                <c:pt idx="385">
                  <c:v>-2.1163938919614119E-7</c:v>
                </c:pt>
                <c:pt idx="386">
                  <c:v>-2.0416725162362572E-7</c:v>
                </c:pt>
                <c:pt idx="387">
                  <c:v>-1.9715882953398764E-7</c:v>
                </c:pt>
                <c:pt idx="388">
                  <c:v>-1.9062200194151593E-7</c:v>
                </c:pt>
                <c:pt idx="389">
                  <c:v>-1.845646887859144E-7</c:v>
                </c:pt>
                <c:pt idx="390">
                  <c:v>-1.7899485093232764E-7</c:v>
                </c:pt>
                <c:pt idx="391">
                  <c:v>-1.739204901712935E-7</c:v>
                </c:pt>
                <c:pt idx="392">
                  <c:v>-1.6934964921882335E-7</c:v>
                </c:pt>
                <c:pt idx="393">
                  <c:v>-1.6529041171631806E-7</c:v>
                </c:pt>
                <c:pt idx="394">
                  <c:v>-1.6175090223060334E-7</c:v>
                </c:pt>
                <c:pt idx="395">
                  <c:v>-1.5873928625396118E-7</c:v>
                </c:pt>
                <c:pt idx="396">
                  <c:v>-1.5626377020407196E-7</c:v>
                </c:pt>
                <c:pt idx="397">
                  <c:v>-1.5433260142403207E-7</c:v>
                </c:pt>
                <c:pt idx="398">
                  <c:v>-1.5295406818240178E-7</c:v>
                </c:pt>
                <c:pt idx="399">
                  <c:v>-1.5213649967313686E-7</c:v>
                </c:pt>
                <c:pt idx="400">
                  <c:v>-1.5188826601563038E-7</c:v>
                </c:pt>
                <c:pt idx="401">
                  <c:v>-1.5188826601561828E-7</c:v>
                </c:pt>
                <c:pt idx="402">
                  <c:v>-1.5219874628531564E-7</c:v>
                </c:pt>
                <c:pt idx="403">
                  <c:v>-1.5304628394616672E-7</c:v>
                </c:pt>
                <c:pt idx="404">
                  <c:v>-1.5442275708842306E-7</c:v>
                </c:pt>
                <c:pt idx="405">
                  <c:v>-1.563200847277615E-7</c:v>
                </c:pt>
                <c:pt idx="406">
                  <c:v>-1.587302268052843E-7</c:v>
                </c:pt>
                <c:pt idx="407">
                  <c:v>-1.6164518418751901E-7</c:v>
                </c:pt>
                <c:pt idx="408">
                  <c:v>-1.6505699866641862E-7</c:v>
                </c:pt>
                <c:pt idx="409">
                  <c:v>-1.6895775295936142E-7</c:v>
                </c:pt>
                <c:pt idx="410">
                  <c:v>-1.7333957070915112E-7</c:v>
                </c:pt>
                <c:pt idx="411">
                  <c:v>-1.7819461648401675E-7</c:v>
                </c:pt>
                <c:pt idx="412">
                  <c:v>-1.8351509577761271E-7</c:v>
                </c:pt>
                <c:pt idx="413">
                  <c:v>-1.8929325500901878E-7</c:v>
                </c:pt>
                <c:pt idx="414">
                  <c:v>-1.9552138152274008E-7</c:v>
                </c:pt>
                <c:pt idx="415">
                  <c:v>-2.0219180358870713E-7</c:v>
                </c:pt>
                <c:pt idx="416">
                  <c:v>-2.0929689040227574E-7</c:v>
                </c:pt>
                <c:pt idx="417">
                  <c:v>-2.1682905208422718E-7</c:v>
                </c:pt>
                <c:pt idx="418">
                  <c:v>-2.2478073968076796E-7</c:v>
                </c:pt>
                <c:pt idx="419">
                  <c:v>-2.331444451635301E-7</c:v>
                </c:pt>
                <c:pt idx="420">
                  <c:v>-2.4191270142957083E-7</c:v>
                </c:pt>
                <c:pt idx="421">
                  <c:v>-2.5107808230137292E-7</c:v>
                </c:pt>
                <c:pt idx="422">
                  <c:v>-2.6063320252684432E-7</c:v>
                </c:pt>
                <c:pt idx="423">
                  <c:v>-2.7057071777931846E-7</c:v>
                </c:pt>
                <c:pt idx="424">
                  <c:v>-2.80883324657554E-7</c:v>
                </c:pt>
                <c:pt idx="425">
                  <c:v>-2.9156376068573525E-7</c:v>
                </c:pt>
                <c:pt idx="426">
                  <c:v>-3.0260480431347147E-7</c:v>
                </c:pt>
                <c:pt idx="427">
                  <c:v>-3.1399927491579772E-7</c:v>
                </c:pt>
                <c:pt idx="428">
                  <c:v>-3.25740032793174E-7</c:v>
                </c:pt>
                <c:pt idx="429">
                  <c:v>-3.3781997917148602E-7</c:v>
                </c:pt>
                <c:pt idx="430">
                  <c:v>-3.5023205620204465E-7</c:v>
                </c:pt>
                <c:pt idx="431">
                  <c:v>-3.629692469615862E-7</c:v>
                </c:pt>
                <c:pt idx="432">
                  <c:v>-3.7602457545227237E-7</c:v>
                </c:pt>
                <c:pt idx="433">
                  <c:v>-3.8939110660169013E-7</c:v>
                </c:pt>
                <c:pt idx="434">
                  <c:v>-4.0306194626285182E-7</c:v>
                </c:pt>
                <c:pt idx="435">
                  <c:v>-4.1703024121419525E-7</c:v>
                </c:pt>
                <c:pt idx="436">
                  <c:v>-4.3128917915958347E-7</c:v>
                </c:pt>
                <c:pt idx="437">
                  <c:v>-4.45831988728305E-7</c:v>
                </c:pt>
                <c:pt idx="438">
                  <c:v>-4.606519394750736E-7</c:v>
                </c:pt>
                <c:pt idx="439">
                  <c:v>-4.757423418800286E-7</c:v>
                </c:pt>
                <c:pt idx="440">
                  <c:v>-4.9109654734873449E-7</c:v>
                </c:pt>
                <c:pt idx="441">
                  <c:v>-5.06707948212181E-7</c:v>
                </c:pt>
                <c:pt idx="442">
                  <c:v>-5.2256997772678362E-7</c:v>
                </c:pt>
                <c:pt idx="443">
                  <c:v>-5.3867611007438291E-7</c:v>
                </c:pt>
                <c:pt idx="444">
                  <c:v>-5.5501986036224499E-7</c:v>
                </c:pt>
                <c:pt idx="445">
                  <c:v>-5.7159478462306101E-7</c:v>
                </c:pt>
                <c:pt idx="446">
                  <c:v>-5.8839447981494801E-7</c:v>
                </c:pt>
                <c:pt idx="447">
                  <c:v>-6.0541258382144786E-7</c:v>
                </c:pt>
                <c:pt idx="448">
                  <c:v>-6.2264277545152809E-7</c:v>
                </c:pt>
                <c:pt idx="449">
                  <c:v>-6.400787744395814E-7</c:v>
                </c:pt>
                <c:pt idx="450">
                  <c:v>-6.5771434144542625E-7</c:v>
                </c:pt>
                <c:pt idx="451">
                  <c:v>-6.7554327805430593E-7</c:v>
                </c:pt>
                <c:pt idx="452">
                  <c:v>-6.9355942677688931E-7</c:v>
                </c:pt>
                <c:pt idx="453">
                  <c:v>-7.1175667104927091E-7</c:v>
                </c:pt>
                <c:pt idx="454">
                  <c:v>-7.3012893523297031E-7</c:v>
                </c:pt>
                <c:pt idx="455">
                  <c:v>-7.4867018461493213E-7</c:v>
                </c:pt>
                <c:pt idx="456">
                  <c:v>-7.6737442540752717E-7</c:v>
                </c:pt>
                <c:pt idx="457">
                  <c:v>-7.8623570474855098E-7</c:v>
                </c:pt>
                <c:pt idx="458">
                  <c:v>-8.0524811070122466E-7</c:v>
                </c:pt>
                <c:pt idx="459">
                  <c:v>-8.2440577225419445E-7</c:v>
                </c:pt>
                <c:pt idx="460">
                  <c:v>-8.437028593215325E-7</c:v>
                </c:pt>
                <c:pt idx="461">
                  <c:v>-8.6313358274273587E-7</c:v>
                </c:pt>
                <c:pt idx="462">
                  <c:v>-8.8269219428272699E-7</c:v>
                </c:pt>
                <c:pt idx="463">
                  <c:v>-9.0237298663185384E-7</c:v>
                </c:pt>
                <c:pt idx="464">
                  <c:v>-9.2217029340588967E-7</c:v>
                </c:pt>
                <c:pt idx="465">
                  <c:v>-9.4207848914603309E-7</c:v>
                </c:pt>
                <c:pt idx="466">
                  <c:v>-9.6209198931890782E-7</c:v>
                </c:pt>
                <c:pt idx="467">
                  <c:v>-9.8220525031656362E-7</c:v>
                </c:pt>
                <c:pt idx="468">
                  <c:v>-1.0024127694564751E-6</c:v>
                </c:pt>
                <c:pt idx="469">
                  <c:v>-1.0227090849815423E-6</c:v>
                </c:pt>
                <c:pt idx="470">
                  <c:v>-1.0430887760600906E-6</c:v>
                </c:pt>
                <c:pt idx="471">
                  <c:v>-1.0635464627858704E-6</c:v>
                </c:pt>
                <c:pt idx="472">
                  <c:v>-1.0840768061780587E-6</c:v>
                </c:pt>
                <c:pt idx="473">
                  <c:v>-1.1046745081812564E-6</c:v>
                </c:pt>
                <c:pt idx="474">
                  <c:v>-1.1253343116654906E-6</c:v>
                </c:pt>
                <c:pt idx="475">
                  <c:v>-1.1460510004262133E-6</c:v>
                </c:pt>
                <c:pt idx="476">
                  <c:v>-1.1668193991843027E-6</c:v>
                </c:pt>
                <c:pt idx="477">
                  <c:v>-1.187634373586061E-6</c:v>
                </c:pt>
                <c:pt idx="478">
                  <c:v>-1.2084908302032167E-6</c:v>
                </c:pt>
                <c:pt idx="479">
                  <c:v>-1.2293837165329244E-6</c:v>
                </c:pt>
                <c:pt idx="480">
                  <c:v>-1.2503080209977618E-6</c:v>
                </c:pt>
                <c:pt idx="481">
                  <c:v>-1.2712587729457343E-6</c:v>
                </c:pt>
                <c:pt idx="482">
                  <c:v>-1.2922310426502711E-6</c:v>
                </c:pt>
                <c:pt idx="483">
                  <c:v>-1.3132199413102279E-6</c:v>
                </c:pt>
                <c:pt idx="484">
                  <c:v>-1.3342206210498845E-6</c:v>
                </c:pt>
                <c:pt idx="485">
                  <c:v>-1.3552282749189476E-6</c:v>
                </c:pt>
                <c:pt idx="486">
                  <c:v>-1.376238136892548E-6</c:v>
                </c:pt>
                <c:pt idx="487">
                  <c:v>-1.3972454818712421E-6</c:v>
                </c:pt>
                <c:pt idx="488">
                  <c:v>-1.4182456256810122E-6</c:v>
                </c:pt>
                <c:pt idx="489">
                  <c:v>-1.439233925073265E-6</c:v>
                </c:pt>
                <c:pt idx="490">
                  <c:v>-1.4602057777248339E-6</c:v>
                </c:pt>
                <c:pt idx="491">
                  <c:v>-1.481156622237977E-6</c:v>
                </c:pt>
                <c:pt idx="492">
                  <c:v>-1.502081938140377E-6</c:v>
                </c:pt>
                <c:pt idx="493">
                  <c:v>-1.5229772458851429E-6</c:v>
                </c:pt>
                <c:pt idx="494">
                  <c:v>-1.5438381068508095E-6</c:v>
                </c:pt>
                <c:pt idx="495">
                  <c:v>-1.5646601233413353E-6</c:v>
                </c:pt>
                <c:pt idx="496">
                  <c:v>-1.5854389385861058E-6</c:v>
                </c:pt>
                <c:pt idx="497">
                  <c:v>-1.6061702367399311E-6</c:v>
                </c:pt>
                <c:pt idx="498">
                  <c:v>-1.6268497428830472E-6</c:v>
                </c:pt>
                <c:pt idx="499">
                  <c:v>-1.6474732230211143E-6</c:v>
                </c:pt>
                <c:pt idx="500">
                  <c:v>-1.6680364840852185E-6</c:v>
                </c:pt>
                <c:pt idx="501">
                  <c:v>-1.6885353739318723E-6</c:v>
                </c:pt>
                <c:pt idx="502">
                  <c:v>-1.7089657813430123E-6</c:v>
                </c:pt>
                <c:pt idx="503">
                  <c:v>-1.729323636026001E-6</c:v>
                </c:pt>
                <c:pt idx="504">
                  <c:v>-1.7496049086136264E-6</c:v>
                </c:pt>
                <c:pt idx="505">
                  <c:v>-1.7698056106641011E-6</c:v>
                </c:pt>
                <c:pt idx="506">
                  <c:v>-1.7899217946610636E-6</c:v>
                </c:pt>
                <c:pt idx="507">
                  <c:v>-1.8099495540135786E-6</c:v>
                </c:pt>
                <c:pt idx="508">
                  <c:v>-1.8298850230561342E-6</c:v>
                </c:pt>
                <c:pt idx="509">
                  <c:v>-1.8497243770486454E-6</c:v>
                </c:pt>
                <c:pt idx="510">
                  <c:v>-1.8694638321764528E-6</c:v>
                </c:pt>
                <c:pt idx="511">
                  <c:v>-1.8890996455503204E-6</c:v>
                </c:pt>
                <c:pt idx="512">
                  <c:v>-1.90862811520644E-6</c:v>
                </c:pt>
                <c:pt idx="513">
                  <c:v>-1.9280455801064269E-6</c:v>
                </c:pt>
                <c:pt idx="514">
                  <c:v>-1.9473484201373225E-6</c:v>
                </c:pt>
                <c:pt idx="515">
                  <c:v>-1.9665330561115938E-6</c:v>
                </c:pt>
                <c:pt idx="516">
                  <c:v>-1.9855959497671333E-6</c:v>
                </c:pt>
                <c:pt idx="517">
                  <c:v>-2.0045336037672578E-6</c:v>
                </c:pt>
                <c:pt idx="518">
                  <c:v>-2.02334256170071E-6</c:v>
                </c:pt>
                <c:pt idx="519">
                  <c:v>-2.0420194080816588E-6</c:v>
                </c:pt>
                <c:pt idx="520">
                  <c:v>-2.0605607683496986E-6</c:v>
                </c:pt>
                <c:pt idx="521">
                  <c:v>-2.0789633088698459E-6</c:v>
                </c:pt>
                <c:pt idx="522">
                  <c:v>-2.0972237369325457E-6</c:v>
                </c:pt>
                <c:pt idx="523">
                  <c:v>-2.1153388007536683E-6</c:v>
                </c:pt>
                <c:pt idx="524">
                  <c:v>-2.1333052894745095E-6</c:v>
                </c:pt>
                <c:pt idx="525">
                  <c:v>-2.1511200331617886E-6</c:v>
                </c:pt>
                <c:pt idx="526">
                  <c:v>-2.1687799028076515E-6</c:v>
                </c:pt>
                <c:pt idx="527">
                  <c:v>-2.186281810329669E-6</c:v>
                </c:pt>
                <c:pt idx="528">
                  <c:v>-2.2036227085708373E-6</c:v>
                </c:pt>
                <c:pt idx="529">
                  <c:v>-2.2207995912995789E-6</c:v>
                </c:pt>
                <c:pt idx="530">
                  <c:v>-2.237809493209741E-6</c:v>
                </c:pt>
                <c:pt idx="531">
                  <c:v>-2.2546494899205967E-6</c:v>
                </c:pt>
                <c:pt idx="532">
                  <c:v>-2.2713166979768421E-6</c:v>
                </c:pt>
                <c:pt idx="533">
                  <c:v>-2.2878082748486026E-6</c:v>
                </c:pt>
                <c:pt idx="534">
                  <c:v>-2.304121418931425E-6</c:v>
                </c:pt>
                <c:pt idx="535">
                  <c:v>-2.3202533695462844E-6</c:v>
                </c:pt>
                <c:pt idx="536">
                  <c:v>-2.3362014069395798E-6</c:v>
                </c:pt>
                <c:pt idx="537">
                  <c:v>-2.3519628522831369E-6</c:v>
                </c:pt>
                <c:pt idx="538">
                  <c:v>-2.367535067674204E-6</c:v>
                </c:pt>
                <c:pt idx="539">
                  <c:v>-2.3829154561354569E-6</c:v>
                </c:pt>
                <c:pt idx="540">
                  <c:v>-2.3981014616149968E-6</c:v>
                </c:pt>
                <c:pt idx="541">
                  <c:v>-2.4130905689863503E-6</c:v>
                </c:pt>
                <c:pt idx="542">
                  <c:v>-2.4278803040484679E-6</c:v>
                </c:pt>
                <c:pt idx="543">
                  <c:v>-2.4424682335257286E-6</c:v>
                </c:pt>
                <c:pt idx="544">
                  <c:v>-2.4568519650679327E-6</c:v>
                </c:pt>
                <c:pt idx="545">
                  <c:v>-2.4710291472503077E-6</c:v>
                </c:pt>
                <c:pt idx="546">
                  <c:v>-2.4849974695735069E-6</c:v>
                </c:pt>
                <c:pt idx="547">
                  <c:v>-2.4987546624636093E-6</c:v>
                </c:pt>
                <c:pt idx="548">
                  <c:v>-2.5122984972721187E-6</c:v>
                </c:pt>
                <c:pt idx="549">
                  <c:v>-2.5256267862759633E-6</c:v>
                </c:pt>
                <c:pt idx="550">
                  <c:v>-2.5387373826774987E-6</c:v>
                </c:pt>
                <c:pt idx="551">
                  <c:v>-2.5516281806045037E-6</c:v>
                </c:pt>
                <c:pt idx="552">
                  <c:v>-2.5642971151101829E-6</c:v>
                </c:pt>
                <c:pt idx="553">
                  <c:v>-2.5767421621731684E-6</c:v>
                </c:pt>
                <c:pt idx="554">
                  <c:v>-2.5889613386975154E-6</c:v>
                </c:pt>
                <c:pt idx="555">
                  <c:v>-2.6009527025127043E-6</c:v>
                </c:pt>
                <c:pt idx="556">
                  <c:v>-2.6127143523736431E-6</c:v>
                </c:pt>
                <c:pt idx="557">
                  <c:v>-2.6242444279606638E-6</c:v>
                </c:pt>
                <c:pt idx="558">
                  <c:v>-2.6355411098795225E-6</c:v>
                </c:pt>
                <c:pt idx="559">
                  <c:v>-2.6466026196614019E-6</c:v>
                </c:pt>
                <c:pt idx="560">
                  <c:v>-2.6574272197629115E-6</c:v>
                </c:pt>
                <c:pt idx="561">
                  <c:v>-2.6680132135660828E-6</c:v>
                </c:pt>
                <c:pt idx="562">
                  <c:v>-2.6783589453783765E-6</c:v>
                </c:pt>
                <c:pt idx="563">
                  <c:v>-2.6884628004326749E-6</c:v>
                </c:pt>
                <c:pt idx="564">
                  <c:v>-2.6983232048872894E-6</c:v>
                </c:pt>
                <c:pt idx="565">
                  <c:v>-2.707938625825953E-6</c:v>
                </c:pt>
                <c:pt idx="566">
                  <c:v>-2.7173075712578274E-6</c:v>
                </c:pt>
                <c:pt idx="567">
                  <c:v>-2.7264285901174979E-6</c:v>
                </c:pt>
                <c:pt idx="568">
                  <c:v>-2.7353002722649756E-6</c:v>
                </c:pt>
                <c:pt idx="569">
                  <c:v>-2.7439212484856951E-6</c:v>
                </c:pt>
                <c:pt idx="570">
                  <c:v>-2.7522901904905198E-6</c:v>
                </c:pt>
                <c:pt idx="571">
                  <c:v>-2.7604058109157375E-6</c:v>
                </c:pt>
                <c:pt idx="572">
                  <c:v>-2.7682668633230575E-6</c:v>
                </c:pt>
                <c:pt idx="573">
                  <c:v>-2.775872142199621E-6</c:v>
                </c:pt>
                <c:pt idx="574">
                  <c:v>-2.783220482957989E-6</c:v>
                </c:pt>
                <c:pt idx="575">
                  <c:v>-2.7903107619361516E-6</c:v>
                </c:pt>
                <c:pt idx="576">
                  <c:v>-2.797141896397523E-6</c:v>
                </c:pt>
                <c:pt idx="577">
                  <c:v>-2.8037128445309376E-6</c:v>
                </c:pt>
                <c:pt idx="578">
                  <c:v>-2.8100226054506647E-6</c:v>
                </c:pt>
                <c:pt idx="579">
                  <c:v>-2.8160702191963932E-6</c:v>
                </c:pt>
                <c:pt idx="580">
                  <c:v>-2.8218547667332388E-6</c:v>
                </c:pt>
                <c:pt idx="581">
                  <c:v>-2.8273753699517403E-6</c:v>
                </c:pt>
                <c:pt idx="582">
                  <c:v>-2.8326311916678681E-6</c:v>
                </c:pt>
                <c:pt idx="583">
                  <c:v>-2.8376214356230085E-6</c:v>
                </c:pt>
                <c:pt idx="584">
                  <c:v>-2.8423453464839788E-6</c:v>
                </c:pt>
                <c:pt idx="585">
                  <c:v>-2.8468022098430234E-6</c:v>
                </c:pt>
                <c:pt idx="586">
                  <c:v>-2.8509913522178097E-6</c:v>
                </c:pt>
                <c:pt idx="587">
                  <c:v>-2.8549121410514309E-6</c:v>
                </c:pt>
                <c:pt idx="588">
                  <c:v>-2.8585639847124011E-6</c:v>
                </c:pt>
                <c:pt idx="589">
                  <c:v>-2.8619463324946698E-6</c:v>
                </c:pt>
                <c:pt idx="590">
                  <c:v>-2.8650586746176011E-6</c:v>
                </c:pt>
                <c:pt idx="591">
                  <c:v>-2.8679005422259928E-6</c:v>
                </c:pt>
                <c:pt idx="592">
                  <c:v>-2.8704715073900624E-6</c:v>
                </c:pt>
                <c:pt idx="593">
                  <c:v>-2.8727711831054552E-6</c:v>
                </c:pt>
                <c:pt idx="594">
                  <c:v>-2.8747992232932435E-6</c:v>
                </c:pt>
                <c:pt idx="595">
                  <c:v>-2.8765553227999198E-6</c:v>
                </c:pt>
                <c:pt idx="596">
                  <c:v>-2.8780392173974068E-6</c:v>
                </c:pt>
                <c:pt idx="597">
                  <c:v>-2.8792506837830498E-6</c:v>
                </c:pt>
                <c:pt idx="598">
                  <c:v>-2.8801895395796236E-6</c:v>
                </c:pt>
                <c:pt idx="599">
                  <c:v>-2.8808556433353255E-6</c:v>
                </c:pt>
                <c:pt idx="600">
                  <c:v>-2.8812488945237715E-6</c:v>
                </c:pt>
                <c:pt idx="601">
                  <c:v>-2.8813692335440185E-6</c:v>
                </c:pt>
                <c:pt idx="602">
                  <c:v>-2.881216641720533E-6</c:v>
                </c:pt>
                <c:pt idx="603">
                  <c:v>-2.8807911413032162E-6</c:v>
                </c:pt>
                <c:pt idx="604">
                  <c:v>-2.880092795467394E-6</c:v>
                </c:pt>
                <c:pt idx="605">
                  <c:v>-2.8791217083138135E-6</c:v>
                </c:pt>
                <c:pt idx="606">
                  <c:v>-2.8778780248686458E-6</c:v>
                </c:pt>
                <c:pt idx="607">
                  <c:v>-2.8763619310834969E-6</c:v>
                </c:pt>
                <c:pt idx="608">
                  <c:v>-2.8745736538353913E-6</c:v>
                </c:pt>
                <c:pt idx="609">
                  <c:v>-2.87251346092678E-6</c:v>
                </c:pt>
                <c:pt idx="610">
                  <c:v>-2.870181661085535E-6</c:v>
                </c:pt>
                <c:pt idx="611">
                  <c:v>-2.8675786039649631E-6</c:v>
                </c:pt>
                <c:pt idx="612">
                  <c:v>-2.8647046801437888E-6</c:v>
                </c:pt>
                <c:pt idx="613">
                  <c:v>-2.8615603211261628E-6</c:v>
                </c:pt>
                <c:pt idx="614">
                  <c:v>-2.8581459993416663E-6</c:v>
                </c:pt>
                <c:pt idx="615">
                  <c:v>-2.8544622281453006E-6</c:v>
                </c:pt>
                <c:pt idx="616">
                  <c:v>-2.8505095618174934E-6</c:v>
                </c:pt>
                <c:pt idx="617">
                  <c:v>-2.8462885955640989E-6</c:v>
                </c:pt>
                <c:pt idx="618">
                  <c:v>-2.8417999655163943E-6</c:v>
                </c:pt>
                <c:pt idx="619">
                  <c:v>-2.8370443487310873E-6</c:v>
                </c:pt>
                <c:pt idx="620">
                  <c:v>-2.8320224631903076E-6</c:v>
                </c:pt>
                <c:pt idx="621">
                  <c:v>-2.8267350678016064E-6</c:v>
                </c:pt>
                <c:pt idx="622">
                  <c:v>-2.8211829623979691E-6</c:v>
                </c:pt>
                <c:pt idx="623">
                  <c:v>-2.8153669877377966E-6</c:v>
                </c:pt>
                <c:pt idx="624">
                  <c:v>-2.8092880255049244E-6</c:v>
                </c:pt>
                <c:pt idx="625">
                  <c:v>-2.8029469983086113E-6</c:v>
                </c:pt>
                <c:pt idx="626">
                  <c:v>-2.7963448696835313E-6</c:v>
                </c:pt>
                <c:pt idx="627">
                  <c:v>-2.7894826440897993E-6</c:v>
                </c:pt>
                <c:pt idx="628">
                  <c:v>-2.7823613669129419E-6</c:v>
                </c:pt>
                <c:pt idx="629">
                  <c:v>-2.7749821244639183E-6</c:v>
                </c:pt>
                <c:pt idx="630">
                  <c:v>-2.7673460439791205E-6</c:v>
                </c:pt>
                <c:pt idx="631">
                  <c:v>-2.7594542936203438E-6</c:v>
                </c:pt>
                <c:pt idx="632">
                  <c:v>-2.7513080824748354E-6</c:v>
                </c:pt>
                <c:pt idx="633">
                  <c:v>-2.7429086605552416E-6</c:v>
                </c:pt>
                <c:pt idx="634">
                  <c:v>-2.7342573187996594E-6</c:v>
                </c:pt>
                <c:pt idx="635">
                  <c:v>-2.7253553890715917E-6</c:v>
                </c:pt>
                <c:pt idx="636">
                  <c:v>-2.7162042441599758E-6</c:v>
                </c:pt>
                <c:pt idx="637">
                  <c:v>-2.7068052977791756E-6</c:v>
                </c:pt>
                <c:pt idx="638">
                  <c:v>-2.6971600045689706E-6</c:v>
                </c:pt>
                <c:pt idx="639">
                  <c:v>-2.687269860094581E-6</c:v>
                </c:pt>
                <c:pt idx="640">
                  <c:v>-2.677136400846637E-6</c:v>
                </c:pt>
                <c:pt idx="641">
                  <c:v>-2.6667612042412057E-6</c:v>
                </c:pt>
                <c:pt idx="642">
                  <c:v>-2.6561458886197722E-6</c:v>
                </c:pt>
                <c:pt idx="643">
                  <c:v>-2.6452921132492496E-6</c:v>
                </c:pt>
                <c:pt idx="644">
                  <c:v>-2.6342015783219764E-6</c:v>
                </c:pt>
                <c:pt idx="645">
                  <c:v>-2.6228760249557176E-6</c:v>
                </c:pt>
                <c:pt idx="646">
                  <c:v>-2.6113172351936646E-6</c:v>
                </c:pt>
                <c:pt idx="647">
                  <c:v>-2.5995270320044254E-6</c:v>
                </c:pt>
                <c:pt idx="648">
                  <c:v>-2.5875072792820459E-6</c:v>
                </c:pt>
                <c:pt idx="649">
                  <c:v>-2.5752598818459879E-6</c:v>
                </c:pt>
                <c:pt idx="650">
                  <c:v>-2.5627867854411488E-6</c:v>
                </c:pt>
                <c:pt idx="651">
                  <c:v>-2.5500899767378335E-6</c:v>
                </c:pt>
                <c:pt idx="652">
                  <c:v>-2.5371714833317947E-6</c:v>
                </c:pt>
                <c:pt idx="653">
                  <c:v>-2.5240333737441906E-6</c:v>
                </c:pt>
                <c:pt idx="654">
                  <c:v>-2.5106777574216209E-6</c:v>
                </c:pt>
                <c:pt idx="655">
                  <c:v>-2.4971067847360901E-6</c:v>
                </c:pt>
                <c:pt idx="656">
                  <c:v>-2.4833226469850525E-6</c:v>
                </c:pt>
                <c:pt idx="657">
                  <c:v>-2.469327576391377E-6</c:v>
                </c:pt>
                <c:pt idx="658">
                  <c:v>-2.4551238461033536E-6</c:v>
                </c:pt>
                <c:pt idx="659">
                  <c:v>-2.4407137701947032E-6</c:v>
                </c:pt>
                <c:pt idx="660">
                  <c:v>-2.4260997036645662E-6</c:v>
                </c:pt>
                <c:pt idx="661">
                  <c:v>-2.4112840424375141E-6</c:v>
                </c:pt>
                <c:pt idx="662">
                  <c:v>-2.3962692233635407E-6</c:v>
                </c:pt>
                <c:pt idx="663">
                  <c:v>-2.3810577242180711E-6</c:v>
                </c:pt>
                <c:pt idx="664">
                  <c:v>-2.3656520637019454E-6</c:v>
                </c:pt>
                <c:pt idx="665">
                  <c:v>-2.3500548014414355E-6</c:v>
                </c:pt>
                <c:pt idx="666">
                  <c:v>-2.3342685379882401E-6</c:v>
                </c:pt>
                <c:pt idx="667">
                  <c:v>-2.3182959148194803E-6</c:v>
                </c:pt>
                <c:pt idx="668">
                  <c:v>-2.3021396143377081E-6</c:v>
                </c:pt>
                <c:pt idx="669">
                  <c:v>-2.2858023598708879E-6</c:v>
                </c:pt>
                <c:pt idx="670">
                  <c:v>-2.2692869156724223E-6</c:v>
                </c:pt>
                <c:pt idx="671">
                  <c:v>-2.2525960869211329E-6</c:v>
                </c:pt>
                <c:pt idx="672">
                  <c:v>-2.2357327197212691E-6</c:v>
                </c:pt>
                <c:pt idx="673">
                  <c:v>-2.218699701102503E-6</c:v>
                </c:pt>
                <c:pt idx="674">
                  <c:v>-2.2014999590199395E-6</c:v>
                </c:pt>
                <c:pt idx="675">
                  <c:v>-2.1841364623540969E-6</c:v>
                </c:pt>
                <c:pt idx="676">
                  <c:v>-2.1666122209109293E-6</c:v>
                </c:pt>
                <c:pt idx="677">
                  <c:v>-2.1489302854218054E-6</c:v>
                </c:pt>
                <c:pt idx="678">
                  <c:v>-2.1310937475435424E-6</c:v>
                </c:pt>
                <c:pt idx="679">
                  <c:v>-2.1131057398583505E-6</c:v>
                </c:pt>
                <c:pt idx="680">
                  <c:v>-2.0949694358738839E-6</c:v>
                </c:pt>
                <c:pt idx="681">
                  <c:v>-2.0766880500232193E-6</c:v>
                </c:pt>
                <c:pt idx="682">
                  <c:v>-2.0582648376648714E-6</c:v>
                </c:pt>
                <c:pt idx="683">
                  <c:v>-2.0397030950827497E-6</c:v>
                </c:pt>
                <c:pt idx="684">
                  <c:v>-2.0210061594862192E-6</c:v>
                </c:pt>
                <c:pt idx="685">
                  <c:v>-2.0021774090100528E-6</c:v>
                </c:pt>
                <c:pt idx="686">
                  <c:v>-1.9832202627144621E-6</c:v>
                </c:pt>
                <c:pt idx="687">
                  <c:v>-1.9641381805850664E-6</c:v>
                </c:pt>
                <c:pt idx="688">
                  <c:v>-1.94493466353292E-6</c:v>
                </c:pt>
                <c:pt idx="689">
                  <c:v>-1.9256132533945093E-6</c:v>
                </c:pt>
                <c:pt idx="690">
                  <c:v>-1.9061775329317353E-6</c:v>
                </c:pt>
                <c:pt idx="691">
                  <c:v>-1.8866311258319301E-6</c:v>
                </c:pt>
                <c:pt idx="692">
                  <c:v>-1.8669776967078524E-6</c:v>
                </c:pt>
                <c:pt idx="693">
                  <c:v>-1.8472209510976855E-6</c:v>
                </c:pt>
                <c:pt idx="694">
                  <c:v>-1.8273646354650217E-6</c:v>
                </c:pt>
                <c:pt idx="695">
                  <c:v>-1.8074125371989091E-6</c:v>
                </c:pt>
                <c:pt idx="696">
                  <c:v>-1.7873684846137927E-6</c:v>
                </c:pt>
                <c:pt idx="697">
                  <c:v>-1.7672363469495639E-6</c:v>
                </c:pt>
                <c:pt idx="698">
                  <c:v>-1.7470200343715237E-6</c:v>
                </c:pt>
                <c:pt idx="699">
                  <c:v>-1.7267234979704225E-6</c:v>
                </c:pt>
                <c:pt idx="700">
                  <c:v>-1.7063507297623993E-6</c:v>
                </c:pt>
                <c:pt idx="701">
                  <c:v>-1.6859057626890401E-6</c:v>
                </c:pt>
                <c:pt idx="702">
                  <c:v>-1.6653926706173655E-6</c:v>
                </c:pt>
                <c:pt idx="703">
                  <c:v>-1.6448155683397954E-6</c:v>
                </c:pt>
                <c:pt idx="704">
                  <c:v>-1.624178611574213E-6</c:v>
                </c:pt>
                <c:pt idx="705">
                  <c:v>-1.603485996963882E-6</c:v>
                </c:pt>
                <c:pt idx="706">
                  <c:v>-1.5827419620775193E-6</c:v>
                </c:pt>
                <c:pt idx="707">
                  <c:v>-1.5619507854092684E-6</c:v>
                </c:pt>
                <c:pt idx="708">
                  <c:v>-1.5411167863786852E-6</c:v>
                </c:pt>
                <c:pt idx="709">
                  <c:v>-1.5202443253307539E-6</c:v>
                </c:pt>
                <c:pt idx="710">
                  <c:v>-1.499337803535894E-6</c:v>
                </c:pt>
                <c:pt idx="711">
                  <c:v>-1.4784016631899377E-6</c:v>
                </c:pt>
                <c:pt idx="712">
                  <c:v>-1.4574403874141522E-6</c:v>
                </c:pt>
                <c:pt idx="713">
                  <c:v>-1.4364585002552249E-6</c:v>
                </c:pt>
                <c:pt idx="714">
                  <c:v>-1.4154605666852619E-6</c:v>
                </c:pt>
                <c:pt idx="715">
                  <c:v>-1.3944511926018251E-6</c:v>
                </c:pt>
                <c:pt idx="716">
                  <c:v>-1.3734350248278505E-6</c:v>
                </c:pt>
                <c:pt idx="717">
                  <c:v>-1.3524167511117385E-6</c:v>
                </c:pt>
                <c:pt idx="718">
                  <c:v>-1.3314011001273157E-6</c:v>
                </c:pt>
                <c:pt idx="719">
                  <c:v>-1.3103928414738143E-6</c:v>
                </c:pt>
                <c:pt idx="720">
                  <c:v>-1.2893967856758992E-6</c:v>
                </c:pt>
                <c:pt idx="721">
                  <c:v>-1.2684177841836583E-6</c:v>
                </c:pt>
                <c:pt idx="722">
                  <c:v>-1.2474607293726152E-6</c:v>
                </c:pt>
                <c:pt idx="723">
                  <c:v>-1.2265305545437072E-6</c:v>
                </c:pt>
                <c:pt idx="724">
                  <c:v>-1.2056322339233149E-6</c:v>
                </c:pt>
                <c:pt idx="725">
                  <c:v>-1.1847707826632077E-6</c:v>
                </c:pt>
                <c:pt idx="726">
                  <c:v>-1.1639512568406173E-6</c:v>
                </c:pt>
                <c:pt idx="727">
                  <c:v>-1.1431787534581921E-6</c:v>
                </c:pt>
                <c:pt idx="728">
                  <c:v>-1.1224584104439996E-6</c:v>
                </c:pt>
                <c:pt idx="729">
                  <c:v>-1.1017954066515196E-6</c:v>
                </c:pt>
                <c:pt idx="730">
                  <c:v>-1.0811949618596855E-6</c:v>
                </c:pt>
                <c:pt idx="731">
                  <c:v>-1.060662336772853E-6</c:v>
                </c:pt>
                <c:pt idx="732">
                  <c:v>-1.0402028330207574E-6</c:v>
                </c:pt>
                <c:pt idx="733">
                  <c:v>-1.0198217931586329E-6</c:v>
                </c:pt>
                <c:pt idx="734">
                  <c:v>-9.9952460066707402E-7</c:v>
                </c:pt>
                <c:pt idx="735">
                  <c:v>-9.7931667995214098E-7</c:v>
                </c:pt>
                <c:pt idx="736">
                  <c:v>-9.5920349634529874E-7</c:v>
                </c:pt>
                <c:pt idx="737">
                  <c:v>-9.3919055610344494E-7</c:v>
                </c:pt>
                <c:pt idx="738">
                  <c:v>-9.1928340640891509E-7</c:v>
                </c:pt>
                <c:pt idx="739">
                  <c:v>-8.99487635369423E-7</c:v>
                </c:pt>
                <c:pt idx="740">
                  <c:v>-8.7980887201818254E-7</c:v>
                </c:pt>
                <c:pt idx="741">
                  <c:v>-8.602527863137736E-7</c:v>
                </c:pt>
                <c:pt idx="742">
                  <c:v>-8.4082508914023268E-7</c:v>
                </c:pt>
                <c:pt idx="743">
                  <c:v>-8.2153153230698636E-7</c:v>
                </c:pt>
                <c:pt idx="744">
                  <c:v>-8.023779085489261E-7</c:v>
                </c:pt>
                <c:pt idx="745">
                  <c:v>-7.8337005152634212E-7</c:v>
                </c:pt>
                <c:pt idx="746">
                  <c:v>-7.6451383582496165E-7</c:v>
                </c:pt>
                <c:pt idx="747">
                  <c:v>-7.4581517695593916E-7</c:v>
                </c:pt>
                <c:pt idx="748">
                  <c:v>-7.2728003135585621E-7</c:v>
                </c:pt>
                <c:pt idx="749">
                  <c:v>-7.0891439638671398E-7</c:v>
                </c:pt>
                <c:pt idx="750">
                  <c:v>-6.9072431033591728E-7</c:v>
                </c:pt>
                <c:pt idx="751">
                  <c:v>-6.7271585241635168E-7</c:v>
                </c:pt>
                <c:pt idx="752">
                  <c:v>-6.5489514276628299E-7</c:v>
                </c:pt>
                <c:pt idx="753">
                  <c:v>-6.3726834244939456E-7</c:v>
                </c:pt>
                <c:pt idx="754">
                  <c:v>-6.1984165345483497E-7</c:v>
                </c:pt>
                <c:pt idx="755">
                  <c:v>-6.0262131869716147E-7</c:v>
                </c:pt>
                <c:pt idx="756">
                  <c:v>-5.8561362201632648E-7</c:v>
                </c:pt>
                <c:pt idx="757">
                  <c:v>-5.6882488817776228E-7</c:v>
                </c:pt>
                <c:pt idx="758">
                  <c:v>-5.5226148287229033E-7</c:v>
                </c:pt>
                <c:pt idx="759">
                  <c:v>-5.3592981271617511E-7</c:v>
                </c:pt>
                <c:pt idx="760">
                  <c:v>-5.1983632525107574E-7</c:v>
                </c:pt>
                <c:pt idx="761">
                  <c:v>-5.0398750894410627E-7</c:v>
                </c:pt>
                <c:pt idx="762">
                  <c:v>-4.8838989318780375E-7</c:v>
                </c:pt>
                <c:pt idx="763">
                  <c:v>-4.7305004830012466E-7</c:v>
                </c:pt>
                <c:pt idx="764">
                  <c:v>-4.5797458552443868E-7</c:v>
                </c:pt>
                <c:pt idx="765">
                  <c:v>-4.4317015702957077E-7</c:v>
                </c:pt>
                <c:pt idx="766">
                  <c:v>-4.2864345590974027E-7</c:v>
                </c:pt>
                <c:pt idx="767">
                  <c:v>-4.1440121618461938E-7</c:v>
                </c:pt>
                <c:pt idx="768">
                  <c:v>-4.0045021279927854E-7</c:v>
                </c:pt>
                <c:pt idx="769">
                  <c:v>-3.8679726162423021E-7</c:v>
                </c:pt>
                <c:pt idx="770">
                  <c:v>-3.7344921945540448E-7</c:v>
                </c:pt>
                <c:pt idx="771">
                  <c:v>-3.6041298401417299E-7</c:v>
                </c:pt>
                <c:pt idx="772">
                  <c:v>-3.4769549394730755E-7</c:v>
                </c:pt>
                <c:pt idx="773">
                  <c:v>-3.3530372882702684E-7</c:v>
                </c:pt>
                <c:pt idx="774">
                  <c:v>-3.2324470915096214E-7</c:v>
                </c:pt>
                <c:pt idx="775">
                  <c:v>-3.1152549634218146E-7</c:v>
                </c:pt>
                <c:pt idx="776">
                  <c:v>-3.0015319274916288E-7</c:v>
                </c:pt>
                <c:pt idx="777">
                  <c:v>-2.8913494164581204E-7</c:v>
                </c:pt>
                <c:pt idx="778">
                  <c:v>-2.7847792723148033E-7</c:v>
                </c:pt>
                <c:pt idx="779">
                  <c:v>-2.6818937463093258E-7</c:v>
                </c:pt>
                <c:pt idx="780">
                  <c:v>-2.5827654989434814E-7</c:v>
                </c:pt>
                <c:pt idx="781">
                  <c:v>-2.4874675999732883E-7</c:v>
                </c:pt>
                <c:pt idx="782">
                  <c:v>-2.3960735284093726E-7</c:v>
                </c:pt>
                <c:pt idx="783">
                  <c:v>-2.3086571725162175E-7</c:v>
                </c:pt>
                <c:pt idx="784">
                  <c:v>-2.2252928298126322E-7</c:v>
                </c:pt>
                <c:pt idx="785">
                  <c:v>-2.1460552070719801E-7</c:v>
                </c:pt>
                <c:pt idx="786">
                  <c:v>-2.0710194203217076E-7</c:v>
                </c:pt>
                <c:pt idx="787">
                  <c:v>-2.0002609948431569E-7</c:v>
                </c:pt>
                <c:pt idx="788">
                  <c:v>-1.9338558651724299E-7</c:v>
                </c:pt>
                <c:pt idx="789">
                  <c:v>-1.8718803750996198E-7</c:v>
                </c:pt>
                <c:pt idx="790">
                  <c:v>-1.8144112776692507E-7</c:v>
                </c:pt>
                <c:pt idx="791">
                  <c:v>-1.7615257351799767E-7</c:v>
                </c:pt>
                <c:pt idx="792">
                  <c:v>-1.7133013191844247E-7</c:v>
                </c:pt>
                <c:pt idx="793">
                  <c:v>-1.6698160104902189E-7</c:v>
                </c:pt>
                <c:pt idx="794">
                  <c:v>-1.6311481991585511E-7</c:v>
                </c:pt>
                <c:pt idx="795">
                  <c:v>-1.5973766845050391E-7</c:v>
                </c:pt>
                <c:pt idx="796">
                  <c:v>-1.5685806750997976E-7</c:v>
                </c:pt>
                <c:pt idx="797">
                  <c:v>-1.5448397887669429E-7</c:v>
                </c:pt>
                <c:pt idx="798">
                  <c:v>-1.5262340525847254E-7</c:v>
                </c:pt>
                <c:pt idx="799">
                  <c:v>-1.5128439028862037E-7</c:v>
                </c:pt>
                <c:pt idx="800">
                  <c:v>-1.504750185258031E-7</c:v>
                </c:pt>
                <c:pt idx="801">
                  <c:v>-1.5020341545416388E-7</c:v>
                </c:pt>
                <c:pt idx="802">
                  <c:v>-1.5020341545415734E-7</c:v>
                </c:pt>
                <c:pt idx="803">
                  <c:v>-1.5047501852580398E-7</c:v>
                </c:pt>
                <c:pt idx="804">
                  <c:v>-1.5128439028861724E-7</c:v>
                </c:pt>
                <c:pt idx="805">
                  <c:v>-1.5262340525847675E-7</c:v>
                </c:pt>
                <c:pt idx="806">
                  <c:v>-1.5448397887668741E-7</c:v>
                </c:pt>
                <c:pt idx="807">
                  <c:v>-1.5685806750997952E-7</c:v>
                </c:pt>
                <c:pt idx="808">
                  <c:v>-1.597376684505088E-7</c:v>
                </c:pt>
                <c:pt idx="809">
                  <c:v>-1.6311481991585625E-7</c:v>
                </c:pt>
                <c:pt idx="810">
                  <c:v>-1.6698160104902824E-7</c:v>
                </c:pt>
                <c:pt idx="811">
                  <c:v>-1.7133013191845655E-7</c:v>
                </c:pt>
                <c:pt idx="812">
                  <c:v>-1.7615257351799833E-7</c:v>
                </c:pt>
                <c:pt idx="813">
                  <c:v>-1.81441127766936E-7</c:v>
                </c:pt>
                <c:pt idx="814">
                  <c:v>-1.8718803750997746E-7</c:v>
                </c:pt>
                <c:pt idx="815">
                  <c:v>-1.9338558651725588E-7</c:v>
                </c:pt>
                <c:pt idx="816">
                  <c:v>-2.0002609948432985E-7</c:v>
                </c:pt>
                <c:pt idx="817">
                  <c:v>-2.0710194203218328E-7</c:v>
                </c:pt>
                <c:pt idx="818">
                  <c:v>-2.1460552070722549E-7</c:v>
                </c:pt>
                <c:pt idx="819">
                  <c:v>-2.2252928298129112E-7</c:v>
                </c:pt>
                <c:pt idx="820">
                  <c:v>-2.3086571725164018E-7</c:v>
                </c:pt>
                <c:pt idx="821">
                  <c:v>-2.3960735284095812E-7</c:v>
                </c:pt>
                <c:pt idx="822">
                  <c:v>-2.4874675999735551E-7</c:v>
                </c:pt>
                <c:pt idx="823">
                  <c:v>-2.5827654989436868E-7</c:v>
                </c:pt>
                <c:pt idx="824">
                  <c:v>-2.6818937463095895E-7</c:v>
                </c:pt>
                <c:pt idx="825">
                  <c:v>-2.784779272315132E-7</c:v>
                </c:pt>
                <c:pt idx="826">
                  <c:v>-2.891349416458437E-7</c:v>
                </c:pt>
                <c:pt idx="827">
                  <c:v>-3.0015319274918776E-7</c:v>
                </c:pt>
                <c:pt idx="828">
                  <c:v>-3.1152549634220857E-7</c:v>
                </c:pt>
                <c:pt idx="829">
                  <c:v>-3.2324470915099427E-7</c:v>
                </c:pt>
                <c:pt idx="830">
                  <c:v>-3.353037288270586E-7</c:v>
                </c:pt>
                <c:pt idx="831">
                  <c:v>-3.4769549394734042E-7</c:v>
                </c:pt>
                <c:pt idx="832">
                  <c:v>-3.6041298401420422E-7</c:v>
                </c:pt>
                <c:pt idx="833">
                  <c:v>-3.7344921945543974E-7</c:v>
                </c:pt>
                <c:pt idx="834">
                  <c:v>-3.8679726162426197E-7</c:v>
                </c:pt>
                <c:pt idx="835">
                  <c:v>-4.0045021279931147E-7</c:v>
                </c:pt>
                <c:pt idx="836">
                  <c:v>-4.14401216184654E-7</c:v>
                </c:pt>
                <c:pt idx="837">
                  <c:v>-4.2864345590978072E-7</c:v>
                </c:pt>
                <c:pt idx="838">
                  <c:v>-4.4317015702960836E-7</c:v>
                </c:pt>
                <c:pt idx="839">
                  <c:v>-4.5797458552447849E-7</c:v>
                </c:pt>
                <c:pt idx="840">
                  <c:v>-4.7305004830015865E-7</c:v>
                </c:pt>
                <c:pt idx="841">
                  <c:v>-4.8838989318784144E-7</c:v>
                </c:pt>
                <c:pt idx="842">
                  <c:v>-5.039875089441446E-7</c:v>
                </c:pt>
                <c:pt idx="843">
                  <c:v>-5.1983632525111185E-7</c:v>
                </c:pt>
                <c:pt idx="844">
                  <c:v>-5.3592981271621164E-7</c:v>
                </c:pt>
                <c:pt idx="845">
                  <c:v>-5.5226148287233819E-7</c:v>
                </c:pt>
                <c:pt idx="846">
                  <c:v>-5.6882488817781088E-7</c:v>
                </c:pt>
                <c:pt idx="847">
                  <c:v>-5.8561362201637455E-7</c:v>
                </c:pt>
                <c:pt idx="848">
                  <c:v>-6.0262131869719948E-7</c:v>
                </c:pt>
                <c:pt idx="849">
                  <c:v>-6.1984165345488103E-7</c:v>
                </c:pt>
                <c:pt idx="850">
                  <c:v>-6.3726834244943998E-7</c:v>
                </c:pt>
                <c:pt idx="851">
                  <c:v>-6.5489514276632312E-7</c:v>
                </c:pt>
                <c:pt idx="852">
                  <c:v>-6.7271585241640144E-7</c:v>
                </c:pt>
                <c:pt idx="853">
                  <c:v>-6.9072431033597212E-7</c:v>
                </c:pt>
                <c:pt idx="854">
                  <c:v>-7.089143963867577E-7</c:v>
                </c:pt>
                <c:pt idx="855">
                  <c:v>-7.2728003135590587E-7</c:v>
                </c:pt>
                <c:pt idx="856">
                  <c:v>-7.4581517695598935E-7</c:v>
                </c:pt>
                <c:pt idx="857">
                  <c:v>-7.6451383582500696E-7</c:v>
                </c:pt>
                <c:pt idx="858">
                  <c:v>-7.8337005152638236E-7</c:v>
                </c:pt>
                <c:pt idx="859">
                  <c:v>-8.0237790854896475E-7</c:v>
                </c:pt>
                <c:pt idx="860">
                  <c:v>-8.2153153230702829E-7</c:v>
                </c:pt>
                <c:pt idx="861">
                  <c:v>-8.4082508914027333E-7</c:v>
                </c:pt>
                <c:pt idx="862">
                  <c:v>-8.6025278631382506E-7</c:v>
                </c:pt>
                <c:pt idx="863">
                  <c:v>-8.7980887201823389E-7</c:v>
                </c:pt>
                <c:pt idx="864">
                  <c:v>-8.9948763536947594E-7</c:v>
                </c:pt>
                <c:pt idx="865">
                  <c:v>-9.1928340640895246E-7</c:v>
                </c:pt>
                <c:pt idx="866">
                  <c:v>-9.3919055610349026E-7</c:v>
                </c:pt>
                <c:pt idx="867">
                  <c:v>-9.5920349634534109E-7</c:v>
                </c:pt>
                <c:pt idx="868">
                  <c:v>-9.793166799521827E-7</c:v>
                </c:pt>
                <c:pt idx="869">
                  <c:v>-9.9952460066711765E-7</c:v>
                </c:pt>
                <c:pt idx="870">
                  <c:v>-1.0198217931586742E-6</c:v>
                </c:pt>
                <c:pt idx="871">
                  <c:v>-1.0402028330208059E-6</c:v>
                </c:pt>
                <c:pt idx="872">
                  <c:v>-1.0606623367728913E-6</c:v>
                </c:pt>
                <c:pt idx="873">
                  <c:v>-1.0811949618597354E-6</c:v>
                </c:pt>
                <c:pt idx="874">
                  <c:v>-1.101795406651567E-6</c:v>
                </c:pt>
                <c:pt idx="875">
                  <c:v>-1.1224584104440413E-6</c:v>
                </c:pt>
                <c:pt idx="876">
                  <c:v>-1.1431787534582387E-6</c:v>
                </c:pt>
                <c:pt idx="877">
                  <c:v>-1.1639512568406649E-6</c:v>
                </c:pt>
                <c:pt idx="878">
                  <c:v>-1.1847707826632509E-6</c:v>
                </c:pt>
                <c:pt idx="879">
                  <c:v>-1.2056322339233528E-6</c:v>
                </c:pt>
                <c:pt idx="880">
                  <c:v>-1.2265305545437529E-6</c:v>
                </c:pt>
                <c:pt idx="881">
                  <c:v>-1.2474607293726579E-6</c:v>
                </c:pt>
                <c:pt idx="882">
                  <c:v>-1.2684177841837008E-6</c:v>
                </c:pt>
                <c:pt idx="883">
                  <c:v>-1.2893967856759386E-6</c:v>
                </c:pt>
                <c:pt idx="884">
                  <c:v>-1.3103928414738556E-6</c:v>
                </c:pt>
                <c:pt idx="885">
                  <c:v>-1.3314011001273599E-6</c:v>
                </c:pt>
                <c:pt idx="886">
                  <c:v>-1.3524167511117851E-6</c:v>
                </c:pt>
                <c:pt idx="887">
                  <c:v>-1.3734350248278909E-6</c:v>
                </c:pt>
                <c:pt idx="888">
                  <c:v>-1.3944511926018619E-6</c:v>
                </c:pt>
                <c:pt idx="889">
                  <c:v>-1.415460566685308E-6</c:v>
                </c:pt>
                <c:pt idx="890">
                  <c:v>-1.4364585002552648E-6</c:v>
                </c:pt>
                <c:pt idx="891">
                  <c:v>-1.4574403874141928E-6</c:v>
                </c:pt>
                <c:pt idx="892">
                  <c:v>-1.4784016631899784E-6</c:v>
                </c:pt>
                <c:pt idx="893">
                  <c:v>-1.4993378035359328E-6</c:v>
                </c:pt>
                <c:pt idx="894">
                  <c:v>-1.5202443253307927E-6</c:v>
                </c:pt>
                <c:pt idx="895">
                  <c:v>-1.5411167863787212E-6</c:v>
                </c:pt>
                <c:pt idx="896">
                  <c:v>-1.5619507854093049E-6</c:v>
                </c:pt>
                <c:pt idx="897">
                  <c:v>-1.5827419620775574E-6</c:v>
                </c:pt>
                <c:pt idx="898">
                  <c:v>-1.6034859969639165E-6</c:v>
                </c:pt>
                <c:pt idx="899">
                  <c:v>-1.6241786115742463E-6</c:v>
                </c:pt>
                <c:pt idx="900">
                  <c:v>-1.6448155683398354E-6</c:v>
                </c:pt>
                <c:pt idx="901">
                  <c:v>-1.6653926706173979E-6</c:v>
                </c:pt>
                <c:pt idx="902">
                  <c:v>-1.6859057626890742E-6</c:v>
                </c:pt>
                <c:pt idx="903">
                  <c:v>-1.7063507297624294E-6</c:v>
                </c:pt>
                <c:pt idx="904">
                  <c:v>-1.7267234979704536E-6</c:v>
                </c:pt>
                <c:pt idx="905">
                  <c:v>-1.7470200343715631E-6</c:v>
                </c:pt>
                <c:pt idx="906">
                  <c:v>-1.7672363469495986E-6</c:v>
                </c:pt>
                <c:pt idx="907">
                  <c:v>-1.7873684846138266E-6</c:v>
                </c:pt>
                <c:pt idx="908">
                  <c:v>-1.8074125371989398E-6</c:v>
                </c:pt>
                <c:pt idx="909">
                  <c:v>-1.8273646354650546E-6</c:v>
                </c:pt>
                <c:pt idx="910">
                  <c:v>-1.8472209510977139E-6</c:v>
                </c:pt>
                <c:pt idx="911">
                  <c:v>-1.8669776967078865E-6</c:v>
                </c:pt>
                <c:pt idx="912">
                  <c:v>-1.886631125831964E-6</c:v>
                </c:pt>
                <c:pt idx="913">
                  <c:v>-1.9061775329317668E-6</c:v>
                </c:pt>
                <c:pt idx="914">
                  <c:v>-1.9256132533945386E-6</c:v>
                </c:pt>
                <c:pt idx="915">
                  <c:v>-1.9449346635329483E-6</c:v>
                </c:pt>
                <c:pt idx="916">
                  <c:v>-1.9641381805850914E-6</c:v>
                </c:pt>
                <c:pt idx="917">
                  <c:v>-1.9832202627144875E-6</c:v>
                </c:pt>
                <c:pt idx="918">
                  <c:v>-2.0021774090100824E-6</c:v>
                </c:pt>
                <c:pt idx="919">
                  <c:v>-2.0210061594862467E-6</c:v>
                </c:pt>
                <c:pt idx="920">
                  <c:v>-2.0397030950827776E-6</c:v>
                </c:pt>
                <c:pt idx="921">
                  <c:v>-2.0582648376648964E-6</c:v>
                </c:pt>
                <c:pt idx="922">
                  <c:v>-2.076688050023249E-6</c:v>
                </c:pt>
                <c:pt idx="923">
                  <c:v>-2.0949694358739085E-6</c:v>
                </c:pt>
                <c:pt idx="924">
                  <c:v>-2.1131057398583725E-6</c:v>
                </c:pt>
                <c:pt idx="925">
                  <c:v>-2.1310937475435649E-6</c:v>
                </c:pt>
                <c:pt idx="926">
                  <c:v>-2.1489302854218334E-6</c:v>
                </c:pt>
                <c:pt idx="927">
                  <c:v>-2.1666122209109518E-6</c:v>
                </c:pt>
                <c:pt idx="928">
                  <c:v>-2.1841364623541194E-6</c:v>
                </c:pt>
                <c:pt idx="929">
                  <c:v>-2.2014999590199607E-6</c:v>
                </c:pt>
                <c:pt idx="930">
                  <c:v>-2.2186997011025254E-6</c:v>
                </c:pt>
                <c:pt idx="931">
                  <c:v>-2.235732719721289E-6</c:v>
                </c:pt>
                <c:pt idx="932">
                  <c:v>-2.2525960869211524E-6</c:v>
                </c:pt>
                <c:pt idx="933">
                  <c:v>-2.2692869156724405E-6</c:v>
                </c:pt>
                <c:pt idx="934">
                  <c:v>-2.2858023598709061E-6</c:v>
                </c:pt>
                <c:pt idx="935">
                  <c:v>-2.302139614337725E-6</c:v>
                </c:pt>
                <c:pt idx="936">
                  <c:v>-2.3182959148194994E-6</c:v>
                </c:pt>
                <c:pt idx="937">
                  <c:v>-2.3342685379882578E-6</c:v>
                </c:pt>
                <c:pt idx="938">
                  <c:v>-2.3500548014414516E-6</c:v>
                </c:pt>
                <c:pt idx="939">
                  <c:v>-2.3656520637019594E-6</c:v>
                </c:pt>
                <c:pt idx="940">
                  <c:v>-2.3810577242180838E-6</c:v>
                </c:pt>
                <c:pt idx="941">
                  <c:v>-2.3962692233635547E-6</c:v>
                </c:pt>
                <c:pt idx="942">
                  <c:v>-2.4112840424375268E-6</c:v>
                </c:pt>
                <c:pt idx="943">
                  <c:v>-2.4260997036645785E-6</c:v>
                </c:pt>
                <c:pt idx="944">
                  <c:v>-2.4407137701947163E-6</c:v>
                </c:pt>
                <c:pt idx="945">
                  <c:v>-2.4551238461033693E-6</c:v>
                </c:pt>
                <c:pt idx="946">
                  <c:v>-2.4693275763913926E-6</c:v>
                </c:pt>
                <c:pt idx="947">
                  <c:v>-2.4833226469850686E-6</c:v>
                </c:pt>
                <c:pt idx="948">
                  <c:v>-2.4971067847361036E-6</c:v>
                </c:pt>
                <c:pt idx="949">
                  <c:v>-2.5106777574216285E-6</c:v>
                </c:pt>
                <c:pt idx="950">
                  <c:v>-2.5240333737442024E-6</c:v>
                </c:pt>
                <c:pt idx="951">
                  <c:v>-2.5371714833318053E-6</c:v>
                </c:pt>
                <c:pt idx="952">
                  <c:v>-2.5500899767378462E-6</c:v>
                </c:pt>
                <c:pt idx="953">
                  <c:v>-2.5627867854411586E-6</c:v>
                </c:pt>
                <c:pt idx="954">
                  <c:v>-2.575259881846001E-6</c:v>
                </c:pt>
                <c:pt idx="955">
                  <c:v>-2.5875072792820565E-6</c:v>
                </c:pt>
                <c:pt idx="956">
                  <c:v>-2.5995270320044351E-6</c:v>
                </c:pt>
                <c:pt idx="957">
                  <c:v>-2.6113172351936722E-6</c:v>
                </c:pt>
                <c:pt idx="958">
                  <c:v>-2.6228760249557265E-6</c:v>
                </c:pt>
                <c:pt idx="959">
                  <c:v>-2.6342015783219849E-6</c:v>
                </c:pt>
                <c:pt idx="960">
                  <c:v>-2.6452921132492568E-6</c:v>
                </c:pt>
                <c:pt idx="961">
                  <c:v>-2.656145888619779E-6</c:v>
                </c:pt>
                <c:pt idx="962">
                  <c:v>-2.666761204241212E-6</c:v>
                </c:pt>
                <c:pt idx="963">
                  <c:v>-2.6771364008466438E-6</c:v>
                </c:pt>
                <c:pt idx="964">
                  <c:v>-2.6872698600945869E-6</c:v>
                </c:pt>
                <c:pt idx="965">
                  <c:v>-2.6971600045689778E-6</c:v>
                </c:pt>
                <c:pt idx="966">
                  <c:v>-2.7068052977791798E-6</c:v>
                </c:pt>
                <c:pt idx="967">
                  <c:v>-2.7162042441599822E-6</c:v>
                </c:pt>
                <c:pt idx="968">
                  <c:v>-2.7253553890715972E-6</c:v>
                </c:pt>
                <c:pt idx="969">
                  <c:v>-2.7342573187996649E-6</c:v>
                </c:pt>
                <c:pt idx="970">
                  <c:v>-2.742908660555248E-6</c:v>
                </c:pt>
                <c:pt idx="971">
                  <c:v>-2.7513080824748383E-6</c:v>
                </c:pt>
                <c:pt idx="972">
                  <c:v>-2.7594542936203505E-6</c:v>
                </c:pt>
                <c:pt idx="973">
                  <c:v>-2.7673460439791239E-6</c:v>
                </c:pt>
                <c:pt idx="974">
                  <c:v>-2.7749821244639255E-6</c:v>
                </c:pt>
                <c:pt idx="975">
                  <c:v>-2.7823613669129457E-6</c:v>
                </c:pt>
                <c:pt idx="976">
                  <c:v>-2.7894826440898023E-6</c:v>
                </c:pt>
                <c:pt idx="977">
                  <c:v>-2.7963448696835368E-6</c:v>
                </c:pt>
                <c:pt idx="978">
                  <c:v>-2.8029469983086151E-6</c:v>
                </c:pt>
                <c:pt idx="979">
                  <c:v>-2.8092880255049295E-6</c:v>
                </c:pt>
                <c:pt idx="980">
                  <c:v>-2.8153669877378017E-6</c:v>
                </c:pt>
                <c:pt idx="981">
                  <c:v>-2.8211829623979721E-6</c:v>
                </c:pt>
                <c:pt idx="982">
                  <c:v>-2.8267350678016093E-6</c:v>
                </c:pt>
                <c:pt idx="983">
                  <c:v>-2.8320224631903105E-6</c:v>
                </c:pt>
                <c:pt idx="984">
                  <c:v>-2.8370443487310915E-6</c:v>
                </c:pt>
                <c:pt idx="985">
                  <c:v>-2.8417999655163973E-6</c:v>
                </c:pt>
                <c:pt idx="986">
                  <c:v>-2.8462885955640994E-6</c:v>
                </c:pt>
                <c:pt idx="987">
                  <c:v>-2.8505095618174943E-6</c:v>
                </c:pt>
                <c:pt idx="988">
                  <c:v>-2.8544622281453023E-6</c:v>
                </c:pt>
                <c:pt idx="989">
                  <c:v>-2.8581459993416676E-6</c:v>
                </c:pt>
                <c:pt idx="990">
                  <c:v>-2.8615603211261658E-6</c:v>
                </c:pt>
                <c:pt idx="991">
                  <c:v>-2.8647046801437897E-6</c:v>
                </c:pt>
                <c:pt idx="992">
                  <c:v>-2.8675786039649644E-6</c:v>
                </c:pt>
                <c:pt idx="993">
                  <c:v>-2.8701816610855375E-6</c:v>
                </c:pt>
                <c:pt idx="994">
                  <c:v>-2.8725134609267791E-6</c:v>
                </c:pt>
                <c:pt idx="995">
                  <c:v>-2.8745736538353935E-6</c:v>
                </c:pt>
                <c:pt idx="996">
                  <c:v>-2.8763619310834998E-6</c:v>
                </c:pt>
                <c:pt idx="997">
                  <c:v>-2.8778780248686474E-6</c:v>
                </c:pt>
                <c:pt idx="998">
                  <c:v>-2.8791217083138101E-6</c:v>
                </c:pt>
                <c:pt idx="999">
                  <c:v>-2.8800927954673923E-6</c:v>
                </c:pt>
                <c:pt idx="1000">
                  <c:v>-2.8807911413032174E-6</c:v>
                </c:pt>
                <c:pt idx="1001">
                  <c:v>-2.8812166417205321E-6</c:v>
                </c:pt>
                <c:pt idx="1002">
                  <c:v>-2.8813692335440172E-6</c:v>
                </c:pt>
                <c:pt idx="1003">
                  <c:v>-2.8812488945237727E-6</c:v>
                </c:pt>
                <c:pt idx="1004">
                  <c:v>-2.8808556433353234E-6</c:v>
                </c:pt>
                <c:pt idx="1005">
                  <c:v>-2.8801895395796232E-6</c:v>
                </c:pt>
                <c:pt idx="1006">
                  <c:v>-2.8792506837830507E-6</c:v>
                </c:pt>
                <c:pt idx="1007">
                  <c:v>-2.8780392173974042E-6</c:v>
                </c:pt>
                <c:pt idx="1008">
                  <c:v>-2.8765553227999159E-6</c:v>
                </c:pt>
                <c:pt idx="1009">
                  <c:v>-2.8747992232932401E-6</c:v>
                </c:pt>
                <c:pt idx="1010">
                  <c:v>-2.8727711831054539E-6</c:v>
                </c:pt>
                <c:pt idx="1011">
                  <c:v>-2.8704715073900591E-6</c:v>
                </c:pt>
                <c:pt idx="1012">
                  <c:v>-2.8679005422259898E-6</c:v>
                </c:pt>
                <c:pt idx="1013">
                  <c:v>-2.8650586746175989E-6</c:v>
                </c:pt>
                <c:pt idx="1014">
                  <c:v>-2.8619463324946656E-6</c:v>
                </c:pt>
                <c:pt idx="1015">
                  <c:v>-2.8585639847123986E-6</c:v>
                </c:pt>
                <c:pt idx="1016">
                  <c:v>-2.8549121410514275E-6</c:v>
                </c:pt>
                <c:pt idx="1017">
                  <c:v>-2.8509913522178072E-6</c:v>
                </c:pt>
                <c:pt idx="1018">
                  <c:v>-2.8468022098430221E-6</c:v>
                </c:pt>
                <c:pt idx="1019">
                  <c:v>-2.8423453464839741E-6</c:v>
                </c:pt>
                <c:pt idx="1020">
                  <c:v>-2.8376214356230026E-6</c:v>
                </c:pt>
                <c:pt idx="1021">
                  <c:v>-2.8326311916678638E-6</c:v>
                </c:pt>
                <c:pt idx="1022">
                  <c:v>-2.8273753699517361E-6</c:v>
                </c:pt>
                <c:pt idx="1023">
                  <c:v>-2.8218547667332346E-6</c:v>
                </c:pt>
                <c:pt idx="1024">
                  <c:v>-2.8160702191963876E-6</c:v>
                </c:pt>
                <c:pt idx="1025">
                  <c:v>-2.8100226054506583E-6</c:v>
                </c:pt>
                <c:pt idx="1026">
                  <c:v>-2.8037128445309321E-6</c:v>
                </c:pt>
                <c:pt idx="1027">
                  <c:v>-2.7971418963975145E-6</c:v>
                </c:pt>
                <c:pt idx="1028">
                  <c:v>-2.7903107619361473E-6</c:v>
                </c:pt>
                <c:pt idx="1029">
                  <c:v>-2.7832204829579848E-6</c:v>
                </c:pt>
                <c:pt idx="1030">
                  <c:v>-2.7758721421996134E-6</c:v>
                </c:pt>
                <c:pt idx="1031">
                  <c:v>-2.7682668633230533E-6</c:v>
                </c:pt>
                <c:pt idx="1032">
                  <c:v>-2.7604058109157315E-6</c:v>
                </c:pt>
                <c:pt idx="1033">
                  <c:v>-2.7522901904905156E-6</c:v>
                </c:pt>
                <c:pt idx="1034">
                  <c:v>-2.7439212484856875E-6</c:v>
                </c:pt>
                <c:pt idx="1035">
                  <c:v>-2.7353002722649672E-6</c:v>
                </c:pt>
                <c:pt idx="1036">
                  <c:v>-2.7264285901174907E-6</c:v>
                </c:pt>
                <c:pt idx="1037">
                  <c:v>-2.7173075712578202E-6</c:v>
                </c:pt>
                <c:pt idx="1038">
                  <c:v>-2.7079386258259458E-6</c:v>
                </c:pt>
                <c:pt idx="1039">
                  <c:v>-2.6983232048872797E-6</c:v>
                </c:pt>
                <c:pt idx="1040">
                  <c:v>-2.6884628004326673E-6</c:v>
                </c:pt>
                <c:pt idx="1041">
                  <c:v>-2.6783589453783642E-6</c:v>
                </c:pt>
                <c:pt idx="1042">
                  <c:v>-2.6680132135660747E-6</c:v>
                </c:pt>
                <c:pt idx="1043">
                  <c:v>-2.6574272197628996E-6</c:v>
                </c:pt>
                <c:pt idx="1044">
                  <c:v>-2.6466026196613935E-6</c:v>
                </c:pt>
                <c:pt idx="1045">
                  <c:v>-2.6355411098795103E-6</c:v>
                </c:pt>
                <c:pt idx="1046">
                  <c:v>-2.6242444279606507E-6</c:v>
                </c:pt>
                <c:pt idx="1047">
                  <c:v>-2.6127143523736338E-6</c:v>
                </c:pt>
                <c:pt idx="1048">
                  <c:v>-2.600952702512692E-6</c:v>
                </c:pt>
                <c:pt idx="1049">
                  <c:v>-2.5889613386975014E-6</c:v>
                </c:pt>
                <c:pt idx="1050">
                  <c:v>-2.5767421621731535E-6</c:v>
                </c:pt>
                <c:pt idx="1051">
                  <c:v>-2.5642971151101693E-6</c:v>
                </c:pt>
                <c:pt idx="1052">
                  <c:v>-2.551628180604488E-6</c:v>
                </c:pt>
                <c:pt idx="1053">
                  <c:v>-2.538737382677483E-6</c:v>
                </c:pt>
                <c:pt idx="1054">
                  <c:v>-2.5256267862759493E-6</c:v>
                </c:pt>
                <c:pt idx="1055">
                  <c:v>-2.5122984972721068E-6</c:v>
                </c:pt>
                <c:pt idx="1056">
                  <c:v>-2.4987546624635936E-6</c:v>
                </c:pt>
                <c:pt idx="1057">
                  <c:v>-2.4849974695734878E-6</c:v>
                </c:pt>
                <c:pt idx="1058">
                  <c:v>-2.471029147250289E-6</c:v>
                </c:pt>
                <c:pt idx="1059">
                  <c:v>-2.4568519650679124E-6</c:v>
                </c:pt>
                <c:pt idx="1060">
                  <c:v>-2.4424682335257133E-6</c:v>
                </c:pt>
                <c:pt idx="1061">
                  <c:v>-2.4278803040484505E-6</c:v>
                </c:pt>
                <c:pt idx="1062">
                  <c:v>-2.413090568986335E-6</c:v>
                </c:pt>
                <c:pt idx="1063">
                  <c:v>-2.3981014616149786E-6</c:v>
                </c:pt>
                <c:pt idx="1064">
                  <c:v>-2.38291545613544E-6</c:v>
                </c:pt>
                <c:pt idx="1065">
                  <c:v>-2.3675350676741845E-6</c:v>
                </c:pt>
                <c:pt idx="1066">
                  <c:v>-2.351962852283117E-6</c:v>
                </c:pt>
                <c:pt idx="1067">
                  <c:v>-2.3362014069395577E-6</c:v>
                </c:pt>
                <c:pt idx="1068">
                  <c:v>-2.3202533695462615E-6</c:v>
                </c:pt>
                <c:pt idx="1069">
                  <c:v>-2.3041214189314064E-6</c:v>
                </c:pt>
                <c:pt idx="1070">
                  <c:v>-2.2878082748485789E-6</c:v>
                </c:pt>
                <c:pt idx="1071">
                  <c:v>-2.2713166979768192E-6</c:v>
                </c:pt>
                <c:pt idx="1072">
                  <c:v>-2.2546494899205743E-6</c:v>
                </c:pt>
                <c:pt idx="1073">
                  <c:v>-2.2378094932097186E-6</c:v>
                </c:pt>
                <c:pt idx="1074">
                  <c:v>-2.2207995912995539E-6</c:v>
                </c:pt>
                <c:pt idx="1075">
                  <c:v>-2.2036227085708127E-6</c:v>
                </c:pt>
                <c:pt idx="1076">
                  <c:v>-2.1862818103296441E-6</c:v>
                </c:pt>
                <c:pt idx="1077">
                  <c:v>-2.1687799028076256E-6</c:v>
                </c:pt>
                <c:pt idx="1078">
                  <c:v>-2.1511200331617581E-6</c:v>
                </c:pt>
                <c:pt idx="1079">
                  <c:v>-2.1333052894744854E-6</c:v>
                </c:pt>
                <c:pt idx="1080">
                  <c:v>-2.1153388007536451E-6</c:v>
                </c:pt>
                <c:pt idx="1081">
                  <c:v>-2.097223736932519E-6</c:v>
                </c:pt>
                <c:pt idx="1082">
                  <c:v>-2.0789633088698141E-6</c:v>
                </c:pt>
                <c:pt idx="1083">
                  <c:v>-2.0605607683496681E-6</c:v>
                </c:pt>
                <c:pt idx="1084">
                  <c:v>-2.0420194080816271E-6</c:v>
                </c:pt>
                <c:pt idx="1085">
                  <c:v>-2.0233425617006791E-6</c:v>
                </c:pt>
                <c:pt idx="1086">
                  <c:v>-2.0045336037672226E-6</c:v>
                </c:pt>
                <c:pt idx="1087">
                  <c:v>-1.9855959497671037E-6</c:v>
                </c:pt>
                <c:pt idx="1088">
                  <c:v>-1.9665330561115646E-6</c:v>
                </c:pt>
                <c:pt idx="1089">
                  <c:v>-1.9473484201372895E-6</c:v>
                </c:pt>
                <c:pt idx="1090">
                  <c:v>-1.9280455801063926E-6</c:v>
                </c:pt>
                <c:pt idx="1091">
                  <c:v>-1.9086281152064044E-6</c:v>
                </c:pt>
                <c:pt idx="1092">
                  <c:v>-1.8890996455502827E-6</c:v>
                </c:pt>
                <c:pt idx="1093">
                  <c:v>-1.8694638321764132E-6</c:v>
                </c:pt>
                <c:pt idx="1094">
                  <c:v>-1.8497243770486119E-6</c:v>
                </c:pt>
                <c:pt idx="1095">
                  <c:v>-1.8298850230560997E-6</c:v>
                </c:pt>
                <c:pt idx="1096">
                  <c:v>-1.8099495540135415E-6</c:v>
                </c:pt>
                <c:pt idx="1097">
                  <c:v>-1.7899217946610263E-6</c:v>
                </c:pt>
                <c:pt idx="1098">
                  <c:v>-1.7698056106640624E-6</c:v>
                </c:pt>
                <c:pt idx="1099">
                  <c:v>-1.7496049086135847E-6</c:v>
                </c:pt>
                <c:pt idx="1100">
                  <c:v>-1.7293236360259642E-6</c:v>
                </c:pt>
                <c:pt idx="1101">
                  <c:v>-1.708965781342975E-6</c:v>
                </c:pt>
                <c:pt idx="1102">
                  <c:v>-1.6885353739318329E-6</c:v>
                </c:pt>
                <c:pt idx="1103">
                  <c:v>-1.6680364840851833E-6</c:v>
                </c:pt>
                <c:pt idx="1104">
                  <c:v>-1.6474732230210719E-6</c:v>
                </c:pt>
                <c:pt idx="1105">
                  <c:v>-1.6268497428830071E-6</c:v>
                </c:pt>
                <c:pt idx="1106">
                  <c:v>-1.6061702367398964E-6</c:v>
                </c:pt>
                <c:pt idx="1107">
                  <c:v>-1.5854389385860681E-6</c:v>
                </c:pt>
                <c:pt idx="1108">
                  <c:v>-1.5646601233412907E-6</c:v>
                </c:pt>
                <c:pt idx="1109">
                  <c:v>-1.5438381068507693E-6</c:v>
                </c:pt>
                <c:pt idx="1110">
                  <c:v>-1.522977245885099E-6</c:v>
                </c:pt>
                <c:pt idx="1111">
                  <c:v>-1.502081938140334E-6</c:v>
                </c:pt>
                <c:pt idx="1112">
                  <c:v>-1.4811566222379312E-6</c:v>
                </c:pt>
                <c:pt idx="1113">
                  <c:v>-1.4602057777247884E-6</c:v>
                </c:pt>
                <c:pt idx="1114">
                  <c:v>-1.4392339250732182E-6</c:v>
                </c:pt>
                <c:pt idx="1115">
                  <c:v>-1.418245625680966E-6</c:v>
                </c:pt>
                <c:pt idx="1116">
                  <c:v>-1.3972454818711999E-6</c:v>
                </c:pt>
                <c:pt idx="1117">
                  <c:v>-1.3762381368925003E-6</c:v>
                </c:pt>
                <c:pt idx="1118">
                  <c:v>-1.3552282749188978E-6</c:v>
                </c:pt>
                <c:pt idx="1119">
                  <c:v>-1.3342206210498388E-6</c:v>
                </c:pt>
                <c:pt idx="1120">
                  <c:v>-1.3132199413101811E-6</c:v>
                </c:pt>
                <c:pt idx="1121">
                  <c:v>-1.2922310426502247E-6</c:v>
                </c:pt>
                <c:pt idx="1122">
                  <c:v>-1.2712587729456866E-6</c:v>
                </c:pt>
                <c:pt idx="1123">
                  <c:v>-1.2503080209977163E-6</c:v>
                </c:pt>
                <c:pt idx="1124">
                  <c:v>-1.2293837165328763E-6</c:v>
                </c:pt>
                <c:pt idx="1125">
                  <c:v>-1.2084908302031722E-6</c:v>
                </c:pt>
                <c:pt idx="1126">
                  <c:v>-1.1876343735860131E-6</c:v>
                </c:pt>
                <c:pt idx="1127">
                  <c:v>-1.166819399184251E-6</c:v>
                </c:pt>
                <c:pt idx="1128">
                  <c:v>-1.1460510004261643E-6</c:v>
                </c:pt>
                <c:pt idx="1129">
                  <c:v>-1.1253343116654455E-6</c:v>
                </c:pt>
                <c:pt idx="1130">
                  <c:v>-1.1046745081812048E-6</c:v>
                </c:pt>
                <c:pt idx="1131">
                  <c:v>-1.0840768061780055E-6</c:v>
                </c:pt>
                <c:pt idx="1132">
                  <c:v>-1.0635464627858283E-6</c:v>
                </c:pt>
                <c:pt idx="1133">
                  <c:v>-1.0430887760600387E-6</c:v>
                </c:pt>
                <c:pt idx="1134">
                  <c:v>-1.0227090849814959E-6</c:v>
                </c:pt>
                <c:pt idx="1135">
                  <c:v>-1.0024127694564294E-6</c:v>
                </c:pt>
                <c:pt idx="1136">
                  <c:v>-9.8220525031651978E-7</c:v>
                </c:pt>
                <c:pt idx="1137">
                  <c:v>-9.6209198931886208E-7</c:v>
                </c:pt>
                <c:pt idx="1138">
                  <c:v>-9.4207848914598364E-7</c:v>
                </c:pt>
                <c:pt idx="1139">
                  <c:v>-9.2217029340584542E-7</c:v>
                </c:pt>
                <c:pt idx="1140">
                  <c:v>-9.0237298663179592E-7</c:v>
                </c:pt>
                <c:pt idx="1141">
                  <c:v>-8.826921942826696E-7</c:v>
                </c:pt>
                <c:pt idx="1142">
                  <c:v>-8.6313358274268071E-7</c:v>
                </c:pt>
                <c:pt idx="1143">
                  <c:v>-8.4370285932148676E-7</c:v>
                </c:pt>
                <c:pt idx="1144">
                  <c:v>-8.2440577225414871E-7</c:v>
                </c:pt>
                <c:pt idx="1145">
                  <c:v>-8.0524811070118326E-7</c:v>
                </c:pt>
                <c:pt idx="1146">
                  <c:v>-7.8623570474851075E-7</c:v>
                </c:pt>
                <c:pt idx="1147">
                  <c:v>-7.6737442540747868E-7</c:v>
                </c:pt>
                <c:pt idx="1148">
                  <c:v>-7.4867018461487644E-7</c:v>
                </c:pt>
                <c:pt idx="1149">
                  <c:v>-7.3012893523292034E-7</c:v>
                </c:pt>
                <c:pt idx="1150">
                  <c:v>-7.1175667104922242E-7</c:v>
                </c:pt>
                <c:pt idx="1151">
                  <c:v>-6.9355942677683182E-7</c:v>
                </c:pt>
                <c:pt idx="1152">
                  <c:v>-6.7554327805424971E-7</c:v>
                </c:pt>
                <c:pt idx="1153">
                  <c:v>-6.5771434144538136E-7</c:v>
                </c:pt>
                <c:pt idx="1154">
                  <c:v>-6.4007877443953079E-7</c:v>
                </c:pt>
                <c:pt idx="1155">
                  <c:v>-6.2264277545148119E-7</c:v>
                </c:pt>
                <c:pt idx="1156">
                  <c:v>-6.054125838214054E-7</c:v>
                </c:pt>
                <c:pt idx="1157">
                  <c:v>-5.883944798148955E-7</c:v>
                </c:pt>
                <c:pt idx="1158">
                  <c:v>-5.7159478462300426E-7</c:v>
                </c:pt>
                <c:pt idx="1159">
                  <c:v>-5.5501986036219735E-7</c:v>
                </c:pt>
                <c:pt idx="1160">
                  <c:v>-5.3867611007434067E-7</c:v>
                </c:pt>
                <c:pt idx="1161">
                  <c:v>-5.2256997772674233E-7</c:v>
                </c:pt>
                <c:pt idx="1162">
                  <c:v>-5.0670794821213684E-7</c:v>
                </c:pt>
                <c:pt idx="1163">
                  <c:v>-4.9109654734869606E-7</c:v>
                </c:pt>
                <c:pt idx="1164">
                  <c:v>-4.7574234187999218E-7</c:v>
                </c:pt>
                <c:pt idx="1165">
                  <c:v>-4.6065193947502955E-7</c:v>
                </c:pt>
                <c:pt idx="1166">
                  <c:v>-4.4583198872826307E-7</c:v>
                </c:pt>
                <c:pt idx="1167">
                  <c:v>-4.3128917915954218E-7</c:v>
                </c:pt>
                <c:pt idx="1168">
                  <c:v>-4.1703024121415947E-7</c:v>
                </c:pt>
                <c:pt idx="1169">
                  <c:v>-4.030619462628154E-7</c:v>
                </c:pt>
                <c:pt idx="1170">
                  <c:v>-3.893911066016572E-7</c:v>
                </c:pt>
                <c:pt idx="1171">
                  <c:v>-3.7602457545223049E-7</c:v>
                </c:pt>
                <c:pt idx="1172">
                  <c:v>-3.6296924696155137E-7</c:v>
                </c:pt>
                <c:pt idx="1173">
                  <c:v>-3.5023205620200727E-7</c:v>
                </c:pt>
                <c:pt idx="1174">
                  <c:v>-3.3781997917144695E-7</c:v>
                </c:pt>
                <c:pt idx="1175">
                  <c:v>-3.2574003279313631E-7</c:v>
                </c:pt>
                <c:pt idx="1176">
                  <c:v>-3.139992749157685E-7</c:v>
                </c:pt>
                <c:pt idx="1177">
                  <c:v>-3.0260480431344235E-7</c:v>
                </c:pt>
                <c:pt idx="1178">
                  <c:v>-2.9156376068569798E-7</c:v>
                </c:pt>
                <c:pt idx="1179">
                  <c:v>-2.8088332465751684E-7</c:v>
                </c:pt>
                <c:pt idx="1180">
                  <c:v>-2.7057071777928903E-7</c:v>
                </c:pt>
                <c:pt idx="1181">
                  <c:v>-2.6063320252681907E-7</c:v>
                </c:pt>
                <c:pt idx="1182">
                  <c:v>-2.5107808230134354E-7</c:v>
                </c:pt>
                <c:pt idx="1183">
                  <c:v>-2.4191270142954553E-7</c:v>
                </c:pt>
                <c:pt idx="1184">
                  <c:v>-2.3314444516350808E-7</c:v>
                </c:pt>
                <c:pt idx="1185">
                  <c:v>-2.2478073968073734E-7</c:v>
                </c:pt>
                <c:pt idx="1186">
                  <c:v>-2.1682905208419488E-7</c:v>
                </c:pt>
                <c:pt idx="1187">
                  <c:v>-2.0929689040226007E-7</c:v>
                </c:pt>
                <c:pt idx="1188">
                  <c:v>-2.0219180358869236E-7</c:v>
                </c:pt>
                <c:pt idx="1189">
                  <c:v>-1.9552138152272235E-7</c:v>
                </c:pt>
                <c:pt idx="1190">
                  <c:v>-1.8929325500899896E-7</c:v>
                </c:pt>
                <c:pt idx="1191">
                  <c:v>-1.83515095777595E-7</c:v>
                </c:pt>
                <c:pt idx="1192">
                  <c:v>-1.7819461648401064E-7</c:v>
                </c:pt>
                <c:pt idx="1193">
                  <c:v>-1.7333957070913375E-7</c:v>
                </c:pt>
                <c:pt idx="1194">
                  <c:v>-1.6895775295935203E-7</c:v>
                </c:pt>
                <c:pt idx="1195">
                  <c:v>-1.6505699866641462E-7</c:v>
                </c:pt>
                <c:pt idx="1196">
                  <c:v>-1.6164518418750853E-7</c:v>
                </c:pt>
                <c:pt idx="1197">
                  <c:v>-1.5873022680527996E-7</c:v>
                </c:pt>
                <c:pt idx="1198">
                  <c:v>-1.5632008472776576E-7</c:v>
                </c:pt>
                <c:pt idx="1199">
                  <c:v>-1.5442275708841621E-7</c:v>
                </c:pt>
                <c:pt idx="1200">
                  <c:v>-1.5304628394616233E-7</c:v>
                </c:pt>
                <c:pt idx="1201">
                  <c:v>-1.5219874628531855E-7</c:v>
                </c:pt>
                <c:pt idx="1202">
                  <c:v>-1.5188826601562392E-7</c:v>
                </c:pt>
                <c:pt idx="1203">
                  <c:v>-1.5188826601561812E-7</c:v>
                </c:pt>
                <c:pt idx="1204">
                  <c:v>-1.5213649967313308E-7</c:v>
                </c:pt>
                <c:pt idx="1205">
                  <c:v>-1.5295406818240112E-7</c:v>
                </c:pt>
                <c:pt idx="1206">
                  <c:v>-1.5433260142403355E-7</c:v>
                </c:pt>
                <c:pt idx="1207">
                  <c:v>-1.5626377020406695E-7</c:v>
                </c:pt>
                <c:pt idx="1208">
                  <c:v>-1.5873928625396325E-7</c:v>
                </c:pt>
                <c:pt idx="1209">
                  <c:v>-1.6175090223060985E-7</c:v>
                </c:pt>
                <c:pt idx="1210">
                  <c:v>-1.6529041171631938E-7</c:v>
                </c:pt>
                <c:pt idx="1211">
                  <c:v>-1.6934964921882992E-7</c:v>
                </c:pt>
                <c:pt idx="1212">
                  <c:v>-1.7392049017130489E-7</c:v>
                </c:pt>
                <c:pt idx="1213">
                  <c:v>-1.7899485093233304E-7</c:v>
                </c:pt>
                <c:pt idx="1214">
                  <c:v>-1.8456468878592854E-7</c:v>
                </c:pt>
                <c:pt idx="1215">
                  <c:v>-1.9062200194153091E-7</c:v>
                </c:pt>
                <c:pt idx="1216">
                  <c:v>-1.9715882953400497E-7</c:v>
                </c:pt>
                <c:pt idx="1217">
                  <c:v>-2.0416725162364097E-7</c:v>
                </c:pt>
                <c:pt idx="1218">
                  <c:v>-2.1163938919615453E-7</c:v>
                </c:pt>
                <c:pt idx="1219">
                  <c:v>-2.1956740416268655E-7</c:v>
                </c:pt>
                <c:pt idx="1220">
                  <c:v>-2.279434993598034E-7</c:v>
                </c:pt>
                <c:pt idx="1221">
                  <c:v>-2.3675991854949672E-7</c:v>
                </c:pt>
                <c:pt idx="1222">
                  <c:v>-2.4600894641918353E-7</c:v>
                </c:pt>
                <c:pt idx="1223">
                  <c:v>-2.5568290858170632E-7</c:v>
                </c:pt>
                <c:pt idx="1224">
                  <c:v>-2.6577417157533275E-7</c:v>
                </c:pt>
                <c:pt idx="1225">
                  <c:v>-2.7627514286375607E-7</c:v>
                </c:pt>
                <c:pt idx="1226">
                  <c:v>-2.8717827083609466E-7</c:v>
                </c:pt>
                <c:pt idx="1227">
                  <c:v>-2.9847604480689243E-7</c:v>
                </c:pt>
                <c:pt idx="1228">
                  <c:v>-3.1016099501611854E-7</c:v>
                </c:pt>
                <c:pt idx="1229">
                  <c:v>-3.2222569262916769E-7</c:v>
                </c:pt>
                <c:pt idx="1230">
                  <c:v>-3.3466274973685972E-7</c:v>
                </c:pt>
                <c:pt idx="1231">
                  <c:v>-3.4746481935543993E-7</c:v>
                </c:pt>
                <c:pt idx="1232">
                  <c:v>-3.6062459542657898E-7</c:v>
                </c:pt>
                <c:pt idx="1233">
                  <c:v>-3.7413481281737299E-7</c:v>
                </c:pt>
                <c:pt idx="1234">
                  <c:v>-3.8798824732034327E-7</c:v>
                </c:pt>
                <c:pt idx="1235">
                  <c:v>-4.0217771565343667E-7</c:v>
                </c:pt>
                <c:pt idx="1236">
                  <c:v>-4.166960754600252E-7</c:v>
                </c:pt>
                <c:pt idx="1237">
                  <c:v>-4.3153622530890638E-7</c:v>
                </c:pt>
                <c:pt idx="1238">
                  <c:v>-4.4669110469430308E-7</c:v>
                </c:pt>
                <c:pt idx="1239">
                  <c:v>-4.6215369403586332E-7</c:v>
                </c:pt>
                <c:pt idx="1240">
                  <c:v>-4.779170146786609E-7</c:v>
                </c:pt>
                <c:pt idx="1241">
                  <c:v>-4.9397412889319477E-7</c:v>
                </c:pt>
                <c:pt idx="1242">
                  <c:v>-5.1031813987538892E-7</c:v>
                </c:pt>
                <c:pt idx="1243">
                  <c:v>-5.269421917465932E-7</c:v>
                </c:pt>
                <c:pt idx="1244">
                  <c:v>-5.4383946955358263E-7</c:v>
                </c:pt>
                <c:pt idx="1245">
                  <c:v>-5.6100319926855748E-7</c:v>
                </c:pt>
                <c:pt idx="1246">
                  <c:v>-5.7842664778914379E-7</c:v>
                </c:pt>
                <c:pt idx="1247">
                  <c:v>-5.9610312293839243E-7</c:v>
                </c:pt>
                <c:pt idx="1248">
                  <c:v>-6.1402597346477985E-7</c:v>
                </c:pt>
                <c:pt idx="1249">
                  <c:v>-6.3218858904220783E-7</c:v>
                </c:pt>
                <c:pt idx="1250">
                  <c:v>-6.5058440027000384E-7</c:v>
                </c:pt>
                <c:pt idx="1251">
                  <c:v>-6.6920687867292008E-7</c:v>
                </c:pt>
                <c:pt idx="1252">
                  <c:v>-6.8804953670113494E-7</c:v>
                </c:pt>
                <c:pt idx="1253">
                  <c:v>-7.0710592773025112E-7</c:v>
                </c:pt>
                <c:pt idx="1254">
                  <c:v>-7.2636964606129771E-7</c:v>
                </c:pt>
                <c:pt idx="1255">
                  <c:v>-7.4583432692072844E-7</c:v>
                </c:pt>
                <c:pt idx="1256">
                  <c:v>-7.6549364646042281E-7</c:v>
                </c:pt>
                <c:pt idx="1257">
                  <c:v>-7.8534132175768557E-7</c:v>
                </c:pt>
                <c:pt idx="1258">
                  <c:v>-8.0537111081524663E-7</c:v>
                </c:pt>
                <c:pt idx="1259">
                  <c:v>-8.2557681256126175E-7</c:v>
                </c:pt>
                <c:pt idx="1260">
                  <c:v>-8.4595226684931146E-7</c:v>
                </c:pt>
                <c:pt idx="1261">
                  <c:v>-8.6649135445840212E-7</c:v>
                </c:pt>
                <c:pt idx="1262">
                  <c:v>-8.8718799709296518E-7</c:v>
                </c:pt>
                <c:pt idx="1263">
                  <c:v>-9.0803615738285763E-7</c:v>
                </c:pt>
                <c:pt idx="1264">
                  <c:v>-9.290298388833615E-7</c:v>
                </c:pt>
                <c:pt idx="1265">
                  <c:v>-9.5016308607518471E-7</c:v>
                </c:pt>
                <c:pt idx="1266">
                  <c:v>-9.7142998436446034E-7</c:v>
                </c:pt>
                <c:pt idx="1267">
                  <c:v>-9.9282466008274637E-7</c:v>
                </c:pt>
                <c:pt idx="1268">
                  <c:v>-1.0143412804870266E-6</c:v>
                </c:pt>
                <c:pt idx="1269">
                  <c:v>-1.0359740537597103E-6</c:v>
                </c:pt>
                <c:pt idx="1270">
                  <c:v>-1.0577172290086317E-6</c:v>
                </c:pt>
                <c:pt idx="1271">
                  <c:v>-1.0795650962670507E-6</c:v>
                </c:pt>
                <c:pt idx="1272">
                  <c:v>-1.1015119864936527E-6</c:v>
                </c:pt>
                <c:pt idx="1273">
                  <c:v>-1.1235522715725478E-6</c:v>
                </c:pt>
                <c:pt idx="1274">
                  <c:v>-1.1456803643132722E-6</c:v>
                </c:pt>
                <c:pt idx="1275">
                  <c:v>-1.167890718450787E-6</c:v>
                </c:pt>
                <c:pt idx="1276">
                  <c:v>-1.190177828645479E-6</c:v>
                </c:pt>
                <c:pt idx="1277">
                  <c:v>-1.2125362304831598E-6</c:v>
                </c:pt>
                <c:pt idx="1278">
                  <c:v>-1.2349605004750674E-6</c:v>
                </c:pt>
                <c:pt idx="1279">
                  <c:v>-1.2574452560578636E-6</c:v>
                </c:pt>
                <c:pt idx="1280">
                  <c:v>-1.279985155593637E-6</c:v>
                </c:pt>
                <c:pt idx="1281">
                  <c:v>-1.3025748983699012E-6</c:v>
                </c:pt>
                <c:pt idx="1282">
                  <c:v>-1.3252092245995952E-6</c:v>
                </c:pt>
                <c:pt idx="1283">
                  <c:v>-1.3478829154210819E-6</c:v>
                </c:pt>
                <c:pt idx="1284">
                  <c:v>-1.3705907928981517E-6</c:v>
                </c:pt>
                <c:pt idx="1285">
                  <c:v>-1.3933277200200201E-6</c:v>
                </c:pt>
                <c:pt idx="1286">
                  <c:v>-1.4160886007013262E-6</c:v>
                </c:pt>
                <c:pt idx="1287">
                  <c:v>-1.4388683797821361E-6</c:v>
                </c:pt>
                <c:pt idx="1288">
                  <c:v>-1.4616620430279408E-6</c:v>
                </c:pt>
                <c:pt idx="1289">
                  <c:v>-1.4844646171296568E-6</c:v>
                </c:pt>
                <c:pt idx="1290">
                  <c:v>-1.5072711697036253E-6</c:v>
                </c:pt>
                <c:pt idx="1291">
                  <c:v>-1.5300768092916136E-6</c:v>
                </c:pt>
                <c:pt idx="1292">
                  <c:v>-1.5528766853608144E-6</c:v>
                </c:pt>
                <c:pt idx="1293">
                  <c:v>-1.575665988303845E-6</c:v>
                </c:pt>
                <c:pt idx="1294">
                  <c:v>-1.5984399494387489E-6</c:v>
                </c:pt>
                <c:pt idx="1295">
                  <c:v>-1.6211938410089943E-6</c:v>
                </c:pt>
                <c:pt idx="1296">
                  <c:v>-1.6439229761834756E-6</c:v>
                </c:pt>
                <c:pt idx="1297">
                  <c:v>-1.6666227090565112E-6</c:v>
                </c:pt>
                <c:pt idx="1298">
                  <c:v>-1.689288434647846E-6</c:v>
                </c:pt>
                <c:pt idx="1299">
                  <c:v>-1.7119155889026505E-6</c:v>
                </c:pt>
                <c:pt idx="1300">
                  <c:v>-1.7344996486915195E-6</c:v>
                </c:pt>
                <c:pt idx="1301">
                  <c:v>-1.7570361318104741E-6</c:v>
                </c:pt>
                <c:pt idx="1302">
                  <c:v>-1.7795205969809591E-6</c:v>
                </c:pt>
                <c:pt idx="1303">
                  <c:v>-1.8019486438498474E-6</c:v>
                </c:pt>
                <c:pt idx="1304">
                  <c:v>-1.8243159129894352E-6</c:v>
                </c:pt>
                <c:pt idx="1305">
                  <c:v>-1.8466180858974446E-6</c:v>
                </c:pt>
                <c:pt idx="1306">
                  <c:v>-1.8688508849970236E-6</c:v>
                </c:pt>
                <c:pt idx="1307">
                  <c:v>-1.8910100736367443E-6</c:v>
                </c:pt>
                <c:pt idx="1308">
                  <c:v>-1.913091456090604E-6</c:v>
                </c:pt>
                <c:pt idx="1309">
                  <c:v>-1.9350908775580289E-6</c:v>
                </c:pt>
                <c:pt idx="1310">
                  <c:v>-1.9570042241638667E-6</c:v>
                </c:pt>
                <c:pt idx="1311">
                  <c:v>-1.9788274229583904E-6</c:v>
                </c:pt>
                <c:pt idx="1312">
                  <c:v>-2.0005564419173018E-6</c:v>
                </c:pt>
                <c:pt idx="1313">
                  <c:v>-2.0221872899417243E-6</c:v>
                </c:pt>
                <c:pt idx="1314">
                  <c:v>-2.0437160168582092E-6</c:v>
                </c:pt>
                <c:pt idx="1315">
                  <c:v>-2.0651387134187321E-6</c:v>
                </c:pt>
                <c:pt idx="1316">
                  <c:v>-2.0864515113006935E-6</c:v>
                </c:pt>
                <c:pt idx="1317">
                  <c:v>-2.1076505831069207E-6</c:v>
                </c:pt>
                <c:pt idx="1318">
                  <c:v>-2.1287321423656649E-6</c:v>
                </c:pt>
                <c:pt idx="1319">
                  <c:v>-2.1496924435306036E-6</c:v>
                </c:pt>
                <c:pt idx="1320">
                  <c:v>-2.1705277819808393E-6</c:v>
                </c:pt>
                <c:pt idx="1321">
                  <c:v>-2.1912344940209004E-6</c:v>
                </c:pt>
                <c:pt idx="1322">
                  <c:v>-2.2118089568807407E-6</c:v>
                </c:pt>
                <c:pt idx="1323">
                  <c:v>-2.2322475887157363E-6</c:v>
                </c:pt>
                <c:pt idx="1324">
                  <c:v>-2.252546848606693E-6</c:v>
                </c:pt>
                <c:pt idx="1325">
                  <c:v>-2.2727032365598407E-6</c:v>
                </c:pt>
                <c:pt idx="1326">
                  <c:v>-2.2927132935068331E-6</c:v>
                </c:pt>
                <c:pt idx="1327">
                  <c:v>-2.312573601304751E-6</c:v>
                </c:pt>
                <c:pt idx="1328">
                  <c:v>-2.3322807827360992E-6</c:v>
                </c:pt>
                <c:pt idx="1329">
                  <c:v>-2.3518315015088088E-6</c:v>
                </c:pt>
                <c:pt idx="1330">
                  <c:v>-2.3712224622562362E-6</c:v>
                </c:pt>
                <c:pt idx="1331">
                  <c:v>-2.3904504105371626E-6</c:v>
                </c:pt>
                <c:pt idx="1332">
                  <c:v>-2.4095121328357953E-6</c:v>
                </c:pt>
                <c:pt idx="1333">
                  <c:v>-2.4284044565617666E-6</c:v>
                </c:pt>
                <c:pt idx="1334">
                  <c:v>-2.4471242500501341E-6</c:v>
                </c:pt>
                <c:pt idx="1335">
                  <c:v>-2.4656684225613808E-6</c:v>
                </c:pt>
                <c:pt idx="1336">
                  <c:v>-2.4840339242814145E-6</c:v>
                </c:pt>
                <c:pt idx="1337">
                  <c:v>-2.5022177463215699E-6</c:v>
                </c:pt>
                <c:pt idx="1338">
                  <c:v>-2.520216920718605E-6</c:v>
                </c:pt>
                <c:pt idx="1339">
                  <c:v>-2.5380285204347051E-6</c:v>
                </c:pt>
                <c:pt idx="1340">
                  <c:v>-2.5556496593574801E-6</c:v>
                </c:pt>
                <c:pt idx="1341">
                  <c:v>-2.5730774922999641E-6</c:v>
                </c:pt>
                <c:pt idx="1342">
                  <c:v>-2.5903092150006184E-6</c:v>
                </c:pt>
                <c:pt idx="1343">
                  <c:v>-2.6073420641233294E-6</c:v>
                </c:pt>
                <c:pt idx="1344">
                  <c:v>-2.6241733172574068E-6</c:v>
                </c:pt>
                <c:pt idx="1345">
                  <c:v>-2.6408002929175891E-6</c:v>
                </c:pt>
                <c:pt idx="1346">
                  <c:v>-2.6572203505440375E-6</c:v>
                </c:pt>
                <c:pt idx="1347">
                  <c:v>-2.6734308905023385E-6</c:v>
                </c:pt>
                <c:pt idx="1348">
                  <c:v>-2.689429354083506E-6</c:v>
                </c:pt>
                <c:pt idx="1349">
                  <c:v>-2.7052132235039767E-6</c:v>
                </c:pt>
                <c:pt idx="1350">
                  <c:v>-2.7207800219056164E-6</c:v>
                </c:pt>
                <c:pt idx="1351">
                  <c:v>-2.7361273133557126E-6</c:v>
                </c:pt>
                <c:pt idx="1352">
                  <c:v>-2.75125270284698E-6</c:v>
                </c:pt>
                <c:pt idx="1353">
                  <c:v>-2.766153836297556E-6</c:v>
                </c:pt>
                <c:pt idx="1354">
                  <c:v>-2.7808284005510074E-6</c:v>
                </c:pt>
                <c:pt idx="1355">
                  <c:v>-2.7952741233763249E-6</c:v>
                </c:pt>
                <c:pt idx="1356">
                  <c:v>-2.8094887734679224E-6</c:v>
                </c:pt>
                <c:pt idx="1357">
                  <c:v>-2.8234701604456413E-6</c:v>
                </c:pt>
                <c:pt idx="1358">
                  <c:v>-2.8372161348547486E-6</c:v>
                </c:pt>
                <c:pt idx="1359">
                  <c:v>-2.8507245881659362E-6</c:v>
                </c:pt>
                <c:pt idx="1360">
                  <c:v>-2.8639934527753214E-6</c:v>
                </c:pt>
                <c:pt idx="1361">
                  <c:v>-2.8770207020044457E-6</c:v>
                </c:pt>
                <c:pt idx="1362">
                  <c:v>-2.889804350100277E-6</c:v>
                </c:pt>
                <c:pt idx="1363">
                  <c:v>-2.9023424522352083E-6</c:v>
                </c:pt>
                <c:pt idx="1364">
                  <c:v>-2.9146331045070583E-6</c:v>
                </c:pt>
                <c:pt idx="1365">
                  <c:v>-2.9266744439390711E-6</c:v>
                </c:pt>
                <c:pt idx="1366">
                  <c:v>-2.938464648479917E-6</c:v>
                </c:pt>
                <c:pt idx="1367">
                  <c:v>-2.9500019370036883E-6</c:v>
                </c:pt>
                <c:pt idx="1368">
                  <c:v>-2.9612845693099071E-6</c:v>
                </c:pt>
                <c:pt idx="1369">
                  <c:v>-2.9723108461235174E-6</c:v>
                </c:pt>
                <c:pt idx="1370">
                  <c:v>-2.9830791090948912E-6</c:v>
                </c:pt>
                <c:pt idx="1371">
                  <c:v>-2.9935877407998219E-6</c:v>
                </c:pt>
                <c:pt idx="1372">
                  <c:v>-3.0038351647395326E-6</c:v>
                </c:pt>
                <c:pt idx="1373">
                  <c:v>-3.0138198453406721E-6</c:v>
                </c:pt>
                <c:pt idx="1374">
                  <c:v>-3.0235402879553084E-6</c:v>
                </c:pt>
                <c:pt idx="1375">
                  <c:v>-3.0329950388609425E-6</c:v>
                </c:pt>
                <c:pt idx="1376">
                  <c:v>-3.0421826852604961E-6</c:v>
                </c:pt>
                <c:pt idx="1377">
                  <c:v>-3.051101855282316E-6</c:v>
                </c:pt>
                <c:pt idx="1378">
                  <c:v>-3.0597512179801796E-6</c:v>
                </c:pt>
                <c:pt idx="1379">
                  <c:v>-3.068129483333281E-6</c:v>
                </c:pt>
                <c:pt idx="1380">
                  <c:v>-3.0762354022462466E-6</c:v>
                </c:pt>
                <c:pt idx="1381">
                  <c:v>-3.0840677665491281E-6</c:v>
                </c:pt>
                <c:pt idx="1382">
                  <c:v>-3.0916254089973978E-6</c:v>
                </c:pt>
                <c:pt idx="1383">
                  <c:v>-3.0989072032719569E-6</c:v>
                </c:pt>
                <c:pt idx="1384">
                  <c:v>-3.1059120639791328E-6</c:v>
                </c:pt>
                <c:pt idx="1385">
                  <c:v>-3.1126389466506739E-6</c:v>
                </c:pt>
                <c:pt idx="1386">
                  <c:v>-3.1190868477437561E-6</c:v>
                </c:pt>
                <c:pt idx="1387">
                  <c:v>-3.1252548046409832E-6</c:v>
                </c:pt>
                <c:pt idx="1388">
                  <c:v>-3.1311418956503849E-6</c:v>
                </c:pt>
                <c:pt idx="1389">
                  <c:v>-3.1367472400054107E-6</c:v>
                </c:pt>
                <c:pt idx="1390">
                  <c:v>-3.1420699978649382E-6</c:v>
                </c:pt>
                <c:pt idx="1391">
                  <c:v>-3.1471093703132728E-6</c:v>
                </c:pt>
                <c:pt idx="1392">
                  <c:v>-3.1518645993601405E-6</c:v>
                </c:pt>
                <c:pt idx="1393">
                  <c:v>-3.1563349679406971E-6</c:v>
                </c:pt>
                <c:pt idx="1394">
                  <c:v>-3.1605197999155206E-6</c:v>
                </c:pt>
                <c:pt idx="1395">
                  <c:v>-3.1644184600706178E-6</c:v>
                </c:pt>
                <c:pt idx="1396">
                  <c:v>-3.1680303541174189E-6</c:v>
                </c:pt>
                <c:pt idx="1397">
                  <c:v>-3.1713549286927775E-6</c:v>
                </c:pt>
                <c:pt idx="1398">
                  <c:v>-3.1743916713589743E-6</c:v>
                </c:pt>
                <c:pt idx="1399">
                  <c:v>-3.177140110603716E-6</c:v>
                </c:pt>
                <c:pt idx="1400">
                  <c:v>-3.179599815840135E-6</c:v>
                </c:pt>
                <c:pt idx="1401">
                  <c:v>-3.18177039740679E-6</c:v>
                </c:pt>
                <c:pt idx="1402">
                  <c:v>-3.1836515065676584E-6</c:v>
                </c:pt>
                <c:pt idx="1403">
                  <c:v>-3.1852428355121518E-6</c:v>
                </c:pt>
                <c:pt idx="1404">
                  <c:v>-3.1865441173551018E-6</c:v>
                </c:pt>
                <c:pt idx="1405">
                  <c:v>-3.1875551261367664E-6</c:v>
                </c:pt>
                <c:pt idx="1406">
                  <c:v>-3.1882756768228314E-6</c:v>
                </c:pt>
                <c:pt idx="1407">
                  <c:v>-3.1887056253044042E-6</c:v>
                </c:pt>
                <c:pt idx="1408">
                  <c:v>-3.188844868398017E-6</c:v>
                </c:pt>
                <c:pt idx="1409">
                  <c:v>-3.1886933438456321E-6</c:v>
                </c:pt>
                <c:pt idx="1410">
                  <c:v>-3.1882510303146385E-6</c:v>
                </c:pt>
                <c:pt idx="1411">
                  <c:v>-3.1875179473978407E-6</c:v>
                </c:pt>
                <c:pt idx="1412">
                  <c:v>-3.1864941556134767E-6</c:v>
                </c:pt>
                <c:pt idx="1413">
                  <c:v>-3.1851797564052081E-6</c:v>
                </c:pt>
                <c:pt idx="1414">
                  <c:v>-3.1835748921421218E-6</c:v>
                </c:pt>
                <c:pt idx="1415">
                  <c:v>-3.1816797461187282E-6</c:v>
                </c:pt>
                <c:pt idx="1416">
                  <c:v>-3.1794945425549672E-6</c:v>
                </c:pt>
                <c:pt idx="1417">
                  <c:v>-3.1770195465962013E-6</c:v>
                </c:pt>
                <c:pt idx="1418">
                  <c:v>-3.1742550643132157E-6</c:v>
                </c:pt>
                <c:pt idx="1419">
                  <c:v>-3.1712014427022265E-6</c:v>
                </c:pt>
                <c:pt idx="1420">
                  <c:v>-3.1678590696848683E-6</c:v>
                </c:pt>
                <c:pt idx="1421">
                  <c:v>-3.1642283741082114E-6</c:v>
                </c:pt>
                <c:pt idx="1422">
                  <c:v>-3.1603098257447436E-6</c:v>
                </c:pt>
                <c:pt idx="1423">
                  <c:v>-3.1561039352923769E-6</c:v>
                </c:pt>
                <c:pt idx="1424">
                  <c:v>-3.1516112543744533E-6</c:v>
                </c:pt>
                <c:pt idx="1425">
                  <c:v>-3.1468323755397378E-6</c:v>
                </c:pt>
                <c:pt idx="1426">
                  <c:v>-3.1417679322624242E-6</c:v>
                </c:pt>
                <c:pt idx="1427">
                  <c:v>-3.1364185989421264E-6</c:v>
                </c:pt>
                <c:pt idx="1428">
                  <c:v>-3.1307850909038842E-6</c:v>
                </c:pt>
                <c:pt idx="1429">
                  <c:v>-3.1248681643981725E-6</c:v>
                </c:pt>
                <c:pt idx="1430">
                  <c:v>-3.1186686166008724E-6</c:v>
                </c:pt>
                <c:pt idx="1431">
                  <c:v>-3.1121872856133103E-6</c:v>
                </c:pt>
                <c:pt idx="1432">
                  <c:v>-3.1054250504622297E-6</c:v>
                </c:pt>
                <c:pt idx="1433">
                  <c:v>-3.0983828310997897E-6</c:v>
                </c:pt>
                <c:pt idx="1434">
                  <c:v>-3.0910615884035959E-6</c:v>
                </c:pt>
                <c:pt idx="1435">
                  <c:v>-3.0834623241766571E-6</c:v>
                </c:pt>
                <c:pt idx="1436">
                  <c:v>-3.0755860811474253E-6</c:v>
                </c:pt>
                <c:pt idx="1437">
                  <c:v>-3.0674339429697682E-6</c:v>
                </c:pt>
                <c:pt idx="1438">
                  <c:v>-3.0590070342229807E-6</c:v>
                </c:pt>
                <c:pt idx="1439">
                  <c:v>-3.0503065204117878E-6</c:v>
                </c:pt>
                <c:pt idx="1440">
                  <c:v>-3.0413336079663249E-6</c:v>
                </c:pt>
                <c:pt idx="1441">
                  <c:v>-3.0320895442421764E-6</c:v>
                </c:pt>
                <c:pt idx="1442">
                  <c:v>-3.0225756175203269E-6</c:v>
                </c:pt>
                <c:pt idx="1443">
                  <c:v>-3.012793157007211E-6</c:v>
                </c:pt>
                <c:pt idx="1444">
                  <c:v>-3.0027435328346646E-6</c:v>
                </c:pt>
                <c:pt idx="1445">
                  <c:v>-2.9924281560599699E-6</c:v>
                </c:pt>
                <c:pt idx="1446">
                  <c:v>-2.9818484786658177E-6</c:v>
                </c:pt>
                <c:pt idx="1447">
                  <c:v>-2.9710059935603348E-6</c:v>
                </c:pt>
                <c:pt idx="1448">
                  <c:v>-2.9599022345770743E-6</c:v>
                </c:pt>
                <c:pt idx="1449">
                  <c:v>-2.9485387764750015E-6</c:v>
                </c:pt>
                <c:pt idx="1450">
                  <c:v>-2.9369172349385225E-6</c:v>
                </c:pt>
                <c:pt idx="1451">
                  <c:v>-2.9250392665774625E-6</c:v>
                </c:pt>
                <c:pt idx="1452">
                  <c:v>-2.9129065689270706E-6</c:v>
                </c:pt>
                <c:pt idx="1453">
                  <c:v>-2.9005208804480219E-6</c:v>
                </c:pt>
                <c:pt idx="1454">
                  <c:v>-2.8878839805264168E-6</c:v>
                </c:pt>
                <c:pt idx="1455">
                  <c:v>-2.8749976894737841E-6</c:v>
                </c:pt>
                <c:pt idx="1456">
                  <c:v>-2.8618638685270784E-6</c:v>
                </c:pt>
                <c:pt idx="1457">
                  <c:v>-2.8484844198486633E-6</c:v>
                </c:pt>
                <c:pt idx="1458">
                  <c:v>-2.8348612865263561E-6</c:v>
                </c:pt>
                <c:pt idx="1459">
                  <c:v>-2.8209964525733816E-6</c:v>
                </c:pt>
                <c:pt idx="1460">
                  <c:v>-2.8068919429283896E-6</c:v>
                </c:pt>
                <c:pt idx="1461">
                  <c:v>-2.7925498234554661E-6</c:v>
                </c:pt>
                <c:pt idx="1462">
                  <c:v>-2.7779722009441036E-6</c:v>
                </c:pt>
                <c:pt idx="1463">
                  <c:v>-2.7631612231092394E-6</c:v>
                </c:pt>
                <c:pt idx="1464">
                  <c:v>-2.7481190785912243E-6</c:v>
                </c:pt>
                <c:pt idx="1465">
                  <c:v>-2.7328479969558432E-6</c:v>
                </c:pt>
                <c:pt idx="1466">
                  <c:v>-2.7173502486942955E-6</c:v>
                </c:pt>
                <c:pt idx="1467">
                  <c:v>-2.7016281452232161E-6</c:v>
                </c:pt>
                <c:pt idx="1468">
                  <c:v>-2.6856840388846606E-6</c:v>
                </c:pt>
                <c:pt idx="1469">
                  <c:v>-2.6695203229461085E-6</c:v>
                </c:pt>
                <c:pt idx="1470">
                  <c:v>-2.6531394316004765E-6</c:v>
                </c:pt>
                <c:pt idx="1471">
                  <c:v>-2.6365438399660817E-6</c:v>
                </c:pt>
                <c:pt idx="1472">
                  <c:v>-2.6197360640866934E-6</c:v>
                </c:pt>
                <c:pt idx="1473">
                  <c:v>-2.6027186609314902E-6</c:v>
                </c:pt>
                <c:pt idx="1474">
                  <c:v>-2.5854942283950793E-6</c:v>
                </c:pt>
                <c:pt idx="1475">
                  <c:v>-2.568065405297493E-6</c:v>
                </c:pt>
                <c:pt idx="1476">
                  <c:v>-2.5504348713841986E-6</c:v>
                </c:pt>
                <c:pt idx="1477">
                  <c:v>-2.5326053473260748E-6</c:v>
                </c:pt>
                <c:pt idx="1478">
                  <c:v>-2.5145795947194269E-6</c:v>
                </c:pt>
                <c:pt idx="1479">
                  <c:v>-2.4963604160859962E-6</c:v>
                </c:pt>
                <c:pt idx="1480">
                  <c:v>-2.4779506548729506E-6</c:v>
                </c:pt>
                <c:pt idx="1481">
                  <c:v>-2.4593531954528609E-6</c:v>
                </c:pt>
                <c:pt idx="1482">
                  <c:v>-2.4405709631237441E-6</c:v>
                </c:pt>
                <c:pt idx="1483">
                  <c:v>-2.4216069241090368E-6</c:v>
                </c:pt>
                <c:pt idx="1484">
                  <c:v>-2.4024640855576064E-6</c:v>
                </c:pt>
                <c:pt idx="1485">
                  <c:v>-2.3831454955437321E-6</c:v>
                </c:pt>
                <c:pt idx="1486">
                  <c:v>-2.3636542430671342E-6</c:v>
                </c:pt>
                <c:pt idx="1487">
                  <c:v>-2.3439934580529418E-6</c:v>
                </c:pt>
                <c:pt idx="1488">
                  <c:v>-2.3241663113517355E-6</c:v>
                </c:pt>
                <c:pt idx="1489">
                  <c:v>-2.3041760147394821E-6</c:v>
                </c:pt>
                <c:pt idx="1490">
                  <c:v>-2.2840258209176062E-6</c:v>
                </c:pt>
                <c:pt idx="1491">
                  <c:v>-2.2637190235129497E-6</c:v>
                </c:pt>
                <c:pt idx="1492">
                  <c:v>-2.2432589570777757E-6</c:v>
                </c:pt>
                <c:pt idx="1493">
                  <c:v>-2.2226489970897693E-6</c:v>
                </c:pt>
                <c:pt idx="1494">
                  <c:v>-2.201892559952056E-6</c:v>
                </c:pt>
                <c:pt idx="1495">
                  <c:v>-2.1809931029931725E-6</c:v>
                </c:pt>
                <c:pt idx="1496">
                  <c:v>-2.1599541244670786E-6</c:v>
                </c:pt>
                <c:pt idx="1497">
                  <c:v>-2.1387791635531753E-6</c:v>
                </c:pt>
                <c:pt idx="1498">
                  <c:v>-2.1174718003562759E-6</c:v>
                </c:pt>
                <c:pt idx="1499">
                  <c:v>-2.0960356559066194E-6</c:v>
                </c:pt>
                <c:pt idx="1500">
                  <c:v>-2.074474392159875E-6</c:v>
                </c:pt>
                <c:pt idx="1501">
                  <c:v>-2.0527917119971494E-6</c:v>
                </c:pt>
                <c:pt idx="1502">
                  <c:v>-2.0309913592249413E-6</c:v>
                </c:pt>
                <c:pt idx="1503">
                  <c:v>-2.0090771185752012E-6</c:v>
                </c:pt>
                <c:pt idx="1504">
                  <c:v>-1.9870528157053062E-6</c:v>
                </c:pt>
                <c:pt idx="1505">
                  <c:v>-1.9649223171980354E-6</c:v>
                </c:pt>
                <c:pt idx="1506">
                  <c:v>-1.9426895305616269E-6</c:v>
                </c:pt>
                <c:pt idx="1507">
                  <c:v>-1.9203584042297193E-6</c:v>
                </c:pt>
                <c:pt idx="1508">
                  <c:v>-1.8979329275613759E-6</c:v>
                </c:pt>
                <c:pt idx="1509">
                  <c:v>-1.8754171308410944E-6</c:v>
                </c:pt>
                <c:pt idx="1510">
                  <c:v>-1.8528150852788105E-6</c:v>
                </c:pt>
                <c:pt idx="1511">
                  <c:v>-1.8301309030098536E-6</c:v>
                </c:pt>
                <c:pt idx="1512">
                  <c:v>-1.8073687370950039E-6</c:v>
                </c:pt>
                <c:pt idx="1513">
                  <c:v>-1.7845327815204584E-6</c:v>
                </c:pt>
                <c:pt idx="1514">
                  <c:v>-1.7616272711978437E-6</c:v>
                </c:pt>
                <c:pt idx="1515">
                  <c:v>-1.738656481964199E-6</c:v>
                </c:pt>
                <c:pt idx="1516">
                  <c:v>-1.7156247305819989E-6</c:v>
                </c:pt>
                <c:pt idx="1517">
                  <c:v>-1.6925363747391564E-6</c:v>
                </c:pt>
                <c:pt idx="1518">
                  <c:v>-1.6693958130489814E-6</c:v>
                </c:pt>
                <c:pt idx="1519">
                  <c:v>-1.6462074850502256E-6</c:v>
                </c:pt>
                <c:pt idx="1520">
                  <c:v>-1.6229758712070701E-6</c:v>
                </c:pt>
                <c:pt idx="1521">
                  <c:v>-1.5997054929091125E-6</c:v>
                </c:pt>
                <c:pt idx="1522">
                  <c:v>-1.5764009124713732E-6</c:v>
                </c:pt>
                <c:pt idx="1523">
                  <c:v>-1.5530667331343089E-6</c:v>
                </c:pt>
                <c:pt idx="1524">
                  <c:v>-1.5297075990637988E-6</c:v>
                </c:pt>
                <c:pt idx="1525">
                  <c:v>-1.506328195351136E-6</c:v>
                </c:pt>
                <c:pt idx="1526">
                  <c:v>-1.4829332480130565E-6</c:v>
                </c:pt>
                <c:pt idx="1527">
                  <c:v>-1.459527523991708E-6</c:v>
                </c:pt>
                <c:pt idx="1528">
                  <c:v>-1.436115831154664E-6</c:v>
                </c:pt>
                <c:pt idx="1529">
                  <c:v>-1.4127030182949419E-6</c:v>
                </c:pt>
                <c:pt idx="1530">
                  <c:v>-1.38929397513096E-6</c:v>
                </c:pt>
                <c:pt idx="1531">
                  <c:v>-1.3658936323065682E-6</c:v>
                </c:pt>
                <c:pt idx="1532">
                  <c:v>-1.3425069613910592E-6</c:v>
                </c:pt>
                <c:pt idx="1533">
                  <c:v>-1.3191389748791399E-6</c:v>
                </c:pt>
                <c:pt idx="1534">
                  <c:v>-1.2957947261909099E-6</c:v>
                </c:pt>
                <c:pt idx="1535">
                  <c:v>-1.2724793096719638E-6</c:v>
                </c:pt>
                <c:pt idx="1536">
                  <c:v>-1.2491978605932561E-6</c:v>
                </c:pt>
                <c:pt idx="1537">
                  <c:v>-1.2259555551512071E-6</c:v>
                </c:pt>
                <c:pt idx="1538">
                  <c:v>-1.2027576104676373E-6</c:v>
                </c:pt>
                <c:pt idx="1539">
                  <c:v>-1.1796092845898086E-6</c:v>
                </c:pt>
                <c:pt idx="1540">
                  <c:v>-1.1565158764904129E-6</c:v>
                </c:pt>
                <c:pt idx="1541">
                  <c:v>-1.1334827260675274E-6</c:v>
                </c:pt>
                <c:pt idx="1542">
                  <c:v>-1.1105152141447225E-6</c:v>
                </c:pt>
                <c:pt idx="1543">
                  <c:v>-1.0876187624709423E-6</c:v>
                </c:pt>
                <c:pt idx="1544">
                  <c:v>-1.0647988337205744E-6</c:v>
                </c:pt>
                <c:pt idx="1545">
                  <c:v>-1.0420609314934147E-6</c:v>
                </c:pt>
                <c:pt idx="1546">
                  <c:v>-1.0194106003147096E-6</c:v>
                </c:pt>
                <c:pt idx="1547">
                  <c:v>-9.9685342563510982E-7</c:v>
                </c:pt>
                <c:pt idx="1548">
                  <c:v>-9.7439503383069794E-7</c:v>
                </c:pt>
                <c:pt idx="1549">
                  <c:v>-9.5204109220299752E-7</c:v>
                </c:pt>
                <c:pt idx="1550">
                  <c:v>-9.2979730897894631E-7</c:v>
                </c:pt>
                <c:pt idx="1551">
                  <c:v>-9.0766943331090036E-7</c:v>
                </c:pt>
                <c:pt idx="1552">
                  <c:v>-8.8566325527662916E-7</c:v>
                </c:pt>
                <c:pt idx="1553">
                  <c:v>-8.6378460587937388E-7</c:v>
                </c:pt>
                <c:pt idx="1554">
                  <c:v>-8.4203935704776523E-7</c:v>
                </c:pt>
                <c:pt idx="1555">
                  <c:v>-8.2043342163584118E-7</c:v>
                </c:pt>
                <c:pt idx="1556">
                  <c:v>-7.9897275342312085E-7</c:v>
                </c:pt>
                <c:pt idx="1557">
                  <c:v>-7.7766334711450203E-7</c:v>
                </c:pt>
                <c:pt idx="1558">
                  <c:v>-7.5651123834031145E-7</c:v>
                </c:pt>
                <c:pt idx="1559">
                  <c:v>-7.3552250365633702E-7</c:v>
                </c:pt>
                <c:pt idx="1560">
                  <c:v>-7.1470326054376475E-7</c:v>
                </c:pt>
                <c:pt idx="1561">
                  <c:v>-6.9405966740921026E-7</c:v>
                </c:pt>
                <c:pt idx="1562">
                  <c:v>-6.7359792358469645E-7</c:v>
                </c:pt>
                <c:pt idx="1563">
                  <c:v>-6.5332426932769831E-7</c:v>
                </c:pt>
                <c:pt idx="1564">
                  <c:v>-6.3324498582111761E-7</c:v>
                </c:pt>
                <c:pt idx="1565">
                  <c:v>-6.1336639517325666E-7</c:v>
                </c:pt>
                <c:pt idx="1566">
                  <c:v>-5.9369486041785397E-7</c:v>
                </c:pt>
                <c:pt idx="1567">
                  <c:v>-5.7423678551409095E-7</c:v>
                </c:pt>
                <c:pt idx="1568">
                  <c:v>-5.5499861534655595E-7</c:v>
                </c:pt>
                <c:pt idx="1569">
                  <c:v>-5.3598683572527167E-7</c:v>
                </c:pt>
                <c:pt idx="1570">
                  <c:v>-5.1720797338566418E-7</c:v>
                </c:pt>
                <c:pt idx="1571">
                  <c:v>-4.9866859598862011E-7</c:v>
                </c:pt>
                <c:pt idx="1572">
                  <c:v>-4.8037531212041527E-7</c:v>
                </c:pt>
                <c:pt idx="1573">
                  <c:v>-4.6233477129278618E-7</c:v>
                </c:pt>
                <c:pt idx="1574">
                  <c:v>-4.4455366394287006E-7</c:v>
                </c:pt>
                <c:pt idx="1575">
                  <c:v>-4.2703872143323518E-7</c:v>
                </c:pt>
                <c:pt idx="1576">
                  <c:v>-4.0979671605188291E-7</c:v>
                </c:pt>
                <c:pt idx="1577">
                  <c:v>-3.9283446101223204E-7</c:v>
                </c:pt>
                <c:pt idx="1578">
                  <c:v>-3.7615881045312544E-7</c:v>
                </c:pt>
                <c:pt idx="1579">
                  <c:v>-3.5977665943882338E-7</c:v>
                </c:pt>
                <c:pt idx="1580">
                  <c:v>-3.4369494395904296E-7</c:v>
                </c:pt>
                <c:pt idx="1581">
                  <c:v>-3.2792064092890877E-7</c:v>
                </c:pt>
                <c:pt idx="1582">
                  <c:v>-3.1246076818895538E-7</c:v>
                </c:pt>
                <c:pt idx="1583">
                  <c:v>-2.9732238450514958E-7</c:v>
                </c:pt>
                <c:pt idx="1584">
                  <c:v>-2.8251258956890912E-7</c:v>
                </c:pt>
                <c:pt idx="1585">
                  <c:v>-2.6803852399704296E-7</c:v>
                </c:pt>
                <c:pt idx="1586">
                  <c:v>-2.53907369331796E-7</c:v>
                </c:pt>
                <c:pt idx="1587">
                  <c:v>-2.4012634804085558E-7</c:v>
                </c:pt>
                <c:pt idx="1588">
                  <c:v>-2.2670272351733153E-7</c:v>
                </c:pt>
                <c:pt idx="1589">
                  <c:v>-2.1364380007971741E-7</c:v>
                </c:pt>
                <c:pt idx="1590">
                  <c:v>-2.0095692297198897E-7</c:v>
                </c:pt>
                <c:pt idx="1591">
                  <c:v>-1.8864947836350101E-7</c:v>
                </c:pt>
                <c:pt idx="1592">
                  <c:v>-1.7672889334908028E-7</c:v>
                </c:pt>
                <c:pt idx="1593">
                  <c:v>-1.652026359489475E-7</c:v>
                </c:pt>
                <c:pt idx="1594">
                  <c:v>-1.5407821510872033E-7</c:v>
                </c:pt>
                <c:pt idx="1595">
                  <c:v>-1.4336318069952235E-7</c:v>
                </c:pt>
                <c:pt idx="1596">
                  <c:v>-1.3306512351784127E-7</c:v>
                </c:pt>
                <c:pt idx="1597">
                  <c:v>-1.2319167528557551E-7</c:v>
                </c:pt>
                <c:pt idx="1598">
                  <c:v>-1.1375050865012521E-7</c:v>
                </c:pt>
                <c:pt idx="1599">
                  <c:v>-1.0474933718425288E-7</c:v>
                </c:pt>
                <c:pt idx="1600">
                  <c:v>-9.6195915386133422E-8</c:v>
                </c:pt>
                <c:pt idx="1601">
                  <c:v>-8.8098038679428703E-8</c:v>
                </c:pt>
                <c:pt idx="1602">
                  <c:v>-8.0463543413187259E-8</c:v>
                </c:pt>
                <c:pt idx="1603">
                  <c:v>-7.3300306861922118E-8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4608"/>
        <c:axId val="78486528"/>
      </c:scatterChart>
      <c:valAx>
        <c:axId val="7848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Distance along beam, m</a:t>
                </a:r>
              </a:p>
            </c:rich>
          </c:tx>
          <c:layout>
            <c:manualLayout>
              <c:xMode val="edge"/>
              <c:yMode val="edge"/>
              <c:x val="0.36968728817098595"/>
              <c:y val="0.84292014049714381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486528"/>
        <c:crosses val="autoZero"/>
        <c:crossBetween val="midCat"/>
      </c:valAx>
      <c:valAx>
        <c:axId val="78486528"/>
        <c:scaling>
          <c:orientation val="minMax"/>
          <c:max val="0"/>
        </c:scaling>
        <c:delete val="0"/>
        <c:axPos val="l"/>
        <c:majorGridlines/>
        <c:title>
          <c:tx>
            <c:strRef>
              <c:f>Plot_Beam!$E$10</c:f>
              <c:strCache>
                <c:ptCount val="1"/>
                <c:pt idx="0">
                  <c:v>Y Deflection, m</c:v>
                </c:pt>
              </c:strCache>
            </c:strRef>
          </c:tx>
          <c:overlay val="0"/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484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9266083814273663"/>
          <c:y val="0.90238305055582813"/>
          <c:w val="0.62844130537035514"/>
          <c:h val="5.7142990008812337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3</xdr:row>
          <xdr:rowOff>95250</xdr:rowOff>
        </xdr:from>
        <xdr:to>
          <xdr:col>3</xdr:col>
          <xdr:colOff>0</xdr:colOff>
          <xdr:row>5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3</xdr:row>
          <xdr:rowOff>28575</xdr:rowOff>
        </xdr:from>
        <xdr:to>
          <xdr:col>13</xdr:col>
          <xdr:colOff>714375</xdr:colOff>
          <xdr:row>5</xdr:row>
          <xdr:rowOff>85725</xdr:rowOff>
        </xdr:to>
        <xdr:sp macro="" textlink="">
          <xdr:nvSpPr>
            <xdr:cNvPr id="9325" name="Button 109" hidden="1">
              <a:extLst>
                <a:ext uri="{63B3BB69-23CF-44E3-9099-C40C66FF867C}">
                  <a14:compatExt spid="_x0000_s9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Recalculate Beam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152400</xdr:rowOff>
        </xdr:from>
        <xdr:to>
          <xdr:col>4</xdr:col>
          <xdr:colOff>552450</xdr:colOff>
          <xdr:row>5</xdr:row>
          <xdr:rowOff>57150</xdr:rowOff>
        </xdr:to>
        <xdr:sp macro="" textlink="">
          <xdr:nvSpPr>
            <xdr:cNvPr id="9327" name="ComboBox1" hidden="1">
              <a:extLst>
                <a:ext uri="{63B3BB69-23CF-44E3-9099-C40C66FF867C}">
                  <a14:compatExt spid="_x0000_s9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9</xdr:row>
          <xdr:rowOff>114300</xdr:rowOff>
        </xdr:from>
        <xdr:to>
          <xdr:col>1</xdr:col>
          <xdr:colOff>342900</xdr:colOff>
          <xdr:row>12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 Frame - Select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16</xdr:row>
          <xdr:rowOff>38100</xdr:rowOff>
        </xdr:from>
        <xdr:to>
          <xdr:col>1</xdr:col>
          <xdr:colOff>571500</xdr:colOff>
          <xdr:row>17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 Deflected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13</xdr:row>
          <xdr:rowOff>76200</xdr:rowOff>
        </xdr:from>
        <xdr:to>
          <xdr:col>1</xdr:col>
          <xdr:colOff>361950</xdr:colOff>
          <xdr:row>15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Redraw Frame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12700</xdr:colOff>
      <xdr:row>4</xdr:row>
      <xdr:rowOff>12700</xdr:rowOff>
    </xdr:from>
    <xdr:to>
      <xdr:col>14</xdr:col>
      <xdr:colOff>584200</xdr:colOff>
      <xdr:row>33</xdr:row>
      <xdr:rowOff>136525</xdr:rowOff>
    </xdr:to>
    <xdr:grpSp>
      <xdr:nvGrpSpPr>
        <xdr:cNvPr id="10264" name="Group 10263"/>
        <xdr:cNvGrpSpPr/>
      </xdr:nvGrpSpPr>
      <xdr:grpSpPr>
        <a:xfrm>
          <a:off x="2203450" y="660400"/>
          <a:ext cx="7277100" cy="4819650"/>
          <a:chOff x="2203450" y="660400"/>
          <a:chExt cx="7277100" cy="4819650"/>
        </a:xfrm>
      </xdr:grpSpPr>
      <xdr:grpSp>
        <xdr:nvGrpSpPr>
          <xdr:cNvPr id="10258" name="Group 10257"/>
          <xdr:cNvGrpSpPr/>
        </xdr:nvGrpSpPr>
        <xdr:grpSpPr>
          <a:xfrm>
            <a:off x="2613660" y="2805979"/>
            <a:ext cx="6469381" cy="541193"/>
            <a:chOff x="2613660" y="2805979"/>
            <a:chExt cx="6469381" cy="541193"/>
          </a:xfrm>
        </xdr:grpSpPr>
        <xdr:sp macro="" textlink="">
          <xdr:nvSpPr>
            <xdr:cNvPr id="10255" name="Freeform 10254"/>
            <xdr:cNvSpPr/>
          </xdr:nvSpPr>
          <xdr:spPr bwMode="auto">
            <a:xfrm>
              <a:off x="2613660" y="3301811"/>
              <a:ext cx="1470315" cy="45058"/>
            </a:xfrm>
            <a:custGeom>
              <a:avLst/>
              <a:gdLst/>
              <a:ahLst/>
              <a:cxnLst/>
              <a:rect l="0" t="0" r="0" b="0"/>
              <a:pathLst>
                <a:path w="1470315" h="45058">
                  <a:moveTo>
                    <a:pt x="0" y="45057"/>
                  </a:moveTo>
                  <a:lnTo>
                    <a:pt x="3676" y="45053"/>
                  </a:lnTo>
                  <a:lnTo>
                    <a:pt x="7352" y="45041"/>
                  </a:lnTo>
                  <a:lnTo>
                    <a:pt x="11027" y="45020"/>
                  </a:lnTo>
                  <a:lnTo>
                    <a:pt x="14703" y="44992"/>
                  </a:lnTo>
                  <a:lnTo>
                    <a:pt x="18379" y="44955"/>
                  </a:lnTo>
                  <a:lnTo>
                    <a:pt x="22055" y="44911"/>
                  </a:lnTo>
                  <a:lnTo>
                    <a:pt x="25730" y="44860"/>
                  </a:lnTo>
                  <a:lnTo>
                    <a:pt x="29406" y="44800"/>
                  </a:lnTo>
                  <a:lnTo>
                    <a:pt x="33082" y="44734"/>
                  </a:lnTo>
                  <a:lnTo>
                    <a:pt x="36758" y="44660"/>
                  </a:lnTo>
                  <a:lnTo>
                    <a:pt x="40434" y="44579"/>
                  </a:lnTo>
                  <a:lnTo>
                    <a:pt x="44109" y="44491"/>
                  </a:lnTo>
                  <a:lnTo>
                    <a:pt x="47785" y="44396"/>
                  </a:lnTo>
                  <a:lnTo>
                    <a:pt x="51461" y="44294"/>
                  </a:lnTo>
                  <a:lnTo>
                    <a:pt x="55137" y="44185"/>
                  </a:lnTo>
                  <a:lnTo>
                    <a:pt x="58813" y="44070"/>
                  </a:lnTo>
                  <a:lnTo>
                    <a:pt x="62488" y="43948"/>
                  </a:lnTo>
                  <a:lnTo>
                    <a:pt x="66164" y="43820"/>
                  </a:lnTo>
                  <a:lnTo>
                    <a:pt x="69840" y="43686"/>
                  </a:lnTo>
                  <a:lnTo>
                    <a:pt x="73516" y="43545"/>
                  </a:lnTo>
                  <a:lnTo>
                    <a:pt x="77191" y="43398"/>
                  </a:lnTo>
                  <a:lnTo>
                    <a:pt x="80867" y="43246"/>
                  </a:lnTo>
                  <a:lnTo>
                    <a:pt x="84543" y="43088"/>
                  </a:lnTo>
                  <a:lnTo>
                    <a:pt x="88219" y="42924"/>
                  </a:lnTo>
                  <a:lnTo>
                    <a:pt x="91895" y="42754"/>
                  </a:lnTo>
                  <a:lnTo>
                    <a:pt x="95570" y="42579"/>
                  </a:lnTo>
                  <a:lnTo>
                    <a:pt x="99246" y="42398"/>
                  </a:lnTo>
                  <a:lnTo>
                    <a:pt x="102922" y="42212"/>
                  </a:lnTo>
                  <a:lnTo>
                    <a:pt x="106598" y="42021"/>
                  </a:lnTo>
                  <a:lnTo>
                    <a:pt x="110274" y="41825"/>
                  </a:lnTo>
                  <a:lnTo>
                    <a:pt x="113949" y="41624"/>
                  </a:lnTo>
                  <a:lnTo>
                    <a:pt x="117625" y="41417"/>
                  </a:lnTo>
                  <a:lnTo>
                    <a:pt x="121301" y="41207"/>
                  </a:lnTo>
                  <a:lnTo>
                    <a:pt x="124977" y="40991"/>
                  </a:lnTo>
                  <a:lnTo>
                    <a:pt x="128652" y="40771"/>
                  </a:lnTo>
                  <a:lnTo>
                    <a:pt x="132328" y="40546"/>
                  </a:lnTo>
                  <a:lnTo>
                    <a:pt x="136004" y="40317"/>
                  </a:lnTo>
                  <a:lnTo>
                    <a:pt x="139680" y="40084"/>
                  </a:lnTo>
                  <a:lnTo>
                    <a:pt x="143356" y="39846"/>
                  </a:lnTo>
                  <a:lnTo>
                    <a:pt x="147031" y="39604"/>
                  </a:lnTo>
                  <a:lnTo>
                    <a:pt x="150707" y="39359"/>
                  </a:lnTo>
                  <a:lnTo>
                    <a:pt x="154383" y="39109"/>
                  </a:lnTo>
                  <a:lnTo>
                    <a:pt x="158059" y="38856"/>
                  </a:lnTo>
                  <a:lnTo>
                    <a:pt x="161735" y="38599"/>
                  </a:lnTo>
                  <a:lnTo>
                    <a:pt x="165410" y="38339"/>
                  </a:lnTo>
                  <a:lnTo>
                    <a:pt x="169086" y="38074"/>
                  </a:lnTo>
                  <a:lnTo>
                    <a:pt x="172762" y="37807"/>
                  </a:lnTo>
                  <a:lnTo>
                    <a:pt x="176438" y="37536"/>
                  </a:lnTo>
                  <a:lnTo>
                    <a:pt x="180113" y="37262"/>
                  </a:lnTo>
                  <a:lnTo>
                    <a:pt x="183789" y="36985"/>
                  </a:lnTo>
                  <a:lnTo>
                    <a:pt x="187465" y="36705"/>
                  </a:lnTo>
                  <a:lnTo>
                    <a:pt x="191141" y="36421"/>
                  </a:lnTo>
                  <a:lnTo>
                    <a:pt x="194817" y="36135"/>
                  </a:lnTo>
                  <a:lnTo>
                    <a:pt x="198492" y="35846"/>
                  </a:lnTo>
                  <a:lnTo>
                    <a:pt x="202168" y="35555"/>
                  </a:lnTo>
                  <a:lnTo>
                    <a:pt x="205844" y="35261"/>
                  </a:lnTo>
                  <a:lnTo>
                    <a:pt x="209520" y="34964"/>
                  </a:lnTo>
                  <a:lnTo>
                    <a:pt x="213196" y="34665"/>
                  </a:lnTo>
                  <a:lnTo>
                    <a:pt x="216871" y="34363"/>
                  </a:lnTo>
                  <a:lnTo>
                    <a:pt x="220547" y="34059"/>
                  </a:lnTo>
                  <a:lnTo>
                    <a:pt x="224223" y="33754"/>
                  </a:lnTo>
                  <a:lnTo>
                    <a:pt x="227899" y="33445"/>
                  </a:lnTo>
                  <a:lnTo>
                    <a:pt x="231574" y="33136"/>
                  </a:lnTo>
                  <a:lnTo>
                    <a:pt x="235250" y="32824"/>
                  </a:lnTo>
                  <a:lnTo>
                    <a:pt x="238926" y="32510"/>
                  </a:lnTo>
                  <a:lnTo>
                    <a:pt x="242602" y="32195"/>
                  </a:lnTo>
                  <a:lnTo>
                    <a:pt x="246277" y="31878"/>
                  </a:lnTo>
                  <a:lnTo>
                    <a:pt x="249953" y="31559"/>
                  </a:lnTo>
                  <a:lnTo>
                    <a:pt x="253629" y="31239"/>
                  </a:lnTo>
                  <a:lnTo>
                    <a:pt x="257305" y="30917"/>
                  </a:lnTo>
                  <a:lnTo>
                    <a:pt x="260981" y="30595"/>
                  </a:lnTo>
                  <a:lnTo>
                    <a:pt x="264656" y="30270"/>
                  </a:lnTo>
                  <a:lnTo>
                    <a:pt x="268332" y="29945"/>
                  </a:lnTo>
                  <a:lnTo>
                    <a:pt x="272008" y="29619"/>
                  </a:lnTo>
                  <a:lnTo>
                    <a:pt x="275684" y="29291"/>
                  </a:lnTo>
                  <a:lnTo>
                    <a:pt x="279360" y="28963"/>
                  </a:lnTo>
                  <a:lnTo>
                    <a:pt x="283035" y="28633"/>
                  </a:lnTo>
                  <a:lnTo>
                    <a:pt x="286711" y="28304"/>
                  </a:lnTo>
                  <a:lnTo>
                    <a:pt x="290387" y="27973"/>
                  </a:lnTo>
                  <a:lnTo>
                    <a:pt x="294063" y="27641"/>
                  </a:lnTo>
                  <a:lnTo>
                    <a:pt x="297738" y="27309"/>
                  </a:lnTo>
                  <a:lnTo>
                    <a:pt x="301414" y="26977"/>
                  </a:lnTo>
                  <a:lnTo>
                    <a:pt x="305090" y="26644"/>
                  </a:lnTo>
                  <a:lnTo>
                    <a:pt x="308766" y="26311"/>
                  </a:lnTo>
                  <a:lnTo>
                    <a:pt x="312442" y="25977"/>
                  </a:lnTo>
                  <a:lnTo>
                    <a:pt x="316117" y="25644"/>
                  </a:lnTo>
                  <a:lnTo>
                    <a:pt x="319793" y="25310"/>
                  </a:lnTo>
                  <a:lnTo>
                    <a:pt x="323469" y="24976"/>
                  </a:lnTo>
                  <a:lnTo>
                    <a:pt x="327145" y="24642"/>
                  </a:lnTo>
                  <a:lnTo>
                    <a:pt x="330821" y="24308"/>
                  </a:lnTo>
                  <a:lnTo>
                    <a:pt x="334496" y="23974"/>
                  </a:lnTo>
                  <a:lnTo>
                    <a:pt x="338172" y="23641"/>
                  </a:lnTo>
                  <a:lnTo>
                    <a:pt x="341848" y="23308"/>
                  </a:lnTo>
                  <a:lnTo>
                    <a:pt x="345524" y="22975"/>
                  </a:lnTo>
                  <a:lnTo>
                    <a:pt x="349199" y="22643"/>
                  </a:lnTo>
                  <a:lnTo>
                    <a:pt x="352875" y="22311"/>
                  </a:lnTo>
                  <a:lnTo>
                    <a:pt x="356551" y="21980"/>
                  </a:lnTo>
                  <a:lnTo>
                    <a:pt x="360227" y="21649"/>
                  </a:lnTo>
                  <a:lnTo>
                    <a:pt x="363903" y="21319"/>
                  </a:lnTo>
                  <a:lnTo>
                    <a:pt x="367578" y="20989"/>
                  </a:lnTo>
                  <a:lnTo>
                    <a:pt x="371254" y="20661"/>
                  </a:lnTo>
                  <a:lnTo>
                    <a:pt x="374930" y="20333"/>
                  </a:lnTo>
                  <a:lnTo>
                    <a:pt x="378606" y="20006"/>
                  </a:lnTo>
                  <a:lnTo>
                    <a:pt x="382282" y="19680"/>
                  </a:lnTo>
                  <a:lnTo>
                    <a:pt x="385957" y="19356"/>
                  </a:lnTo>
                  <a:lnTo>
                    <a:pt x="389633" y="19032"/>
                  </a:lnTo>
                  <a:lnTo>
                    <a:pt x="393309" y="18710"/>
                  </a:lnTo>
                  <a:lnTo>
                    <a:pt x="396985" y="18389"/>
                  </a:lnTo>
                  <a:lnTo>
                    <a:pt x="400660" y="18069"/>
                  </a:lnTo>
                  <a:lnTo>
                    <a:pt x="404336" y="17750"/>
                  </a:lnTo>
                  <a:lnTo>
                    <a:pt x="408012" y="17433"/>
                  </a:lnTo>
                  <a:lnTo>
                    <a:pt x="411688" y="17117"/>
                  </a:lnTo>
                  <a:lnTo>
                    <a:pt x="415364" y="16803"/>
                  </a:lnTo>
                  <a:lnTo>
                    <a:pt x="419039" y="16490"/>
                  </a:lnTo>
                  <a:lnTo>
                    <a:pt x="422715" y="16179"/>
                  </a:lnTo>
                  <a:lnTo>
                    <a:pt x="426391" y="15870"/>
                  </a:lnTo>
                  <a:lnTo>
                    <a:pt x="430067" y="15562"/>
                  </a:lnTo>
                  <a:lnTo>
                    <a:pt x="433743" y="15256"/>
                  </a:lnTo>
                  <a:lnTo>
                    <a:pt x="437418" y="14952"/>
                  </a:lnTo>
                  <a:lnTo>
                    <a:pt x="441094" y="14650"/>
                  </a:lnTo>
                  <a:lnTo>
                    <a:pt x="444770" y="14350"/>
                  </a:lnTo>
                  <a:lnTo>
                    <a:pt x="448446" y="14052"/>
                  </a:lnTo>
                  <a:lnTo>
                    <a:pt x="452121" y="13756"/>
                  </a:lnTo>
                  <a:lnTo>
                    <a:pt x="455797" y="13461"/>
                  </a:lnTo>
                  <a:lnTo>
                    <a:pt x="459473" y="13169"/>
                  </a:lnTo>
                  <a:lnTo>
                    <a:pt x="463149" y="12880"/>
                  </a:lnTo>
                  <a:lnTo>
                    <a:pt x="466825" y="12592"/>
                  </a:lnTo>
                  <a:lnTo>
                    <a:pt x="470500" y="12307"/>
                  </a:lnTo>
                  <a:lnTo>
                    <a:pt x="474176" y="12024"/>
                  </a:lnTo>
                  <a:lnTo>
                    <a:pt x="477852" y="11743"/>
                  </a:lnTo>
                  <a:lnTo>
                    <a:pt x="481528" y="11465"/>
                  </a:lnTo>
                  <a:lnTo>
                    <a:pt x="485204" y="11189"/>
                  </a:lnTo>
                  <a:lnTo>
                    <a:pt x="488879" y="10916"/>
                  </a:lnTo>
                  <a:lnTo>
                    <a:pt x="492555" y="10646"/>
                  </a:lnTo>
                  <a:lnTo>
                    <a:pt x="496231" y="10378"/>
                  </a:lnTo>
                  <a:lnTo>
                    <a:pt x="499907" y="10112"/>
                  </a:lnTo>
                  <a:lnTo>
                    <a:pt x="503582" y="9850"/>
                  </a:lnTo>
                  <a:lnTo>
                    <a:pt x="507258" y="9590"/>
                  </a:lnTo>
                  <a:lnTo>
                    <a:pt x="510934" y="9333"/>
                  </a:lnTo>
                  <a:lnTo>
                    <a:pt x="514610" y="9078"/>
                  </a:lnTo>
                  <a:lnTo>
                    <a:pt x="518286" y="8826"/>
                  </a:lnTo>
                  <a:lnTo>
                    <a:pt x="521961" y="8578"/>
                  </a:lnTo>
                  <a:lnTo>
                    <a:pt x="525637" y="8332"/>
                  </a:lnTo>
                  <a:lnTo>
                    <a:pt x="529313" y="8089"/>
                  </a:lnTo>
                  <a:lnTo>
                    <a:pt x="532989" y="7849"/>
                  </a:lnTo>
                  <a:lnTo>
                    <a:pt x="536665" y="7613"/>
                  </a:lnTo>
                  <a:lnTo>
                    <a:pt x="540340" y="7379"/>
                  </a:lnTo>
                  <a:lnTo>
                    <a:pt x="544016" y="7148"/>
                  </a:lnTo>
                  <a:lnTo>
                    <a:pt x="547692" y="6921"/>
                  </a:lnTo>
                  <a:lnTo>
                    <a:pt x="551368" y="6697"/>
                  </a:lnTo>
                  <a:lnTo>
                    <a:pt x="555043" y="6475"/>
                  </a:lnTo>
                  <a:lnTo>
                    <a:pt x="558719" y="6258"/>
                  </a:lnTo>
                  <a:lnTo>
                    <a:pt x="562395" y="6043"/>
                  </a:lnTo>
                  <a:lnTo>
                    <a:pt x="566071" y="5832"/>
                  </a:lnTo>
                  <a:lnTo>
                    <a:pt x="569746" y="5624"/>
                  </a:lnTo>
                  <a:lnTo>
                    <a:pt x="573422" y="5419"/>
                  </a:lnTo>
                  <a:lnTo>
                    <a:pt x="577098" y="5218"/>
                  </a:lnTo>
                  <a:lnTo>
                    <a:pt x="580774" y="5020"/>
                  </a:lnTo>
                  <a:lnTo>
                    <a:pt x="584450" y="4826"/>
                  </a:lnTo>
                  <a:lnTo>
                    <a:pt x="588125" y="4635"/>
                  </a:lnTo>
                  <a:lnTo>
                    <a:pt x="591801" y="4448"/>
                  </a:lnTo>
                  <a:lnTo>
                    <a:pt x="595477" y="4264"/>
                  </a:lnTo>
                  <a:lnTo>
                    <a:pt x="599153" y="4084"/>
                  </a:lnTo>
                  <a:lnTo>
                    <a:pt x="602829" y="3908"/>
                  </a:lnTo>
                  <a:lnTo>
                    <a:pt x="606504" y="3735"/>
                  </a:lnTo>
                  <a:lnTo>
                    <a:pt x="610180" y="3566"/>
                  </a:lnTo>
                  <a:lnTo>
                    <a:pt x="613856" y="3400"/>
                  </a:lnTo>
                  <a:lnTo>
                    <a:pt x="617532" y="3238"/>
                  </a:lnTo>
                  <a:lnTo>
                    <a:pt x="621207" y="3080"/>
                  </a:lnTo>
                  <a:lnTo>
                    <a:pt x="624883" y="2925"/>
                  </a:lnTo>
                  <a:lnTo>
                    <a:pt x="628559" y="2775"/>
                  </a:lnTo>
                  <a:lnTo>
                    <a:pt x="632235" y="2628"/>
                  </a:lnTo>
                  <a:lnTo>
                    <a:pt x="635911" y="2485"/>
                  </a:lnTo>
                  <a:lnTo>
                    <a:pt x="639586" y="2345"/>
                  </a:lnTo>
                  <a:lnTo>
                    <a:pt x="643262" y="2210"/>
                  </a:lnTo>
                  <a:lnTo>
                    <a:pt x="646938" y="2078"/>
                  </a:lnTo>
                  <a:lnTo>
                    <a:pt x="650614" y="1951"/>
                  </a:lnTo>
                  <a:lnTo>
                    <a:pt x="654290" y="1827"/>
                  </a:lnTo>
                  <a:lnTo>
                    <a:pt x="657965" y="1708"/>
                  </a:lnTo>
                  <a:lnTo>
                    <a:pt x="661641" y="1592"/>
                  </a:lnTo>
                  <a:lnTo>
                    <a:pt x="665317" y="1480"/>
                  </a:lnTo>
                  <a:lnTo>
                    <a:pt x="668993" y="1371"/>
                  </a:lnTo>
                  <a:lnTo>
                    <a:pt x="672668" y="1268"/>
                  </a:lnTo>
                  <a:lnTo>
                    <a:pt x="676344" y="1168"/>
                  </a:lnTo>
                  <a:lnTo>
                    <a:pt x="680020" y="1072"/>
                  </a:lnTo>
                  <a:lnTo>
                    <a:pt x="683696" y="980"/>
                  </a:lnTo>
                  <a:lnTo>
                    <a:pt x="687371" y="892"/>
                  </a:lnTo>
                  <a:lnTo>
                    <a:pt x="691048" y="808"/>
                  </a:lnTo>
                  <a:lnTo>
                    <a:pt x="694723" y="729"/>
                  </a:lnTo>
                  <a:lnTo>
                    <a:pt x="698399" y="653"/>
                  </a:lnTo>
                  <a:lnTo>
                    <a:pt x="702075" y="582"/>
                  </a:lnTo>
                  <a:lnTo>
                    <a:pt x="705751" y="514"/>
                  </a:lnTo>
                  <a:lnTo>
                    <a:pt x="709426" y="451"/>
                  </a:lnTo>
                  <a:lnTo>
                    <a:pt x="713102" y="392"/>
                  </a:lnTo>
                  <a:lnTo>
                    <a:pt x="716778" y="337"/>
                  </a:lnTo>
                  <a:lnTo>
                    <a:pt x="720454" y="286"/>
                  </a:lnTo>
                  <a:lnTo>
                    <a:pt x="724129" y="239"/>
                  </a:lnTo>
                  <a:lnTo>
                    <a:pt x="727805" y="196"/>
                  </a:lnTo>
                  <a:lnTo>
                    <a:pt x="731481" y="158"/>
                  </a:lnTo>
                  <a:lnTo>
                    <a:pt x="735157" y="124"/>
                  </a:lnTo>
                  <a:lnTo>
                    <a:pt x="738833" y="94"/>
                  </a:lnTo>
                  <a:lnTo>
                    <a:pt x="742508" y="68"/>
                  </a:lnTo>
                  <a:lnTo>
                    <a:pt x="746184" y="46"/>
                  </a:lnTo>
                  <a:lnTo>
                    <a:pt x="749860" y="28"/>
                  </a:lnTo>
                  <a:lnTo>
                    <a:pt x="753536" y="15"/>
                  </a:lnTo>
                  <a:lnTo>
                    <a:pt x="757211" y="6"/>
                  </a:lnTo>
                  <a:lnTo>
                    <a:pt x="760887" y="1"/>
                  </a:lnTo>
                  <a:lnTo>
                    <a:pt x="764563" y="0"/>
                  </a:lnTo>
                  <a:lnTo>
                    <a:pt x="768239" y="3"/>
                  </a:lnTo>
                  <a:lnTo>
                    <a:pt x="771915" y="11"/>
                  </a:lnTo>
                  <a:lnTo>
                    <a:pt x="775590" y="23"/>
                  </a:lnTo>
                  <a:lnTo>
                    <a:pt x="779266" y="39"/>
                  </a:lnTo>
                  <a:lnTo>
                    <a:pt x="782942" y="59"/>
                  </a:lnTo>
                  <a:lnTo>
                    <a:pt x="786618" y="83"/>
                  </a:lnTo>
                  <a:lnTo>
                    <a:pt x="790293" y="111"/>
                  </a:lnTo>
                  <a:lnTo>
                    <a:pt x="793969" y="144"/>
                  </a:lnTo>
                  <a:lnTo>
                    <a:pt x="797645" y="181"/>
                  </a:lnTo>
                  <a:lnTo>
                    <a:pt x="801321" y="222"/>
                  </a:lnTo>
                  <a:lnTo>
                    <a:pt x="804997" y="267"/>
                  </a:lnTo>
                  <a:lnTo>
                    <a:pt x="808673" y="317"/>
                  </a:lnTo>
                  <a:lnTo>
                    <a:pt x="812348" y="370"/>
                  </a:lnTo>
                  <a:lnTo>
                    <a:pt x="816024" y="428"/>
                  </a:lnTo>
                  <a:lnTo>
                    <a:pt x="819700" y="490"/>
                  </a:lnTo>
                  <a:lnTo>
                    <a:pt x="823376" y="556"/>
                  </a:lnTo>
                  <a:lnTo>
                    <a:pt x="827051" y="625"/>
                  </a:lnTo>
                  <a:lnTo>
                    <a:pt x="830727" y="700"/>
                  </a:lnTo>
                  <a:lnTo>
                    <a:pt x="834403" y="778"/>
                  </a:lnTo>
                  <a:lnTo>
                    <a:pt x="838079" y="860"/>
                  </a:lnTo>
                  <a:lnTo>
                    <a:pt x="841755" y="947"/>
                  </a:lnTo>
                  <a:lnTo>
                    <a:pt x="845430" y="1037"/>
                  </a:lnTo>
                  <a:lnTo>
                    <a:pt x="849106" y="1132"/>
                  </a:lnTo>
                  <a:lnTo>
                    <a:pt x="852782" y="1230"/>
                  </a:lnTo>
                  <a:lnTo>
                    <a:pt x="856458" y="1333"/>
                  </a:lnTo>
                  <a:lnTo>
                    <a:pt x="860133" y="1440"/>
                  </a:lnTo>
                  <a:lnTo>
                    <a:pt x="863809" y="1550"/>
                  </a:lnTo>
                  <a:lnTo>
                    <a:pt x="867485" y="1665"/>
                  </a:lnTo>
                  <a:lnTo>
                    <a:pt x="871161" y="1783"/>
                  </a:lnTo>
                  <a:lnTo>
                    <a:pt x="874837" y="1906"/>
                  </a:lnTo>
                  <a:lnTo>
                    <a:pt x="878513" y="2033"/>
                  </a:lnTo>
                  <a:lnTo>
                    <a:pt x="882188" y="2163"/>
                  </a:lnTo>
                  <a:lnTo>
                    <a:pt x="885864" y="2297"/>
                  </a:lnTo>
                  <a:lnTo>
                    <a:pt x="889540" y="2435"/>
                  </a:lnTo>
                  <a:lnTo>
                    <a:pt x="893215" y="2578"/>
                  </a:lnTo>
                  <a:lnTo>
                    <a:pt x="896891" y="2723"/>
                  </a:lnTo>
                  <a:lnTo>
                    <a:pt x="900567" y="2873"/>
                  </a:lnTo>
                  <a:lnTo>
                    <a:pt x="904243" y="3027"/>
                  </a:lnTo>
                  <a:lnTo>
                    <a:pt x="907919" y="3184"/>
                  </a:lnTo>
                  <a:lnTo>
                    <a:pt x="911595" y="3345"/>
                  </a:lnTo>
                  <a:lnTo>
                    <a:pt x="915270" y="3510"/>
                  </a:lnTo>
                  <a:lnTo>
                    <a:pt x="918946" y="3678"/>
                  </a:lnTo>
                  <a:lnTo>
                    <a:pt x="922622" y="3851"/>
                  </a:lnTo>
                  <a:lnTo>
                    <a:pt x="926298" y="4027"/>
                  </a:lnTo>
                  <a:lnTo>
                    <a:pt x="929973" y="4206"/>
                  </a:lnTo>
                  <a:lnTo>
                    <a:pt x="933649" y="4389"/>
                  </a:lnTo>
                  <a:lnTo>
                    <a:pt x="937325" y="4576"/>
                  </a:lnTo>
                  <a:lnTo>
                    <a:pt x="941001" y="4766"/>
                  </a:lnTo>
                  <a:lnTo>
                    <a:pt x="944677" y="4960"/>
                  </a:lnTo>
                  <a:lnTo>
                    <a:pt x="948352" y="5158"/>
                  </a:lnTo>
                  <a:lnTo>
                    <a:pt x="952028" y="5358"/>
                  </a:lnTo>
                  <a:lnTo>
                    <a:pt x="955704" y="5563"/>
                  </a:lnTo>
                  <a:lnTo>
                    <a:pt x="959380" y="5770"/>
                  </a:lnTo>
                  <a:lnTo>
                    <a:pt x="963055" y="5981"/>
                  </a:lnTo>
                  <a:lnTo>
                    <a:pt x="966731" y="6196"/>
                  </a:lnTo>
                  <a:lnTo>
                    <a:pt x="970407" y="6414"/>
                  </a:lnTo>
                  <a:lnTo>
                    <a:pt x="974083" y="6635"/>
                  </a:lnTo>
                  <a:lnTo>
                    <a:pt x="977758" y="6859"/>
                  </a:lnTo>
                  <a:lnTo>
                    <a:pt x="981435" y="7087"/>
                  </a:lnTo>
                  <a:lnTo>
                    <a:pt x="985110" y="7318"/>
                  </a:lnTo>
                  <a:lnTo>
                    <a:pt x="988786" y="7551"/>
                  </a:lnTo>
                  <a:lnTo>
                    <a:pt x="992462" y="7789"/>
                  </a:lnTo>
                  <a:lnTo>
                    <a:pt x="996137" y="8029"/>
                  </a:lnTo>
                  <a:lnTo>
                    <a:pt x="999813" y="8272"/>
                  </a:lnTo>
                  <a:lnTo>
                    <a:pt x="1003489" y="8518"/>
                  </a:lnTo>
                  <a:lnTo>
                    <a:pt x="1007165" y="8768"/>
                  </a:lnTo>
                  <a:lnTo>
                    <a:pt x="1010840" y="9019"/>
                  </a:lnTo>
                  <a:lnTo>
                    <a:pt x="1014517" y="9274"/>
                  </a:lnTo>
                  <a:lnTo>
                    <a:pt x="1018192" y="9533"/>
                  </a:lnTo>
                  <a:lnTo>
                    <a:pt x="1021868" y="9793"/>
                  </a:lnTo>
                  <a:lnTo>
                    <a:pt x="1025544" y="10057"/>
                  </a:lnTo>
                  <a:lnTo>
                    <a:pt x="1029220" y="10323"/>
                  </a:lnTo>
                  <a:lnTo>
                    <a:pt x="1032895" y="10592"/>
                  </a:lnTo>
                  <a:lnTo>
                    <a:pt x="1036571" y="10864"/>
                  </a:lnTo>
                  <a:lnTo>
                    <a:pt x="1040247" y="11138"/>
                  </a:lnTo>
                  <a:lnTo>
                    <a:pt x="1043923" y="11415"/>
                  </a:lnTo>
                  <a:lnTo>
                    <a:pt x="1047598" y="11695"/>
                  </a:lnTo>
                  <a:lnTo>
                    <a:pt x="1051274" y="11977"/>
                  </a:lnTo>
                  <a:lnTo>
                    <a:pt x="1054950" y="12261"/>
                  </a:lnTo>
                  <a:lnTo>
                    <a:pt x="1058626" y="12548"/>
                  </a:lnTo>
                  <a:lnTo>
                    <a:pt x="1062302" y="12837"/>
                  </a:lnTo>
                  <a:lnTo>
                    <a:pt x="1065977" y="13129"/>
                  </a:lnTo>
                  <a:lnTo>
                    <a:pt x="1069653" y="13422"/>
                  </a:lnTo>
                  <a:lnTo>
                    <a:pt x="1073329" y="13718"/>
                  </a:lnTo>
                  <a:lnTo>
                    <a:pt x="1077005" y="14016"/>
                  </a:lnTo>
                  <a:lnTo>
                    <a:pt x="1080680" y="14317"/>
                  </a:lnTo>
                  <a:lnTo>
                    <a:pt x="1084356" y="14619"/>
                  </a:lnTo>
                  <a:lnTo>
                    <a:pt x="1088032" y="14924"/>
                  </a:lnTo>
                  <a:lnTo>
                    <a:pt x="1091708" y="15230"/>
                  </a:lnTo>
                  <a:lnTo>
                    <a:pt x="1095384" y="15538"/>
                  </a:lnTo>
                  <a:lnTo>
                    <a:pt x="1099060" y="15849"/>
                  </a:lnTo>
                  <a:lnTo>
                    <a:pt x="1102735" y="16161"/>
                  </a:lnTo>
                  <a:lnTo>
                    <a:pt x="1106411" y="16474"/>
                  </a:lnTo>
                  <a:lnTo>
                    <a:pt x="1110087" y="16790"/>
                  </a:lnTo>
                  <a:lnTo>
                    <a:pt x="1113762" y="17107"/>
                  </a:lnTo>
                  <a:lnTo>
                    <a:pt x="1117438" y="17425"/>
                  </a:lnTo>
                  <a:lnTo>
                    <a:pt x="1121114" y="17746"/>
                  </a:lnTo>
                  <a:lnTo>
                    <a:pt x="1124790" y="18067"/>
                  </a:lnTo>
                  <a:lnTo>
                    <a:pt x="1128466" y="18391"/>
                  </a:lnTo>
                  <a:lnTo>
                    <a:pt x="1132142" y="18715"/>
                  </a:lnTo>
                  <a:lnTo>
                    <a:pt x="1135817" y="19041"/>
                  </a:lnTo>
                  <a:lnTo>
                    <a:pt x="1139493" y="19368"/>
                  </a:lnTo>
                  <a:lnTo>
                    <a:pt x="1143169" y="19697"/>
                  </a:lnTo>
                  <a:lnTo>
                    <a:pt x="1146845" y="20026"/>
                  </a:lnTo>
                  <a:lnTo>
                    <a:pt x="1150520" y="20357"/>
                  </a:lnTo>
                  <a:lnTo>
                    <a:pt x="1154196" y="20689"/>
                  </a:lnTo>
                  <a:lnTo>
                    <a:pt x="1157872" y="21021"/>
                  </a:lnTo>
                  <a:lnTo>
                    <a:pt x="1161548" y="21354"/>
                  </a:lnTo>
                  <a:lnTo>
                    <a:pt x="1165224" y="21689"/>
                  </a:lnTo>
                  <a:lnTo>
                    <a:pt x="1168899" y="22024"/>
                  </a:lnTo>
                  <a:lnTo>
                    <a:pt x="1172575" y="22360"/>
                  </a:lnTo>
                  <a:lnTo>
                    <a:pt x="1176251" y="22697"/>
                  </a:lnTo>
                  <a:lnTo>
                    <a:pt x="1179927" y="23034"/>
                  </a:lnTo>
                  <a:lnTo>
                    <a:pt x="1183602" y="23371"/>
                  </a:lnTo>
                  <a:lnTo>
                    <a:pt x="1187278" y="23709"/>
                  </a:lnTo>
                  <a:lnTo>
                    <a:pt x="1190954" y="24048"/>
                  </a:lnTo>
                  <a:lnTo>
                    <a:pt x="1194630" y="24387"/>
                  </a:lnTo>
                  <a:lnTo>
                    <a:pt x="1198306" y="24726"/>
                  </a:lnTo>
                  <a:lnTo>
                    <a:pt x="1201982" y="25065"/>
                  </a:lnTo>
                  <a:lnTo>
                    <a:pt x="1205657" y="25405"/>
                  </a:lnTo>
                  <a:lnTo>
                    <a:pt x="1209333" y="25744"/>
                  </a:lnTo>
                  <a:lnTo>
                    <a:pt x="1213009" y="26084"/>
                  </a:lnTo>
                  <a:lnTo>
                    <a:pt x="1216684" y="26423"/>
                  </a:lnTo>
                  <a:lnTo>
                    <a:pt x="1220360" y="26762"/>
                  </a:lnTo>
                  <a:lnTo>
                    <a:pt x="1224036" y="27101"/>
                  </a:lnTo>
                  <a:lnTo>
                    <a:pt x="1227712" y="27440"/>
                  </a:lnTo>
                  <a:lnTo>
                    <a:pt x="1231388" y="27778"/>
                  </a:lnTo>
                  <a:lnTo>
                    <a:pt x="1235064" y="28116"/>
                  </a:lnTo>
                  <a:lnTo>
                    <a:pt x="1238739" y="28454"/>
                  </a:lnTo>
                  <a:lnTo>
                    <a:pt x="1242415" y="28791"/>
                  </a:lnTo>
                  <a:lnTo>
                    <a:pt x="1246091" y="29127"/>
                  </a:lnTo>
                  <a:lnTo>
                    <a:pt x="1249767" y="29462"/>
                  </a:lnTo>
                  <a:lnTo>
                    <a:pt x="1253442" y="29797"/>
                  </a:lnTo>
                  <a:lnTo>
                    <a:pt x="1257118" y="30131"/>
                  </a:lnTo>
                  <a:lnTo>
                    <a:pt x="1260794" y="30464"/>
                  </a:lnTo>
                  <a:lnTo>
                    <a:pt x="1264470" y="30795"/>
                  </a:lnTo>
                  <a:lnTo>
                    <a:pt x="1268146" y="31126"/>
                  </a:lnTo>
                  <a:lnTo>
                    <a:pt x="1271821" y="31455"/>
                  </a:lnTo>
                  <a:lnTo>
                    <a:pt x="1275497" y="31784"/>
                  </a:lnTo>
                  <a:lnTo>
                    <a:pt x="1279173" y="32110"/>
                  </a:lnTo>
                  <a:lnTo>
                    <a:pt x="1282849" y="32435"/>
                  </a:lnTo>
                  <a:lnTo>
                    <a:pt x="1286524" y="32759"/>
                  </a:lnTo>
                  <a:lnTo>
                    <a:pt x="1290200" y="33082"/>
                  </a:lnTo>
                  <a:lnTo>
                    <a:pt x="1293876" y="33402"/>
                  </a:lnTo>
                  <a:lnTo>
                    <a:pt x="1297552" y="33721"/>
                  </a:lnTo>
                  <a:lnTo>
                    <a:pt x="1301227" y="34038"/>
                  </a:lnTo>
                  <a:lnTo>
                    <a:pt x="1304904" y="34353"/>
                  </a:lnTo>
                  <a:lnTo>
                    <a:pt x="1308579" y="34666"/>
                  </a:lnTo>
                  <a:lnTo>
                    <a:pt x="1312255" y="34977"/>
                  </a:lnTo>
                  <a:lnTo>
                    <a:pt x="1315931" y="35286"/>
                  </a:lnTo>
                  <a:lnTo>
                    <a:pt x="1319607" y="35592"/>
                  </a:lnTo>
                  <a:lnTo>
                    <a:pt x="1323282" y="35896"/>
                  </a:lnTo>
                  <a:lnTo>
                    <a:pt x="1326958" y="36198"/>
                  </a:lnTo>
                  <a:lnTo>
                    <a:pt x="1330634" y="36497"/>
                  </a:lnTo>
                  <a:lnTo>
                    <a:pt x="1334309" y="36793"/>
                  </a:lnTo>
                  <a:lnTo>
                    <a:pt x="1337985" y="37087"/>
                  </a:lnTo>
                  <a:lnTo>
                    <a:pt x="1341661" y="37378"/>
                  </a:lnTo>
                  <a:lnTo>
                    <a:pt x="1345337" y="37666"/>
                  </a:lnTo>
                  <a:lnTo>
                    <a:pt x="1349013" y="37951"/>
                  </a:lnTo>
                  <a:lnTo>
                    <a:pt x="1352689" y="38233"/>
                  </a:lnTo>
                  <a:lnTo>
                    <a:pt x="1356364" y="38512"/>
                  </a:lnTo>
                  <a:lnTo>
                    <a:pt x="1360040" y="38787"/>
                  </a:lnTo>
                  <a:lnTo>
                    <a:pt x="1363716" y="39059"/>
                  </a:lnTo>
                  <a:lnTo>
                    <a:pt x="1367392" y="39328"/>
                  </a:lnTo>
                  <a:lnTo>
                    <a:pt x="1371067" y="39594"/>
                  </a:lnTo>
                  <a:lnTo>
                    <a:pt x="1374743" y="39855"/>
                  </a:lnTo>
                  <a:lnTo>
                    <a:pt x="1378419" y="40113"/>
                  </a:lnTo>
                  <a:lnTo>
                    <a:pt x="1382095" y="40367"/>
                  </a:lnTo>
                  <a:lnTo>
                    <a:pt x="1385771" y="40617"/>
                  </a:lnTo>
                  <a:lnTo>
                    <a:pt x="1389446" y="40863"/>
                  </a:lnTo>
                  <a:lnTo>
                    <a:pt x="1393122" y="41105"/>
                  </a:lnTo>
                  <a:lnTo>
                    <a:pt x="1396798" y="41343"/>
                  </a:lnTo>
                  <a:lnTo>
                    <a:pt x="1400474" y="41577"/>
                  </a:lnTo>
                  <a:lnTo>
                    <a:pt x="1404149" y="41805"/>
                  </a:lnTo>
                  <a:lnTo>
                    <a:pt x="1407825" y="42030"/>
                  </a:lnTo>
                  <a:lnTo>
                    <a:pt x="1411501" y="42250"/>
                  </a:lnTo>
                  <a:lnTo>
                    <a:pt x="1415177" y="42465"/>
                  </a:lnTo>
                  <a:lnTo>
                    <a:pt x="1418853" y="42676"/>
                  </a:lnTo>
                  <a:lnTo>
                    <a:pt x="1422529" y="42881"/>
                  </a:lnTo>
                  <a:lnTo>
                    <a:pt x="1426204" y="43082"/>
                  </a:lnTo>
                  <a:lnTo>
                    <a:pt x="1429880" y="43277"/>
                  </a:lnTo>
                  <a:lnTo>
                    <a:pt x="1433556" y="43467"/>
                  </a:lnTo>
                  <a:lnTo>
                    <a:pt x="1437231" y="43652"/>
                  </a:lnTo>
                  <a:lnTo>
                    <a:pt x="1440907" y="43831"/>
                  </a:lnTo>
                  <a:lnTo>
                    <a:pt x="1444583" y="44005"/>
                  </a:lnTo>
                  <a:lnTo>
                    <a:pt x="1448259" y="44173"/>
                  </a:lnTo>
                  <a:lnTo>
                    <a:pt x="1451935" y="44336"/>
                  </a:lnTo>
                  <a:lnTo>
                    <a:pt x="1455611" y="44492"/>
                  </a:lnTo>
                  <a:lnTo>
                    <a:pt x="1459286" y="44642"/>
                  </a:lnTo>
                  <a:lnTo>
                    <a:pt x="1462962" y="44787"/>
                  </a:lnTo>
                  <a:lnTo>
                    <a:pt x="1466638" y="44925"/>
                  </a:lnTo>
                  <a:lnTo>
                    <a:pt x="1470314" y="45057"/>
                  </a:lnTo>
                </a:path>
              </a:pathLst>
            </a:custGeom>
            <a:solidFill>
              <a:srgbClr xmlns:mc="http://schemas.openxmlformats.org/markup-compatibility/2006" xmlns:a14="http://schemas.microsoft.com/office/drawing/2010/main" val="FF00FF" mc:Ignorable="a14" a14:legacySpreadsheetColorIndex="6">
                <a:alpha val="0"/>
              </a:srgbClr>
            </a:solidFill>
            <a:ln w="19050" cap="flat" cmpd="sng" algn="ctr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rtlCol="0" anchor="t"/>
            <a:lstStyle/>
            <a:p>
              <a:pPr algn="l"/>
              <a:endParaRPr lang="en-AU" sz="1100"/>
            </a:p>
          </xdr:txBody>
        </xdr:sp>
        <xdr:sp macro="" textlink="">
          <xdr:nvSpPr>
            <xdr:cNvPr id="10256" name="Freeform 10255"/>
            <xdr:cNvSpPr/>
          </xdr:nvSpPr>
          <xdr:spPr bwMode="auto">
            <a:xfrm>
              <a:off x="4083974" y="2805979"/>
              <a:ext cx="2940628" cy="541193"/>
            </a:xfrm>
            <a:custGeom>
              <a:avLst/>
              <a:gdLst/>
              <a:ahLst/>
              <a:cxnLst/>
              <a:rect l="0" t="0" r="0" b="0"/>
              <a:pathLst>
                <a:path w="2940628" h="541193">
                  <a:moveTo>
                    <a:pt x="0" y="540889"/>
                  </a:moveTo>
                  <a:lnTo>
                    <a:pt x="7351" y="541093"/>
                  </a:lnTo>
                  <a:lnTo>
                    <a:pt x="14703" y="541192"/>
                  </a:lnTo>
                  <a:lnTo>
                    <a:pt x="22054" y="541188"/>
                  </a:lnTo>
                  <a:lnTo>
                    <a:pt x="29406" y="541081"/>
                  </a:lnTo>
                  <a:lnTo>
                    <a:pt x="36757" y="540873"/>
                  </a:lnTo>
                  <a:lnTo>
                    <a:pt x="44109" y="540566"/>
                  </a:lnTo>
                  <a:lnTo>
                    <a:pt x="51461" y="540161"/>
                  </a:lnTo>
                  <a:lnTo>
                    <a:pt x="58812" y="539660"/>
                  </a:lnTo>
                  <a:lnTo>
                    <a:pt x="66164" y="539064"/>
                  </a:lnTo>
                  <a:lnTo>
                    <a:pt x="73515" y="538376"/>
                  </a:lnTo>
                  <a:lnTo>
                    <a:pt x="80867" y="537596"/>
                  </a:lnTo>
                  <a:lnTo>
                    <a:pt x="88219" y="536726"/>
                  </a:lnTo>
                  <a:lnTo>
                    <a:pt x="95570" y="535768"/>
                  </a:lnTo>
                  <a:lnTo>
                    <a:pt x="102922" y="534723"/>
                  </a:lnTo>
                  <a:lnTo>
                    <a:pt x="110273" y="533592"/>
                  </a:lnTo>
                  <a:lnTo>
                    <a:pt x="117625" y="532378"/>
                  </a:lnTo>
                  <a:lnTo>
                    <a:pt x="124976" y="531081"/>
                  </a:lnTo>
                  <a:lnTo>
                    <a:pt x="132328" y="529703"/>
                  </a:lnTo>
                  <a:lnTo>
                    <a:pt x="139679" y="528247"/>
                  </a:lnTo>
                  <a:lnTo>
                    <a:pt x="147031" y="526713"/>
                  </a:lnTo>
                  <a:lnTo>
                    <a:pt x="154382" y="525102"/>
                  </a:lnTo>
                  <a:lnTo>
                    <a:pt x="161734" y="523417"/>
                  </a:lnTo>
                  <a:lnTo>
                    <a:pt x="169086" y="521659"/>
                  </a:lnTo>
                  <a:lnTo>
                    <a:pt x="176437" y="519830"/>
                  </a:lnTo>
                  <a:lnTo>
                    <a:pt x="183789" y="517931"/>
                  </a:lnTo>
                  <a:lnTo>
                    <a:pt x="191140" y="515962"/>
                  </a:lnTo>
                  <a:lnTo>
                    <a:pt x="198492" y="513928"/>
                  </a:lnTo>
                  <a:lnTo>
                    <a:pt x="205844" y="511828"/>
                  </a:lnTo>
                  <a:lnTo>
                    <a:pt x="213195" y="509664"/>
                  </a:lnTo>
                  <a:lnTo>
                    <a:pt x="220547" y="507438"/>
                  </a:lnTo>
                  <a:lnTo>
                    <a:pt x="227898" y="505151"/>
                  </a:lnTo>
                  <a:lnTo>
                    <a:pt x="235250" y="502805"/>
                  </a:lnTo>
                  <a:lnTo>
                    <a:pt x="242601" y="500401"/>
                  </a:lnTo>
                  <a:lnTo>
                    <a:pt x="249953" y="497942"/>
                  </a:lnTo>
                  <a:lnTo>
                    <a:pt x="257304" y="495427"/>
                  </a:lnTo>
                  <a:lnTo>
                    <a:pt x="264656" y="492860"/>
                  </a:lnTo>
                  <a:lnTo>
                    <a:pt x="272008" y="490241"/>
                  </a:lnTo>
                  <a:lnTo>
                    <a:pt x="279359" y="487572"/>
                  </a:lnTo>
                  <a:lnTo>
                    <a:pt x="286711" y="484855"/>
                  </a:lnTo>
                  <a:lnTo>
                    <a:pt x="294062" y="482091"/>
                  </a:lnTo>
                  <a:lnTo>
                    <a:pt x="301414" y="479282"/>
                  </a:lnTo>
                  <a:lnTo>
                    <a:pt x="308766" y="476429"/>
                  </a:lnTo>
                  <a:lnTo>
                    <a:pt x="316117" y="473533"/>
                  </a:lnTo>
                  <a:lnTo>
                    <a:pt x="323469" y="470597"/>
                  </a:lnTo>
                  <a:lnTo>
                    <a:pt x="330820" y="467622"/>
                  </a:lnTo>
                  <a:lnTo>
                    <a:pt x="338172" y="464609"/>
                  </a:lnTo>
                  <a:lnTo>
                    <a:pt x="345523" y="461560"/>
                  </a:lnTo>
                  <a:lnTo>
                    <a:pt x="352875" y="458477"/>
                  </a:lnTo>
                  <a:lnTo>
                    <a:pt x="360226" y="455360"/>
                  </a:lnTo>
                  <a:lnTo>
                    <a:pt x="367578" y="452212"/>
                  </a:lnTo>
                  <a:lnTo>
                    <a:pt x="374930" y="449034"/>
                  </a:lnTo>
                  <a:lnTo>
                    <a:pt x="382281" y="445828"/>
                  </a:lnTo>
                  <a:lnTo>
                    <a:pt x="389633" y="442595"/>
                  </a:lnTo>
                  <a:lnTo>
                    <a:pt x="396984" y="439336"/>
                  </a:lnTo>
                  <a:lnTo>
                    <a:pt x="404336" y="436054"/>
                  </a:lnTo>
                  <a:lnTo>
                    <a:pt x="411688" y="432749"/>
                  </a:lnTo>
                  <a:lnTo>
                    <a:pt x="419039" y="429424"/>
                  </a:lnTo>
                  <a:lnTo>
                    <a:pt x="426391" y="426080"/>
                  </a:lnTo>
                  <a:lnTo>
                    <a:pt x="433742" y="422718"/>
                  </a:lnTo>
                  <a:lnTo>
                    <a:pt x="441094" y="419340"/>
                  </a:lnTo>
                  <a:lnTo>
                    <a:pt x="448445" y="415947"/>
                  </a:lnTo>
                  <a:lnTo>
                    <a:pt x="455797" y="412542"/>
                  </a:lnTo>
                  <a:lnTo>
                    <a:pt x="463148" y="409125"/>
                  </a:lnTo>
                  <a:lnTo>
                    <a:pt x="470500" y="405698"/>
                  </a:lnTo>
                  <a:lnTo>
                    <a:pt x="477851" y="402262"/>
                  </a:lnTo>
                  <a:lnTo>
                    <a:pt x="485203" y="398820"/>
                  </a:lnTo>
                  <a:lnTo>
                    <a:pt x="492555" y="395373"/>
                  </a:lnTo>
                  <a:lnTo>
                    <a:pt x="499906" y="391922"/>
                  </a:lnTo>
                  <a:lnTo>
                    <a:pt x="507258" y="388468"/>
                  </a:lnTo>
                  <a:lnTo>
                    <a:pt x="514609" y="385014"/>
                  </a:lnTo>
                  <a:lnTo>
                    <a:pt x="521961" y="381561"/>
                  </a:lnTo>
                  <a:lnTo>
                    <a:pt x="529313" y="378110"/>
                  </a:lnTo>
                  <a:lnTo>
                    <a:pt x="536664" y="374663"/>
                  </a:lnTo>
                  <a:lnTo>
                    <a:pt x="544016" y="371221"/>
                  </a:lnTo>
                  <a:lnTo>
                    <a:pt x="551367" y="367787"/>
                  </a:lnTo>
                  <a:lnTo>
                    <a:pt x="558719" y="364361"/>
                  </a:lnTo>
                  <a:lnTo>
                    <a:pt x="566070" y="360945"/>
                  </a:lnTo>
                  <a:lnTo>
                    <a:pt x="573422" y="357541"/>
                  </a:lnTo>
                  <a:lnTo>
                    <a:pt x="580773" y="354150"/>
                  </a:lnTo>
                  <a:lnTo>
                    <a:pt x="588125" y="350773"/>
                  </a:lnTo>
                  <a:lnTo>
                    <a:pt x="595477" y="347413"/>
                  </a:lnTo>
                  <a:lnTo>
                    <a:pt x="602828" y="344069"/>
                  </a:lnTo>
                  <a:lnTo>
                    <a:pt x="610180" y="340741"/>
                  </a:lnTo>
                  <a:lnTo>
                    <a:pt x="617531" y="337430"/>
                  </a:lnTo>
                  <a:lnTo>
                    <a:pt x="624883" y="334134"/>
                  </a:lnTo>
                  <a:lnTo>
                    <a:pt x="632235" y="330855"/>
                  </a:lnTo>
                  <a:lnTo>
                    <a:pt x="639586" y="327592"/>
                  </a:lnTo>
                  <a:lnTo>
                    <a:pt x="646938" y="324346"/>
                  </a:lnTo>
                  <a:lnTo>
                    <a:pt x="654289" y="321115"/>
                  </a:lnTo>
                  <a:lnTo>
                    <a:pt x="661641" y="317901"/>
                  </a:lnTo>
                  <a:lnTo>
                    <a:pt x="668992" y="314703"/>
                  </a:lnTo>
                  <a:lnTo>
                    <a:pt x="676344" y="311522"/>
                  </a:lnTo>
                  <a:lnTo>
                    <a:pt x="683695" y="308356"/>
                  </a:lnTo>
                  <a:lnTo>
                    <a:pt x="691047" y="305207"/>
                  </a:lnTo>
                  <a:lnTo>
                    <a:pt x="698398" y="302074"/>
                  </a:lnTo>
                  <a:lnTo>
                    <a:pt x="705750" y="298957"/>
                  </a:lnTo>
                  <a:lnTo>
                    <a:pt x="713102" y="295857"/>
                  </a:lnTo>
                  <a:lnTo>
                    <a:pt x="720453" y="292772"/>
                  </a:lnTo>
                  <a:lnTo>
                    <a:pt x="727805" y="289704"/>
                  </a:lnTo>
                  <a:lnTo>
                    <a:pt x="735156" y="286653"/>
                  </a:lnTo>
                  <a:lnTo>
                    <a:pt x="742508" y="283617"/>
                  </a:lnTo>
                  <a:lnTo>
                    <a:pt x="749860" y="280598"/>
                  </a:lnTo>
                  <a:lnTo>
                    <a:pt x="757211" y="277594"/>
                  </a:lnTo>
                  <a:lnTo>
                    <a:pt x="764563" y="274608"/>
                  </a:lnTo>
                  <a:lnTo>
                    <a:pt x="771914" y="271637"/>
                  </a:lnTo>
                  <a:lnTo>
                    <a:pt x="779266" y="268682"/>
                  </a:lnTo>
                  <a:lnTo>
                    <a:pt x="786617" y="265744"/>
                  </a:lnTo>
                  <a:lnTo>
                    <a:pt x="793969" y="262822"/>
                  </a:lnTo>
                  <a:lnTo>
                    <a:pt x="801320" y="259916"/>
                  </a:lnTo>
                  <a:lnTo>
                    <a:pt x="808672" y="257027"/>
                  </a:lnTo>
                  <a:lnTo>
                    <a:pt x="816024" y="254153"/>
                  </a:lnTo>
                  <a:lnTo>
                    <a:pt x="823375" y="251296"/>
                  </a:lnTo>
                  <a:lnTo>
                    <a:pt x="830727" y="248455"/>
                  </a:lnTo>
                  <a:lnTo>
                    <a:pt x="838078" y="245631"/>
                  </a:lnTo>
                  <a:lnTo>
                    <a:pt x="845430" y="242822"/>
                  </a:lnTo>
                  <a:lnTo>
                    <a:pt x="852782" y="240030"/>
                  </a:lnTo>
                  <a:lnTo>
                    <a:pt x="860133" y="237254"/>
                  </a:lnTo>
                  <a:lnTo>
                    <a:pt x="867485" y="234494"/>
                  </a:lnTo>
                  <a:lnTo>
                    <a:pt x="874836" y="231750"/>
                  </a:lnTo>
                  <a:lnTo>
                    <a:pt x="882188" y="229023"/>
                  </a:lnTo>
                  <a:lnTo>
                    <a:pt x="889539" y="226311"/>
                  </a:lnTo>
                  <a:lnTo>
                    <a:pt x="896891" y="223616"/>
                  </a:lnTo>
                  <a:lnTo>
                    <a:pt x="904242" y="220937"/>
                  </a:lnTo>
                  <a:lnTo>
                    <a:pt x="911594" y="218275"/>
                  </a:lnTo>
                  <a:lnTo>
                    <a:pt x="918946" y="215628"/>
                  </a:lnTo>
                  <a:lnTo>
                    <a:pt x="926297" y="212998"/>
                  </a:lnTo>
                  <a:lnTo>
                    <a:pt x="933649" y="210384"/>
                  </a:lnTo>
                  <a:lnTo>
                    <a:pt x="941000" y="207786"/>
                  </a:lnTo>
                  <a:lnTo>
                    <a:pt x="948352" y="205204"/>
                  </a:lnTo>
                  <a:lnTo>
                    <a:pt x="955704" y="202639"/>
                  </a:lnTo>
                  <a:lnTo>
                    <a:pt x="963055" y="200090"/>
                  </a:lnTo>
                  <a:lnTo>
                    <a:pt x="970407" y="197557"/>
                  </a:lnTo>
                  <a:lnTo>
                    <a:pt x="977758" y="195040"/>
                  </a:lnTo>
                  <a:lnTo>
                    <a:pt x="985110" y="192539"/>
                  </a:lnTo>
                  <a:lnTo>
                    <a:pt x="992461" y="190055"/>
                  </a:lnTo>
                  <a:lnTo>
                    <a:pt x="999813" y="187586"/>
                  </a:lnTo>
                  <a:lnTo>
                    <a:pt x="1007164" y="185134"/>
                  </a:lnTo>
                  <a:lnTo>
                    <a:pt x="1014516" y="182698"/>
                  </a:lnTo>
                  <a:lnTo>
                    <a:pt x="1021867" y="180278"/>
                  </a:lnTo>
                  <a:lnTo>
                    <a:pt x="1029219" y="177875"/>
                  </a:lnTo>
                  <a:lnTo>
                    <a:pt x="1036571" y="175487"/>
                  </a:lnTo>
                  <a:lnTo>
                    <a:pt x="1043922" y="173116"/>
                  </a:lnTo>
                  <a:lnTo>
                    <a:pt x="1051274" y="170761"/>
                  </a:lnTo>
                  <a:lnTo>
                    <a:pt x="1058625" y="168422"/>
                  </a:lnTo>
                  <a:lnTo>
                    <a:pt x="1065977" y="166100"/>
                  </a:lnTo>
                  <a:lnTo>
                    <a:pt x="1073329" y="163793"/>
                  </a:lnTo>
                  <a:lnTo>
                    <a:pt x="1080680" y="161503"/>
                  </a:lnTo>
                  <a:lnTo>
                    <a:pt x="1088032" y="159229"/>
                  </a:lnTo>
                  <a:lnTo>
                    <a:pt x="1095383" y="156971"/>
                  </a:lnTo>
                  <a:lnTo>
                    <a:pt x="1102735" y="154729"/>
                  </a:lnTo>
                  <a:lnTo>
                    <a:pt x="1110086" y="152504"/>
                  </a:lnTo>
                  <a:lnTo>
                    <a:pt x="1117438" y="150294"/>
                  </a:lnTo>
                  <a:lnTo>
                    <a:pt x="1124789" y="148101"/>
                  </a:lnTo>
                  <a:lnTo>
                    <a:pt x="1132141" y="145924"/>
                  </a:lnTo>
                  <a:lnTo>
                    <a:pt x="1139493" y="143763"/>
                  </a:lnTo>
                  <a:lnTo>
                    <a:pt x="1146844" y="141618"/>
                  </a:lnTo>
                  <a:lnTo>
                    <a:pt x="1154196" y="139489"/>
                  </a:lnTo>
                  <a:lnTo>
                    <a:pt x="1161547" y="137377"/>
                  </a:lnTo>
                  <a:lnTo>
                    <a:pt x="1168899" y="135281"/>
                  </a:lnTo>
                  <a:lnTo>
                    <a:pt x="1176251" y="133201"/>
                  </a:lnTo>
                  <a:lnTo>
                    <a:pt x="1183602" y="131137"/>
                  </a:lnTo>
                  <a:lnTo>
                    <a:pt x="1190954" y="129089"/>
                  </a:lnTo>
                  <a:lnTo>
                    <a:pt x="1198305" y="127057"/>
                  </a:lnTo>
                  <a:lnTo>
                    <a:pt x="1205657" y="125042"/>
                  </a:lnTo>
                  <a:lnTo>
                    <a:pt x="1213008" y="123043"/>
                  </a:lnTo>
                  <a:lnTo>
                    <a:pt x="1220360" y="121059"/>
                  </a:lnTo>
                  <a:lnTo>
                    <a:pt x="1227711" y="119092"/>
                  </a:lnTo>
                  <a:lnTo>
                    <a:pt x="1235063" y="117142"/>
                  </a:lnTo>
                  <a:lnTo>
                    <a:pt x="1242415" y="115207"/>
                  </a:lnTo>
                  <a:lnTo>
                    <a:pt x="1249766" y="113289"/>
                  </a:lnTo>
                  <a:lnTo>
                    <a:pt x="1257118" y="111386"/>
                  </a:lnTo>
                  <a:lnTo>
                    <a:pt x="1264469" y="109500"/>
                  </a:lnTo>
                  <a:lnTo>
                    <a:pt x="1271821" y="107630"/>
                  </a:lnTo>
                  <a:lnTo>
                    <a:pt x="1279173" y="105776"/>
                  </a:lnTo>
                  <a:lnTo>
                    <a:pt x="1286524" y="103938"/>
                  </a:lnTo>
                  <a:lnTo>
                    <a:pt x="1293876" y="102116"/>
                  </a:lnTo>
                  <a:lnTo>
                    <a:pt x="1301227" y="100311"/>
                  </a:lnTo>
                  <a:lnTo>
                    <a:pt x="1308579" y="98522"/>
                  </a:lnTo>
                  <a:lnTo>
                    <a:pt x="1315931" y="96748"/>
                  </a:lnTo>
                  <a:lnTo>
                    <a:pt x="1323282" y="94991"/>
                  </a:lnTo>
                  <a:lnTo>
                    <a:pt x="1330633" y="93250"/>
                  </a:lnTo>
                  <a:lnTo>
                    <a:pt x="1337985" y="91526"/>
                  </a:lnTo>
                  <a:lnTo>
                    <a:pt x="1345336" y="89817"/>
                  </a:lnTo>
                  <a:lnTo>
                    <a:pt x="1352688" y="88125"/>
                  </a:lnTo>
                  <a:lnTo>
                    <a:pt x="1360040" y="86448"/>
                  </a:lnTo>
                  <a:lnTo>
                    <a:pt x="1367391" y="84788"/>
                  </a:lnTo>
                  <a:lnTo>
                    <a:pt x="1374743" y="83144"/>
                  </a:lnTo>
                  <a:lnTo>
                    <a:pt x="1382094" y="81516"/>
                  </a:lnTo>
                  <a:lnTo>
                    <a:pt x="1389446" y="79904"/>
                  </a:lnTo>
                  <a:lnTo>
                    <a:pt x="1396798" y="78308"/>
                  </a:lnTo>
                  <a:lnTo>
                    <a:pt x="1404149" y="76729"/>
                  </a:lnTo>
                  <a:lnTo>
                    <a:pt x="1411501" y="75165"/>
                  </a:lnTo>
                  <a:lnTo>
                    <a:pt x="1418852" y="73618"/>
                  </a:lnTo>
                  <a:lnTo>
                    <a:pt x="1426204" y="72087"/>
                  </a:lnTo>
                  <a:lnTo>
                    <a:pt x="1433555" y="70572"/>
                  </a:lnTo>
                  <a:lnTo>
                    <a:pt x="1440907" y="69073"/>
                  </a:lnTo>
                  <a:lnTo>
                    <a:pt x="1448258" y="67590"/>
                  </a:lnTo>
                  <a:lnTo>
                    <a:pt x="1455610" y="66123"/>
                  </a:lnTo>
                  <a:lnTo>
                    <a:pt x="1462962" y="64673"/>
                  </a:lnTo>
                  <a:lnTo>
                    <a:pt x="1470313" y="63238"/>
                  </a:lnTo>
                  <a:lnTo>
                    <a:pt x="1477665" y="61820"/>
                  </a:lnTo>
                  <a:lnTo>
                    <a:pt x="1485016" y="60418"/>
                  </a:lnTo>
                  <a:lnTo>
                    <a:pt x="1492368" y="59032"/>
                  </a:lnTo>
                  <a:lnTo>
                    <a:pt x="1499720" y="57662"/>
                  </a:lnTo>
                  <a:lnTo>
                    <a:pt x="1507071" y="56308"/>
                  </a:lnTo>
                  <a:lnTo>
                    <a:pt x="1514423" y="54970"/>
                  </a:lnTo>
                  <a:lnTo>
                    <a:pt x="1521774" y="53648"/>
                  </a:lnTo>
                  <a:lnTo>
                    <a:pt x="1529126" y="52343"/>
                  </a:lnTo>
                  <a:lnTo>
                    <a:pt x="1536478" y="51053"/>
                  </a:lnTo>
                  <a:lnTo>
                    <a:pt x="1543829" y="49780"/>
                  </a:lnTo>
                  <a:lnTo>
                    <a:pt x="1551180" y="48523"/>
                  </a:lnTo>
                  <a:lnTo>
                    <a:pt x="1558532" y="47282"/>
                  </a:lnTo>
                  <a:lnTo>
                    <a:pt x="1565884" y="46057"/>
                  </a:lnTo>
                  <a:lnTo>
                    <a:pt x="1573235" y="44848"/>
                  </a:lnTo>
                  <a:lnTo>
                    <a:pt x="1580587" y="43655"/>
                  </a:lnTo>
                  <a:lnTo>
                    <a:pt x="1587938" y="42478"/>
                  </a:lnTo>
                  <a:lnTo>
                    <a:pt x="1595290" y="41318"/>
                  </a:lnTo>
                  <a:lnTo>
                    <a:pt x="1602642" y="40173"/>
                  </a:lnTo>
                  <a:lnTo>
                    <a:pt x="1609993" y="39045"/>
                  </a:lnTo>
                  <a:lnTo>
                    <a:pt x="1617345" y="37932"/>
                  </a:lnTo>
                  <a:lnTo>
                    <a:pt x="1624696" y="36836"/>
                  </a:lnTo>
                  <a:lnTo>
                    <a:pt x="1632048" y="35756"/>
                  </a:lnTo>
                  <a:lnTo>
                    <a:pt x="1639400" y="34692"/>
                  </a:lnTo>
                  <a:lnTo>
                    <a:pt x="1646751" y="33644"/>
                  </a:lnTo>
                  <a:lnTo>
                    <a:pt x="1654102" y="32612"/>
                  </a:lnTo>
                  <a:lnTo>
                    <a:pt x="1661454" y="31597"/>
                  </a:lnTo>
                  <a:lnTo>
                    <a:pt x="1668805" y="30597"/>
                  </a:lnTo>
                  <a:lnTo>
                    <a:pt x="1676157" y="29614"/>
                  </a:lnTo>
                  <a:lnTo>
                    <a:pt x="1683509" y="28646"/>
                  </a:lnTo>
                  <a:lnTo>
                    <a:pt x="1690860" y="27695"/>
                  </a:lnTo>
                  <a:lnTo>
                    <a:pt x="1698212" y="26760"/>
                  </a:lnTo>
                  <a:lnTo>
                    <a:pt x="1705563" y="25840"/>
                  </a:lnTo>
                  <a:lnTo>
                    <a:pt x="1712915" y="24937"/>
                  </a:lnTo>
                  <a:lnTo>
                    <a:pt x="1720267" y="24050"/>
                  </a:lnTo>
                  <a:lnTo>
                    <a:pt x="1727618" y="23179"/>
                  </a:lnTo>
                  <a:lnTo>
                    <a:pt x="1734970" y="22324"/>
                  </a:lnTo>
                  <a:lnTo>
                    <a:pt x="1742321" y="21486"/>
                  </a:lnTo>
                  <a:lnTo>
                    <a:pt x="1749673" y="20663"/>
                  </a:lnTo>
                  <a:lnTo>
                    <a:pt x="1757025" y="19856"/>
                  </a:lnTo>
                  <a:lnTo>
                    <a:pt x="1764376" y="19066"/>
                  </a:lnTo>
                  <a:lnTo>
                    <a:pt x="1771727" y="18291"/>
                  </a:lnTo>
                  <a:lnTo>
                    <a:pt x="1779079" y="17533"/>
                  </a:lnTo>
                  <a:lnTo>
                    <a:pt x="1786431" y="16791"/>
                  </a:lnTo>
                  <a:lnTo>
                    <a:pt x="1793782" y="16064"/>
                  </a:lnTo>
                  <a:lnTo>
                    <a:pt x="1801134" y="15354"/>
                  </a:lnTo>
                  <a:lnTo>
                    <a:pt x="1808485" y="14660"/>
                  </a:lnTo>
                  <a:lnTo>
                    <a:pt x="1815837" y="13982"/>
                  </a:lnTo>
                  <a:lnTo>
                    <a:pt x="1823189" y="13320"/>
                  </a:lnTo>
                  <a:lnTo>
                    <a:pt x="1830540" y="12674"/>
                  </a:lnTo>
                  <a:lnTo>
                    <a:pt x="1837892" y="12044"/>
                  </a:lnTo>
                  <a:lnTo>
                    <a:pt x="1845243" y="11430"/>
                  </a:lnTo>
                  <a:lnTo>
                    <a:pt x="1852595" y="10833"/>
                  </a:lnTo>
                  <a:lnTo>
                    <a:pt x="1859947" y="10251"/>
                  </a:lnTo>
                  <a:lnTo>
                    <a:pt x="1867298" y="9685"/>
                  </a:lnTo>
                  <a:lnTo>
                    <a:pt x="1874650" y="9136"/>
                  </a:lnTo>
                  <a:lnTo>
                    <a:pt x="1882001" y="8602"/>
                  </a:lnTo>
                  <a:lnTo>
                    <a:pt x="1889352" y="8085"/>
                  </a:lnTo>
                  <a:lnTo>
                    <a:pt x="1896704" y="7584"/>
                  </a:lnTo>
                  <a:lnTo>
                    <a:pt x="1904056" y="7098"/>
                  </a:lnTo>
                  <a:lnTo>
                    <a:pt x="1911407" y="6629"/>
                  </a:lnTo>
                  <a:lnTo>
                    <a:pt x="1918759" y="6176"/>
                  </a:lnTo>
                  <a:lnTo>
                    <a:pt x="1926110" y="5739"/>
                  </a:lnTo>
                  <a:lnTo>
                    <a:pt x="1933462" y="5318"/>
                  </a:lnTo>
                  <a:lnTo>
                    <a:pt x="1940814" y="4912"/>
                  </a:lnTo>
                  <a:lnTo>
                    <a:pt x="1948165" y="4523"/>
                  </a:lnTo>
                  <a:lnTo>
                    <a:pt x="1955517" y="4151"/>
                  </a:lnTo>
                  <a:lnTo>
                    <a:pt x="1962868" y="3794"/>
                  </a:lnTo>
                  <a:lnTo>
                    <a:pt x="1970220" y="3453"/>
                  </a:lnTo>
                  <a:lnTo>
                    <a:pt x="1977572" y="3128"/>
                  </a:lnTo>
                  <a:lnTo>
                    <a:pt x="1984923" y="2819"/>
                  </a:lnTo>
                  <a:lnTo>
                    <a:pt x="1992274" y="2527"/>
                  </a:lnTo>
                  <a:lnTo>
                    <a:pt x="1999626" y="2250"/>
                  </a:lnTo>
                  <a:lnTo>
                    <a:pt x="2006978" y="1989"/>
                  </a:lnTo>
                  <a:lnTo>
                    <a:pt x="2014329" y="1745"/>
                  </a:lnTo>
                  <a:lnTo>
                    <a:pt x="2021681" y="1516"/>
                  </a:lnTo>
                  <a:lnTo>
                    <a:pt x="2029032" y="1304"/>
                  </a:lnTo>
                  <a:lnTo>
                    <a:pt x="2036384" y="1107"/>
                  </a:lnTo>
                  <a:lnTo>
                    <a:pt x="2043736" y="927"/>
                  </a:lnTo>
                  <a:lnTo>
                    <a:pt x="2051087" y="762"/>
                  </a:lnTo>
                  <a:lnTo>
                    <a:pt x="2058439" y="614"/>
                  </a:lnTo>
                  <a:lnTo>
                    <a:pt x="2065790" y="481"/>
                  </a:lnTo>
                  <a:lnTo>
                    <a:pt x="2073142" y="365"/>
                  </a:lnTo>
                  <a:lnTo>
                    <a:pt x="2080494" y="265"/>
                  </a:lnTo>
                  <a:lnTo>
                    <a:pt x="2087845" y="181"/>
                  </a:lnTo>
                  <a:lnTo>
                    <a:pt x="2095197" y="112"/>
                  </a:lnTo>
                  <a:lnTo>
                    <a:pt x="2102548" y="60"/>
                  </a:lnTo>
                  <a:lnTo>
                    <a:pt x="2109900" y="24"/>
                  </a:lnTo>
                  <a:lnTo>
                    <a:pt x="2117251" y="4"/>
                  </a:lnTo>
                  <a:lnTo>
                    <a:pt x="2124603" y="0"/>
                  </a:lnTo>
                  <a:lnTo>
                    <a:pt x="2131954" y="11"/>
                  </a:lnTo>
                  <a:lnTo>
                    <a:pt x="2139306" y="39"/>
                  </a:lnTo>
                  <a:lnTo>
                    <a:pt x="2146658" y="83"/>
                  </a:lnTo>
                  <a:lnTo>
                    <a:pt x="2154009" y="143"/>
                  </a:lnTo>
                  <a:lnTo>
                    <a:pt x="2161361" y="219"/>
                  </a:lnTo>
                  <a:lnTo>
                    <a:pt x="2168712" y="311"/>
                  </a:lnTo>
                  <a:lnTo>
                    <a:pt x="2176064" y="419"/>
                  </a:lnTo>
                  <a:lnTo>
                    <a:pt x="2183416" y="543"/>
                  </a:lnTo>
                  <a:lnTo>
                    <a:pt x="2190767" y="683"/>
                  </a:lnTo>
                  <a:lnTo>
                    <a:pt x="2198119" y="839"/>
                  </a:lnTo>
                  <a:lnTo>
                    <a:pt x="2205470" y="1011"/>
                  </a:lnTo>
                  <a:lnTo>
                    <a:pt x="2212821" y="1199"/>
                  </a:lnTo>
                  <a:lnTo>
                    <a:pt x="2220173" y="1403"/>
                  </a:lnTo>
                  <a:lnTo>
                    <a:pt x="2227525" y="1623"/>
                  </a:lnTo>
                  <a:lnTo>
                    <a:pt x="2234876" y="1859"/>
                  </a:lnTo>
                  <a:lnTo>
                    <a:pt x="2242228" y="2112"/>
                  </a:lnTo>
                  <a:lnTo>
                    <a:pt x="2249579" y="2380"/>
                  </a:lnTo>
                  <a:lnTo>
                    <a:pt x="2256931" y="2664"/>
                  </a:lnTo>
                  <a:lnTo>
                    <a:pt x="2264283" y="2964"/>
                  </a:lnTo>
                  <a:lnTo>
                    <a:pt x="2271634" y="3280"/>
                  </a:lnTo>
                  <a:lnTo>
                    <a:pt x="2278986" y="3612"/>
                  </a:lnTo>
                  <a:lnTo>
                    <a:pt x="2286337" y="3960"/>
                  </a:lnTo>
                  <a:lnTo>
                    <a:pt x="2293689" y="4324"/>
                  </a:lnTo>
                  <a:lnTo>
                    <a:pt x="2301041" y="4704"/>
                  </a:lnTo>
                  <a:lnTo>
                    <a:pt x="2308392" y="5100"/>
                  </a:lnTo>
                  <a:lnTo>
                    <a:pt x="2315744" y="5513"/>
                  </a:lnTo>
                  <a:lnTo>
                    <a:pt x="2323095" y="5941"/>
                  </a:lnTo>
                  <a:lnTo>
                    <a:pt x="2330447" y="6385"/>
                  </a:lnTo>
                  <a:lnTo>
                    <a:pt x="2337798" y="6845"/>
                  </a:lnTo>
                  <a:lnTo>
                    <a:pt x="2345150" y="7321"/>
                  </a:lnTo>
                  <a:lnTo>
                    <a:pt x="2352501" y="7813"/>
                  </a:lnTo>
                  <a:lnTo>
                    <a:pt x="2359853" y="8321"/>
                  </a:lnTo>
                  <a:lnTo>
                    <a:pt x="2367205" y="8845"/>
                  </a:lnTo>
                  <a:lnTo>
                    <a:pt x="2374556" y="9385"/>
                  </a:lnTo>
                  <a:lnTo>
                    <a:pt x="2381908" y="9941"/>
                  </a:lnTo>
                  <a:lnTo>
                    <a:pt x="2389259" y="10513"/>
                  </a:lnTo>
                  <a:lnTo>
                    <a:pt x="2396611" y="11101"/>
                  </a:lnTo>
                  <a:lnTo>
                    <a:pt x="2403963" y="11705"/>
                  </a:lnTo>
                  <a:lnTo>
                    <a:pt x="2411314" y="12325"/>
                  </a:lnTo>
                  <a:lnTo>
                    <a:pt x="2418666" y="12961"/>
                  </a:lnTo>
                  <a:lnTo>
                    <a:pt x="2426017" y="13612"/>
                  </a:lnTo>
                  <a:lnTo>
                    <a:pt x="2433368" y="14280"/>
                  </a:lnTo>
                  <a:lnTo>
                    <a:pt x="2440720" y="14964"/>
                  </a:lnTo>
                  <a:lnTo>
                    <a:pt x="2448071" y="15664"/>
                  </a:lnTo>
                  <a:lnTo>
                    <a:pt x="2455424" y="16380"/>
                  </a:lnTo>
                  <a:lnTo>
                    <a:pt x="2462775" y="17111"/>
                  </a:lnTo>
                  <a:lnTo>
                    <a:pt x="2470127" y="17859"/>
                  </a:lnTo>
                  <a:lnTo>
                    <a:pt x="2477478" y="18623"/>
                  </a:lnTo>
                  <a:lnTo>
                    <a:pt x="2484830" y="19403"/>
                  </a:lnTo>
                  <a:lnTo>
                    <a:pt x="2492181" y="20198"/>
                  </a:lnTo>
                  <a:lnTo>
                    <a:pt x="2499533" y="21010"/>
                  </a:lnTo>
                  <a:lnTo>
                    <a:pt x="2506884" y="21838"/>
                  </a:lnTo>
                  <a:lnTo>
                    <a:pt x="2514236" y="22681"/>
                  </a:lnTo>
                  <a:lnTo>
                    <a:pt x="2521587" y="23541"/>
                  </a:lnTo>
                  <a:lnTo>
                    <a:pt x="2528939" y="24416"/>
                  </a:lnTo>
                  <a:lnTo>
                    <a:pt x="2536291" y="25307"/>
                  </a:lnTo>
                  <a:lnTo>
                    <a:pt x="2543642" y="26215"/>
                  </a:lnTo>
                  <a:lnTo>
                    <a:pt x="2550994" y="27138"/>
                  </a:lnTo>
                  <a:lnTo>
                    <a:pt x="2558345" y="28077"/>
                  </a:lnTo>
                  <a:lnTo>
                    <a:pt x="2565697" y="29033"/>
                  </a:lnTo>
                  <a:lnTo>
                    <a:pt x="2573048" y="30004"/>
                  </a:lnTo>
                  <a:lnTo>
                    <a:pt x="2580400" y="30991"/>
                  </a:lnTo>
                  <a:lnTo>
                    <a:pt x="2587751" y="31994"/>
                  </a:lnTo>
                  <a:lnTo>
                    <a:pt x="2595104" y="33013"/>
                  </a:lnTo>
                  <a:lnTo>
                    <a:pt x="2602455" y="34048"/>
                  </a:lnTo>
                  <a:lnTo>
                    <a:pt x="2609807" y="35100"/>
                  </a:lnTo>
                  <a:lnTo>
                    <a:pt x="2617158" y="36166"/>
                  </a:lnTo>
                  <a:lnTo>
                    <a:pt x="2624510" y="37249"/>
                  </a:lnTo>
                  <a:lnTo>
                    <a:pt x="2631861" y="38348"/>
                  </a:lnTo>
                  <a:lnTo>
                    <a:pt x="2639213" y="39463"/>
                  </a:lnTo>
                  <a:lnTo>
                    <a:pt x="2646564" y="40594"/>
                  </a:lnTo>
                  <a:lnTo>
                    <a:pt x="2653916" y="41740"/>
                  </a:lnTo>
                  <a:lnTo>
                    <a:pt x="2661267" y="42903"/>
                  </a:lnTo>
                  <a:lnTo>
                    <a:pt x="2668619" y="44082"/>
                  </a:lnTo>
                  <a:lnTo>
                    <a:pt x="2675971" y="45276"/>
                  </a:lnTo>
                  <a:lnTo>
                    <a:pt x="2683322" y="46486"/>
                  </a:lnTo>
                  <a:lnTo>
                    <a:pt x="2690674" y="47713"/>
                  </a:lnTo>
                  <a:lnTo>
                    <a:pt x="2698025" y="48955"/>
                  </a:lnTo>
                  <a:lnTo>
                    <a:pt x="2705377" y="50214"/>
                  </a:lnTo>
                  <a:lnTo>
                    <a:pt x="2712728" y="51488"/>
                  </a:lnTo>
                  <a:lnTo>
                    <a:pt x="2720080" y="52778"/>
                  </a:lnTo>
                  <a:lnTo>
                    <a:pt x="2727431" y="54084"/>
                  </a:lnTo>
                  <a:lnTo>
                    <a:pt x="2734783" y="55406"/>
                  </a:lnTo>
                  <a:lnTo>
                    <a:pt x="2742135" y="56744"/>
                  </a:lnTo>
                  <a:lnTo>
                    <a:pt x="2749486" y="58098"/>
                  </a:lnTo>
                  <a:lnTo>
                    <a:pt x="2756838" y="59468"/>
                  </a:lnTo>
                  <a:lnTo>
                    <a:pt x="2764189" y="60853"/>
                  </a:lnTo>
                  <a:lnTo>
                    <a:pt x="2771541" y="62255"/>
                  </a:lnTo>
                  <a:lnTo>
                    <a:pt x="2778892" y="63673"/>
                  </a:lnTo>
                  <a:lnTo>
                    <a:pt x="2786244" y="65106"/>
                  </a:lnTo>
                  <a:lnTo>
                    <a:pt x="2793595" y="66556"/>
                  </a:lnTo>
                  <a:lnTo>
                    <a:pt x="2800947" y="68021"/>
                  </a:lnTo>
                  <a:lnTo>
                    <a:pt x="2808298" y="69502"/>
                  </a:lnTo>
                  <a:lnTo>
                    <a:pt x="2815651" y="70999"/>
                  </a:lnTo>
                  <a:lnTo>
                    <a:pt x="2823002" y="72512"/>
                  </a:lnTo>
                  <a:lnTo>
                    <a:pt x="2830354" y="74042"/>
                  </a:lnTo>
                  <a:lnTo>
                    <a:pt x="2837705" y="75586"/>
                  </a:lnTo>
                  <a:lnTo>
                    <a:pt x="2845057" y="77147"/>
                  </a:lnTo>
                  <a:lnTo>
                    <a:pt x="2852408" y="78724"/>
                  </a:lnTo>
                  <a:lnTo>
                    <a:pt x="2859760" y="80317"/>
                  </a:lnTo>
                  <a:lnTo>
                    <a:pt x="2867111" y="81925"/>
                  </a:lnTo>
                  <a:lnTo>
                    <a:pt x="2874463" y="83550"/>
                  </a:lnTo>
                  <a:lnTo>
                    <a:pt x="2881814" y="85190"/>
                  </a:lnTo>
                  <a:lnTo>
                    <a:pt x="2889166" y="86847"/>
                  </a:lnTo>
                  <a:lnTo>
                    <a:pt x="2896518" y="88519"/>
                  </a:lnTo>
                  <a:lnTo>
                    <a:pt x="2903869" y="90207"/>
                  </a:lnTo>
                  <a:lnTo>
                    <a:pt x="2911221" y="91911"/>
                  </a:lnTo>
                  <a:lnTo>
                    <a:pt x="2918572" y="93631"/>
                  </a:lnTo>
                  <a:lnTo>
                    <a:pt x="2925924" y="95367"/>
                  </a:lnTo>
                  <a:lnTo>
                    <a:pt x="2933275" y="97119"/>
                  </a:lnTo>
                  <a:lnTo>
                    <a:pt x="2940627" y="98887"/>
                  </a:lnTo>
                </a:path>
              </a:pathLst>
            </a:custGeom>
            <a:solidFill>
              <a:srgbClr xmlns:mc="http://schemas.openxmlformats.org/markup-compatibility/2006" xmlns:a14="http://schemas.microsoft.com/office/drawing/2010/main" val="FF00FF" mc:Ignorable="a14" a14:legacySpreadsheetColorIndex="6">
                <a:alpha val="0"/>
              </a:srgbClr>
            </a:solidFill>
            <a:ln w="19050" cap="flat" cmpd="sng" algn="ctr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rtlCol="0" anchor="t"/>
            <a:lstStyle/>
            <a:p>
              <a:pPr algn="l"/>
              <a:endParaRPr lang="en-AU" sz="1100"/>
            </a:p>
          </xdr:txBody>
        </xdr:sp>
        <xdr:sp macro="" textlink="">
          <xdr:nvSpPr>
            <xdr:cNvPr id="10257" name="Freeform 10256"/>
            <xdr:cNvSpPr/>
          </xdr:nvSpPr>
          <xdr:spPr bwMode="auto">
            <a:xfrm>
              <a:off x="7024601" y="2904866"/>
              <a:ext cx="2058440" cy="442003"/>
            </a:xfrm>
            <a:custGeom>
              <a:avLst/>
              <a:gdLst/>
              <a:ahLst/>
              <a:cxnLst/>
              <a:rect l="0" t="0" r="0" b="0"/>
              <a:pathLst>
                <a:path w="2058440" h="442003">
                  <a:moveTo>
                    <a:pt x="0" y="0"/>
                  </a:moveTo>
                  <a:lnTo>
                    <a:pt x="5146" y="1244"/>
                  </a:lnTo>
                  <a:lnTo>
                    <a:pt x="10292" y="2491"/>
                  </a:lnTo>
                  <a:lnTo>
                    <a:pt x="15438" y="3740"/>
                  </a:lnTo>
                  <a:lnTo>
                    <a:pt x="20584" y="4992"/>
                  </a:lnTo>
                  <a:lnTo>
                    <a:pt x="25731" y="6246"/>
                  </a:lnTo>
                  <a:lnTo>
                    <a:pt x="30877" y="7503"/>
                  </a:lnTo>
                  <a:lnTo>
                    <a:pt x="36022" y="8763"/>
                  </a:lnTo>
                  <a:lnTo>
                    <a:pt x="41168" y="10024"/>
                  </a:lnTo>
                  <a:lnTo>
                    <a:pt x="46315" y="11289"/>
                  </a:lnTo>
                  <a:lnTo>
                    <a:pt x="51461" y="12556"/>
                  </a:lnTo>
                  <a:lnTo>
                    <a:pt x="56607" y="13826"/>
                  </a:lnTo>
                  <a:lnTo>
                    <a:pt x="61753" y="15098"/>
                  </a:lnTo>
                  <a:lnTo>
                    <a:pt x="66899" y="16373"/>
                  </a:lnTo>
                  <a:lnTo>
                    <a:pt x="72045" y="17650"/>
                  </a:lnTo>
                  <a:lnTo>
                    <a:pt x="77191" y="18930"/>
                  </a:lnTo>
                  <a:lnTo>
                    <a:pt x="82337" y="20212"/>
                  </a:lnTo>
                  <a:lnTo>
                    <a:pt x="87483" y="21497"/>
                  </a:lnTo>
                  <a:lnTo>
                    <a:pt x="92630" y="22784"/>
                  </a:lnTo>
                  <a:lnTo>
                    <a:pt x="97776" y="24074"/>
                  </a:lnTo>
                  <a:lnTo>
                    <a:pt x="102922" y="25366"/>
                  </a:lnTo>
                  <a:lnTo>
                    <a:pt x="108068" y="26661"/>
                  </a:lnTo>
                  <a:lnTo>
                    <a:pt x="113214" y="27959"/>
                  </a:lnTo>
                  <a:lnTo>
                    <a:pt x="118360" y="29259"/>
                  </a:lnTo>
                  <a:lnTo>
                    <a:pt x="123506" y="30562"/>
                  </a:lnTo>
                  <a:lnTo>
                    <a:pt x="128652" y="31867"/>
                  </a:lnTo>
                  <a:lnTo>
                    <a:pt x="133798" y="33174"/>
                  </a:lnTo>
                  <a:lnTo>
                    <a:pt x="138945" y="34485"/>
                  </a:lnTo>
                  <a:lnTo>
                    <a:pt x="144091" y="35797"/>
                  </a:lnTo>
                  <a:lnTo>
                    <a:pt x="149237" y="37113"/>
                  </a:lnTo>
                  <a:lnTo>
                    <a:pt x="154383" y="38430"/>
                  </a:lnTo>
                  <a:lnTo>
                    <a:pt x="159529" y="39751"/>
                  </a:lnTo>
                  <a:lnTo>
                    <a:pt x="164675" y="41074"/>
                  </a:lnTo>
                  <a:lnTo>
                    <a:pt x="169821" y="42399"/>
                  </a:lnTo>
                  <a:lnTo>
                    <a:pt x="174967" y="43727"/>
                  </a:lnTo>
                  <a:lnTo>
                    <a:pt x="180113" y="45057"/>
                  </a:lnTo>
                  <a:lnTo>
                    <a:pt x="185260" y="46390"/>
                  </a:lnTo>
                  <a:lnTo>
                    <a:pt x="190406" y="47726"/>
                  </a:lnTo>
                  <a:lnTo>
                    <a:pt x="195551" y="49064"/>
                  </a:lnTo>
                  <a:lnTo>
                    <a:pt x="200698" y="50405"/>
                  </a:lnTo>
                  <a:lnTo>
                    <a:pt x="205844" y="51748"/>
                  </a:lnTo>
                  <a:lnTo>
                    <a:pt x="210990" y="53094"/>
                  </a:lnTo>
                  <a:lnTo>
                    <a:pt x="216136" y="54442"/>
                  </a:lnTo>
                  <a:lnTo>
                    <a:pt x="221282" y="55792"/>
                  </a:lnTo>
                  <a:lnTo>
                    <a:pt x="226428" y="57146"/>
                  </a:lnTo>
                  <a:lnTo>
                    <a:pt x="231574" y="58502"/>
                  </a:lnTo>
                  <a:lnTo>
                    <a:pt x="236720" y="59860"/>
                  </a:lnTo>
                  <a:lnTo>
                    <a:pt x="241866" y="61221"/>
                  </a:lnTo>
                  <a:lnTo>
                    <a:pt x="247013" y="62584"/>
                  </a:lnTo>
                  <a:lnTo>
                    <a:pt x="252159" y="63950"/>
                  </a:lnTo>
                  <a:lnTo>
                    <a:pt x="257305" y="65319"/>
                  </a:lnTo>
                  <a:lnTo>
                    <a:pt x="262451" y="66690"/>
                  </a:lnTo>
                  <a:lnTo>
                    <a:pt x="267597" y="68063"/>
                  </a:lnTo>
                  <a:lnTo>
                    <a:pt x="272743" y="69439"/>
                  </a:lnTo>
                  <a:lnTo>
                    <a:pt x="277889" y="70818"/>
                  </a:lnTo>
                  <a:lnTo>
                    <a:pt x="283035" y="72199"/>
                  </a:lnTo>
                  <a:lnTo>
                    <a:pt x="288181" y="73583"/>
                  </a:lnTo>
                  <a:lnTo>
                    <a:pt x="293328" y="74969"/>
                  </a:lnTo>
                  <a:lnTo>
                    <a:pt x="298474" y="76358"/>
                  </a:lnTo>
                  <a:lnTo>
                    <a:pt x="303620" y="77749"/>
                  </a:lnTo>
                  <a:lnTo>
                    <a:pt x="308766" y="79143"/>
                  </a:lnTo>
                  <a:lnTo>
                    <a:pt x="313912" y="80539"/>
                  </a:lnTo>
                  <a:lnTo>
                    <a:pt x="319058" y="81938"/>
                  </a:lnTo>
                  <a:lnTo>
                    <a:pt x="324204" y="83340"/>
                  </a:lnTo>
                  <a:lnTo>
                    <a:pt x="329350" y="84744"/>
                  </a:lnTo>
                  <a:lnTo>
                    <a:pt x="334496" y="86150"/>
                  </a:lnTo>
                  <a:lnTo>
                    <a:pt x="339643" y="87559"/>
                  </a:lnTo>
                  <a:lnTo>
                    <a:pt x="344789" y="88971"/>
                  </a:lnTo>
                  <a:lnTo>
                    <a:pt x="349935" y="90385"/>
                  </a:lnTo>
                  <a:lnTo>
                    <a:pt x="355080" y="91801"/>
                  </a:lnTo>
                  <a:lnTo>
                    <a:pt x="360227" y="93220"/>
                  </a:lnTo>
                  <a:lnTo>
                    <a:pt x="365373" y="94642"/>
                  </a:lnTo>
                  <a:lnTo>
                    <a:pt x="370519" y="96066"/>
                  </a:lnTo>
                  <a:lnTo>
                    <a:pt x="375665" y="97493"/>
                  </a:lnTo>
                  <a:lnTo>
                    <a:pt x="380811" y="98922"/>
                  </a:lnTo>
                  <a:lnTo>
                    <a:pt x="385958" y="100354"/>
                  </a:lnTo>
                  <a:lnTo>
                    <a:pt x="391104" y="101788"/>
                  </a:lnTo>
                  <a:lnTo>
                    <a:pt x="396249" y="103225"/>
                  </a:lnTo>
                  <a:lnTo>
                    <a:pt x="401395" y="104665"/>
                  </a:lnTo>
                  <a:lnTo>
                    <a:pt x="406542" y="106107"/>
                  </a:lnTo>
                  <a:lnTo>
                    <a:pt x="411688" y="107551"/>
                  </a:lnTo>
                  <a:lnTo>
                    <a:pt x="416834" y="108998"/>
                  </a:lnTo>
                  <a:lnTo>
                    <a:pt x="421980" y="110447"/>
                  </a:lnTo>
                  <a:lnTo>
                    <a:pt x="427126" y="111899"/>
                  </a:lnTo>
                  <a:lnTo>
                    <a:pt x="432272" y="113354"/>
                  </a:lnTo>
                  <a:lnTo>
                    <a:pt x="437418" y="114811"/>
                  </a:lnTo>
                  <a:lnTo>
                    <a:pt x="442564" y="116271"/>
                  </a:lnTo>
                  <a:lnTo>
                    <a:pt x="447710" y="117733"/>
                  </a:lnTo>
                  <a:lnTo>
                    <a:pt x="452857" y="119197"/>
                  </a:lnTo>
                  <a:lnTo>
                    <a:pt x="458003" y="120665"/>
                  </a:lnTo>
                  <a:lnTo>
                    <a:pt x="463149" y="122135"/>
                  </a:lnTo>
                  <a:lnTo>
                    <a:pt x="468295" y="123607"/>
                  </a:lnTo>
                  <a:lnTo>
                    <a:pt x="473441" y="125081"/>
                  </a:lnTo>
                  <a:lnTo>
                    <a:pt x="478587" y="126559"/>
                  </a:lnTo>
                  <a:lnTo>
                    <a:pt x="483733" y="128039"/>
                  </a:lnTo>
                  <a:lnTo>
                    <a:pt x="488879" y="129521"/>
                  </a:lnTo>
                  <a:lnTo>
                    <a:pt x="494025" y="131006"/>
                  </a:lnTo>
                  <a:lnTo>
                    <a:pt x="499172" y="132493"/>
                  </a:lnTo>
                  <a:lnTo>
                    <a:pt x="504318" y="133983"/>
                  </a:lnTo>
                  <a:lnTo>
                    <a:pt x="509464" y="135476"/>
                  </a:lnTo>
                  <a:lnTo>
                    <a:pt x="514609" y="136971"/>
                  </a:lnTo>
                  <a:lnTo>
                    <a:pt x="519756" y="138468"/>
                  </a:lnTo>
                  <a:lnTo>
                    <a:pt x="524902" y="139968"/>
                  </a:lnTo>
                  <a:lnTo>
                    <a:pt x="530048" y="141471"/>
                  </a:lnTo>
                  <a:lnTo>
                    <a:pt x="535194" y="142976"/>
                  </a:lnTo>
                  <a:lnTo>
                    <a:pt x="540340" y="144484"/>
                  </a:lnTo>
                  <a:lnTo>
                    <a:pt x="545487" y="145994"/>
                  </a:lnTo>
                  <a:lnTo>
                    <a:pt x="550633" y="147506"/>
                  </a:lnTo>
                  <a:lnTo>
                    <a:pt x="555778" y="149022"/>
                  </a:lnTo>
                  <a:lnTo>
                    <a:pt x="560924" y="150539"/>
                  </a:lnTo>
                  <a:lnTo>
                    <a:pt x="566071" y="152060"/>
                  </a:lnTo>
                  <a:lnTo>
                    <a:pt x="571217" y="153583"/>
                  </a:lnTo>
                  <a:lnTo>
                    <a:pt x="576363" y="155108"/>
                  </a:lnTo>
                  <a:lnTo>
                    <a:pt x="581509" y="156636"/>
                  </a:lnTo>
                  <a:lnTo>
                    <a:pt x="586655" y="158166"/>
                  </a:lnTo>
                  <a:lnTo>
                    <a:pt x="591801" y="159699"/>
                  </a:lnTo>
                  <a:lnTo>
                    <a:pt x="596947" y="161234"/>
                  </a:lnTo>
                  <a:lnTo>
                    <a:pt x="602093" y="162772"/>
                  </a:lnTo>
                  <a:lnTo>
                    <a:pt x="607239" y="164313"/>
                  </a:lnTo>
                  <a:lnTo>
                    <a:pt x="612386" y="165856"/>
                  </a:lnTo>
                  <a:lnTo>
                    <a:pt x="617532" y="167401"/>
                  </a:lnTo>
                  <a:lnTo>
                    <a:pt x="622678" y="168949"/>
                  </a:lnTo>
                  <a:lnTo>
                    <a:pt x="627824" y="170500"/>
                  </a:lnTo>
                  <a:lnTo>
                    <a:pt x="632970" y="172053"/>
                  </a:lnTo>
                  <a:lnTo>
                    <a:pt x="638116" y="173609"/>
                  </a:lnTo>
                  <a:lnTo>
                    <a:pt x="643262" y="175167"/>
                  </a:lnTo>
                  <a:lnTo>
                    <a:pt x="648408" y="176727"/>
                  </a:lnTo>
                  <a:lnTo>
                    <a:pt x="653554" y="178291"/>
                  </a:lnTo>
                  <a:lnTo>
                    <a:pt x="658701" y="179856"/>
                  </a:lnTo>
                  <a:lnTo>
                    <a:pt x="663847" y="181424"/>
                  </a:lnTo>
                  <a:lnTo>
                    <a:pt x="668993" y="182995"/>
                  </a:lnTo>
                  <a:lnTo>
                    <a:pt x="674138" y="184569"/>
                  </a:lnTo>
                  <a:lnTo>
                    <a:pt x="679285" y="186144"/>
                  </a:lnTo>
                  <a:lnTo>
                    <a:pt x="684431" y="187723"/>
                  </a:lnTo>
                  <a:lnTo>
                    <a:pt x="689577" y="189304"/>
                  </a:lnTo>
                  <a:lnTo>
                    <a:pt x="694723" y="190887"/>
                  </a:lnTo>
                  <a:lnTo>
                    <a:pt x="699869" y="192473"/>
                  </a:lnTo>
                  <a:lnTo>
                    <a:pt x="705016" y="194061"/>
                  </a:lnTo>
                  <a:lnTo>
                    <a:pt x="710162" y="195652"/>
                  </a:lnTo>
                  <a:lnTo>
                    <a:pt x="715307" y="197246"/>
                  </a:lnTo>
                  <a:lnTo>
                    <a:pt x="720453" y="198842"/>
                  </a:lnTo>
                  <a:lnTo>
                    <a:pt x="725600" y="200440"/>
                  </a:lnTo>
                  <a:lnTo>
                    <a:pt x="730746" y="202041"/>
                  </a:lnTo>
                  <a:lnTo>
                    <a:pt x="735892" y="203645"/>
                  </a:lnTo>
                  <a:lnTo>
                    <a:pt x="741038" y="205251"/>
                  </a:lnTo>
                  <a:lnTo>
                    <a:pt x="746184" y="206859"/>
                  </a:lnTo>
                  <a:lnTo>
                    <a:pt x="751330" y="208471"/>
                  </a:lnTo>
                  <a:lnTo>
                    <a:pt x="756476" y="210084"/>
                  </a:lnTo>
                  <a:lnTo>
                    <a:pt x="761622" y="211700"/>
                  </a:lnTo>
                  <a:lnTo>
                    <a:pt x="766768" y="213319"/>
                  </a:lnTo>
                  <a:lnTo>
                    <a:pt x="771915" y="214940"/>
                  </a:lnTo>
                  <a:lnTo>
                    <a:pt x="777061" y="216564"/>
                  </a:lnTo>
                  <a:lnTo>
                    <a:pt x="782207" y="218190"/>
                  </a:lnTo>
                  <a:lnTo>
                    <a:pt x="787353" y="219819"/>
                  </a:lnTo>
                  <a:lnTo>
                    <a:pt x="792499" y="221450"/>
                  </a:lnTo>
                  <a:lnTo>
                    <a:pt x="797645" y="223084"/>
                  </a:lnTo>
                  <a:lnTo>
                    <a:pt x="802791" y="224720"/>
                  </a:lnTo>
                  <a:lnTo>
                    <a:pt x="807937" y="226359"/>
                  </a:lnTo>
                  <a:lnTo>
                    <a:pt x="813083" y="228001"/>
                  </a:lnTo>
                  <a:lnTo>
                    <a:pt x="818230" y="229645"/>
                  </a:lnTo>
                  <a:lnTo>
                    <a:pt x="823376" y="231291"/>
                  </a:lnTo>
                  <a:lnTo>
                    <a:pt x="828522" y="232940"/>
                  </a:lnTo>
                  <a:lnTo>
                    <a:pt x="833667" y="234591"/>
                  </a:lnTo>
                  <a:lnTo>
                    <a:pt x="838814" y="236245"/>
                  </a:lnTo>
                  <a:lnTo>
                    <a:pt x="843960" y="237902"/>
                  </a:lnTo>
                  <a:lnTo>
                    <a:pt x="849106" y="239561"/>
                  </a:lnTo>
                  <a:lnTo>
                    <a:pt x="854252" y="241222"/>
                  </a:lnTo>
                  <a:lnTo>
                    <a:pt x="859398" y="242886"/>
                  </a:lnTo>
                  <a:lnTo>
                    <a:pt x="864545" y="244553"/>
                  </a:lnTo>
                  <a:lnTo>
                    <a:pt x="869691" y="246222"/>
                  </a:lnTo>
                  <a:lnTo>
                    <a:pt x="874836" y="247894"/>
                  </a:lnTo>
                  <a:lnTo>
                    <a:pt x="879982" y="249568"/>
                  </a:lnTo>
                  <a:lnTo>
                    <a:pt x="885129" y="251243"/>
                  </a:lnTo>
                  <a:lnTo>
                    <a:pt x="890275" y="252911"/>
                  </a:lnTo>
                  <a:lnTo>
                    <a:pt x="895421" y="254573"/>
                  </a:lnTo>
                  <a:lnTo>
                    <a:pt x="900567" y="256227"/>
                  </a:lnTo>
                  <a:lnTo>
                    <a:pt x="905713" y="257873"/>
                  </a:lnTo>
                  <a:lnTo>
                    <a:pt x="910860" y="259513"/>
                  </a:lnTo>
                  <a:lnTo>
                    <a:pt x="916005" y="261145"/>
                  </a:lnTo>
                  <a:lnTo>
                    <a:pt x="921151" y="262769"/>
                  </a:lnTo>
                  <a:lnTo>
                    <a:pt x="926297" y="264387"/>
                  </a:lnTo>
                  <a:lnTo>
                    <a:pt x="931444" y="265997"/>
                  </a:lnTo>
                  <a:lnTo>
                    <a:pt x="936590" y="267599"/>
                  </a:lnTo>
                  <a:lnTo>
                    <a:pt x="941736" y="269195"/>
                  </a:lnTo>
                  <a:lnTo>
                    <a:pt x="946882" y="270783"/>
                  </a:lnTo>
                  <a:lnTo>
                    <a:pt x="952028" y="272364"/>
                  </a:lnTo>
                  <a:lnTo>
                    <a:pt x="957174" y="273937"/>
                  </a:lnTo>
                  <a:lnTo>
                    <a:pt x="962320" y="275503"/>
                  </a:lnTo>
                  <a:lnTo>
                    <a:pt x="967466" y="277062"/>
                  </a:lnTo>
                  <a:lnTo>
                    <a:pt x="972612" y="278614"/>
                  </a:lnTo>
                  <a:lnTo>
                    <a:pt x="977759" y="280158"/>
                  </a:lnTo>
                  <a:lnTo>
                    <a:pt x="982905" y="281695"/>
                  </a:lnTo>
                  <a:lnTo>
                    <a:pt x="988051" y="283224"/>
                  </a:lnTo>
                  <a:lnTo>
                    <a:pt x="993196" y="284746"/>
                  </a:lnTo>
                  <a:lnTo>
                    <a:pt x="998343" y="286261"/>
                  </a:lnTo>
                  <a:lnTo>
                    <a:pt x="1003489" y="287769"/>
                  </a:lnTo>
                  <a:lnTo>
                    <a:pt x="1008635" y="289269"/>
                  </a:lnTo>
                  <a:lnTo>
                    <a:pt x="1013781" y="290762"/>
                  </a:lnTo>
                  <a:lnTo>
                    <a:pt x="1018927" y="292247"/>
                  </a:lnTo>
                  <a:lnTo>
                    <a:pt x="1024074" y="293725"/>
                  </a:lnTo>
                  <a:lnTo>
                    <a:pt x="1029220" y="295196"/>
                  </a:lnTo>
                  <a:lnTo>
                    <a:pt x="1034365" y="296660"/>
                  </a:lnTo>
                  <a:lnTo>
                    <a:pt x="1039511" y="298116"/>
                  </a:lnTo>
                  <a:lnTo>
                    <a:pt x="1044658" y="299565"/>
                  </a:lnTo>
                  <a:lnTo>
                    <a:pt x="1049804" y="301007"/>
                  </a:lnTo>
                  <a:lnTo>
                    <a:pt x="1054950" y="302441"/>
                  </a:lnTo>
                  <a:lnTo>
                    <a:pt x="1060096" y="303868"/>
                  </a:lnTo>
                  <a:lnTo>
                    <a:pt x="1065242" y="305288"/>
                  </a:lnTo>
                  <a:lnTo>
                    <a:pt x="1070389" y="306700"/>
                  </a:lnTo>
                  <a:lnTo>
                    <a:pt x="1075534" y="308105"/>
                  </a:lnTo>
                  <a:lnTo>
                    <a:pt x="1080680" y="309503"/>
                  </a:lnTo>
                  <a:lnTo>
                    <a:pt x="1085826" y="310893"/>
                  </a:lnTo>
                  <a:lnTo>
                    <a:pt x="1090973" y="312276"/>
                  </a:lnTo>
                  <a:lnTo>
                    <a:pt x="1096119" y="313652"/>
                  </a:lnTo>
                  <a:lnTo>
                    <a:pt x="1101265" y="315020"/>
                  </a:lnTo>
                  <a:lnTo>
                    <a:pt x="1106411" y="316381"/>
                  </a:lnTo>
                  <a:lnTo>
                    <a:pt x="1111557" y="317735"/>
                  </a:lnTo>
                  <a:lnTo>
                    <a:pt x="1116703" y="319081"/>
                  </a:lnTo>
                  <a:lnTo>
                    <a:pt x="1121849" y="320420"/>
                  </a:lnTo>
                  <a:lnTo>
                    <a:pt x="1126995" y="321752"/>
                  </a:lnTo>
                  <a:lnTo>
                    <a:pt x="1132141" y="323076"/>
                  </a:lnTo>
                  <a:lnTo>
                    <a:pt x="1137288" y="324393"/>
                  </a:lnTo>
                  <a:lnTo>
                    <a:pt x="1142434" y="325703"/>
                  </a:lnTo>
                  <a:lnTo>
                    <a:pt x="1147580" y="327006"/>
                  </a:lnTo>
                  <a:lnTo>
                    <a:pt x="1152725" y="328301"/>
                  </a:lnTo>
                  <a:lnTo>
                    <a:pt x="1157872" y="329589"/>
                  </a:lnTo>
                  <a:lnTo>
                    <a:pt x="1163018" y="330869"/>
                  </a:lnTo>
                  <a:lnTo>
                    <a:pt x="1168164" y="332142"/>
                  </a:lnTo>
                  <a:lnTo>
                    <a:pt x="1173310" y="333408"/>
                  </a:lnTo>
                  <a:lnTo>
                    <a:pt x="1178456" y="334666"/>
                  </a:lnTo>
                  <a:lnTo>
                    <a:pt x="1183603" y="335917"/>
                  </a:lnTo>
                  <a:lnTo>
                    <a:pt x="1188749" y="337161"/>
                  </a:lnTo>
                  <a:lnTo>
                    <a:pt x="1193894" y="338398"/>
                  </a:lnTo>
                  <a:lnTo>
                    <a:pt x="1199040" y="339627"/>
                  </a:lnTo>
                  <a:lnTo>
                    <a:pt x="1204187" y="340849"/>
                  </a:lnTo>
                  <a:lnTo>
                    <a:pt x="1209333" y="342063"/>
                  </a:lnTo>
                  <a:lnTo>
                    <a:pt x="1214479" y="343270"/>
                  </a:lnTo>
                  <a:lnTo>
                    <a:pt x="1219625" y="344470"/>
                  </a:lnTo>
                  <a:lnTo>
                    <a:pt x="1224771" y="345663"/>
                  </a:lnTo>
                  <a:lnTo>
                    <a:pt x="1229918" y="346848"/>
                  </a:lnTo>
                  <a:lnTo>
                    <a:pt x="1235063" y="348026"/>
                  </a:lnTo>
                  <a:lnTo>
                    <a:pt x="1240209" y="349196"/>
                  </a:lnTo>
                  <a:lnTo>
                    <a:pt x="1245355" y="350359"/>
                  </a:lnTo>
                  <a:lnTo>
                    <a:pt x="1250502" y="351515"/>
                  </a:lnTo>
                  <a:lnTo>
                    <a:pt x="1255648" y="352664"/>
                  </a:lnTo>
                  <a:lnTo>
                    <a:pt x="1260794" y="353805"/>
                  </a:lnTo>
                  <a:lnTo>
                    <a:pt x="1265940" y="354939"/>
                  </a:lnTo>
                  <a:lnTo>
                    <a:pt x="1271086" y="356066"/>
                  </a:lnTo>
                  <a:lnTo>
                    <a:pt x="1276232" y="357185"/>
                  </a:lnTo>
                  <a:lnTo>
                    <a:pt x="1281378" y="358296"/>
                  </a:lnTo>
                  <a:lnTo>
                    <a:pt x="1286524" y="359401"/>
                  </a:lnTo>
                  <a:lnTo>
                    <a:pt x="1291670" y="360498"/>
                  </a:lnTo>
                  <a:lnTo>
                    <a:pt x="1296817" y="361588"/>
                  </a:lnTo>
                  <a:lnTo>
                    <a:pt x="1301963" y="362671"/>
                  </a:lnTo>
                  <a:lnTo>
                    <a:pt x="1307109" y="363746"/>
                  </a:lnTo>
                  <a:lnTo>
                    <a:pt x="1312254" y="364814"/>
                  </a:lnTo>
                  <a:lnTo>
                    <a:pt x="1317401" y="365875"/>
                  </a:lnTo>
                  <a:lnTo>
                    <a:pt x="1322547" y="366928"/>
                  </a:lnTo>
                  <a:lnTo>
                    <a:pt x="1327693" y="367974"/>
                  </a:lnTo>
                  <a:lnTo>
                    <a:pt x="1332839" y="369012"/>
                  </a:lnTo>
                  <a:lnTo>
                    <a:pt x="1337985" y="370043"/>
                  </a:lnTo>
                  <a:lnTo>
                    <a:pt x="1343132" y="371067"/>
                  </a:lnTo>
                  <a:lnTo>
                    <a:pt x="1348278" y="372084"/>
                  </a:lnTo>
                  <a:lnTo>
                    <a:pt x="1353423" y="373093"/>
                  </a:lnTo>
                  <a:lnTo>
                    <a:pt x="1358569" y="374095"/>
                  </a:lnTo>
                  <a:lnTo>
                    <a:pt x="1363716" y="375090"/>
                  </a:lnTo>
                  <a:lnTo>
                    <a:pt x="1368862" y="376077"/>
                  </a:lnTo>
                  <a:lnTo>
                    <a:pt x="1374008" y="377057"/>
                  </a:lnTo>
                  <a:lnTo>
                    <a:pt x="1379154" y="378030"/>
                  </a:lnTo>
                  <a:lnTo>
                    <a:pt x="1384300" y="378995"/>
                  </a:lnTo>
                  <a:lnTo>
                    <a:pt x="1389447" y="379953"/>
                  </a:lnTo>
                  <a:lnTo>
                    <a:pt x="1394592" y="380903"/>
                  </a:lnTo>
                  <a:lnTo>
                    <a:pt x="1399738" y="381847"/>
                  </a:lnTo>
                  <a:lnTo>
                    <a:pt x="1404884" y="382783"/>
                  </a:lnTo>
                  <a:lnTo>
                    <a:pt x="1410031" y="383711"/>
                  </a:lnTo>
                  <a:lnTo>
                    <a:pt x="1415177" y="384632"/>
                  </a:lnTo>
                  <a:lnTo>
                    <a:pt x="1420323" y="385546"/>
                  </a:lnTo>
                  <a:lnTo>
                    <a:pt x="1425469" y="386453"/>
                  </a:lnTo>
                  <a:lnTo>
                    <a:pt x="1430615" y="387352"/>
                  </a:lnTo>
                  <a:lnTo>
                    <a:pt x="1435761" y="388244"/>
                  </a:lnTo>
                  <a:lnTo>
                    <a:pt x="1440907" y="389129"/>
                  </a:lnTo>
                  <a:lnTo>
                    <a:pt x="1446053" y="390006"/>
                  </a:lnTo>
                  <a:lnTo>
                    <a:pt x="1451199" y="390876"/>
                  </a:lnTo>
                  <a:lnTo>
                    <a:pt x="1456346" y="391739"/>
                  </a:lnTo>
                  <a:lnTo>
                    <a:pt x="1461492" y="392594"/>
                  </a:lnTo>
                  <a:lnTo>
                    <a:pt x="1466638" y="393442"/>
                  </a:lnTo>
                  <a:lnTo>
                    <a:pt x="1471783" y="394282"/>
                  </a:lnTo>
                  <a:lnTo>
                    <a:pt x="1476930" y="395116"/>
                  </a:lnTo>
                  <a:lnTo>
                    <a:pt x="1482076" y="395941"/>
                  </a:lnTo>
                  <a:lnTo>
                    <a:pt x="1487222" y="396760"/>
                  </a:lnTo>
                  <a:lnTo>
                    <a:pt x="1492368" y="397571"/>
                  </a:lnTo>
                  <a:lnTo>
                    <a:pt x="1497514" y="398375"/>
                  </a:lnTo>
                  <a:lnTo>
                    <a:pt x="1502661" y="399172"/>
                  </a:lnTo>
                  <a:lnTo>
                    <a:pt x="1507807" y="399961"/>
                  </a:lnTo>
                  <a:lnTo>
                    <a:pt x="1512952" y="400743"/>
                  </a:lnTo>
                  <a:lnTo>
                    <a:pt x="1518098" y="401517"/>
                  </a:lnTo>
                  <a:lnTo>
                    <a:pt x="1523245" y="402285"/>
                  </a:lnTo>
                  <a:lnTo>
                    <a:pt x="1528391" y="403045"/>
                  </a:lnTo>
                  <a:lnTo>
                    <a:pt x="1533537" y="403797"/>
                  </a:lnTo>
                  <a:lnTo>
                    <a:pt x="1538683" y="404542"/>
                  </a:lnTo>
                  <a:lnTo>
                    <a:pt x="1543829" y="405280"/>
                  </a:lnTo>
                  <a:lnTo>
                    <a:pt x="1548976" y="406011"/>
                  </a:lnTo>
                  <a:lnTo>
                    <a:pt x="1554121" y="406734"/>
                  </a:lnTo>
                  <a:lnTo>
                    <a:pt x="1559267" y="407450"/>
                  </a:lnTo>
                  <a:lnTo>
                    <a:pt x="1564413" y="408159"/>
                  </a:lnTo>
                  <a:lnTo>
                    <a:pt x="1569560" y="408860"/>
                  </a:lnTo>
                  <a:lnTo>
                    <a:pt x="1574706" y="409554"/>
                  </a:lnTo>
                  <a:lnTo>
                    <a:pt x="1579852" y="410240"/>
                  </a:lnTo>
                  <a:lnTo>
                    <a:pt x="1584998" y="410920"/>
                  </a:lnTo>
                  <a:lnTo>
                    <a:pt x="1590144" y="411591"/>
                  </a:lnTo>
                  <a:lnTo>
                    <a:pt x="1595290" y="412256"/>
                  </a:lnTo>
                  <a:lnTo>
                    <a:pt x="1600436" y="412913"/>
                  </a:lnTo>
                  <a:lnTo>
                    <a:pt x="1605582" y="413563"/>
                  </a:lnTo>
                  <a:lnTo>
                    <a:pt x="1610728" y="414205"/>
                  </a:lnTo>
                  <a:lnTo>
                    <a:pt x="1615875" y="414841"/>
                  </a:lnTo>
                  <a:lnTo>
                    <a:pt x="1621021" y="415469"/>
                  </a:lnTo>
                  <a:lnTo>
                    <a:pt x="1626167" y="416089"/>
                  </a:lnTo>
                  <a:lnTo>
                    <a:pt x="1631313" y="416702"/>
                  </a:lnTo>
                  <a:lnTo>
                    <a:pt x="1636459" y="417308"/>
                  </a:lnTo>
                  <a:lnTo>
                    <a:pt x="1641605" y="417906"/>
                  </a:lnTo>
                  <a:lnTo>
                    <a:pt x="1646751" y="418498"/>
                  </a:lnTo>
                  <a:lnTo>
                    <a:pt x="1651897" y="419081"/>
                  </a:lnTo>
                  <a:lnTo>
                    <a:pt x="1657044" y="419658"/>
                  </a:lnTo>
                  <a:lnTo>
                    <a:pt x="1662190" y="420227"/>
                  </a:lnTo>
                  <a:lnTo>
                    <a:pt x="1667336" y="420789"/>
                  </a:lnTo>
                  <a:lnTo>
                    <a:pt x="1672481" y="421343"/>
                  </a:lnTo>
                  <a:lnTo>
                    <a:pt x="1677628" y="421891"/>
                  </a:lnTo>
                  <a:lnTo>
                    <a:pt x="1682774" y="422430"/>
                  </a:lnTo>
                  <a:lnTo>
                    <a:pt x="1687920" y="422963"/>
                  </a:lnTo>
                  <a:lnTo>
                    <a:pt x="1693066" y="423488"/>
                  </a:lnTo>
                  <a:lnTo>
                    <a:pt x="1698212" y="424006"/>
                  </a:lnTo>
                  <a:lnTo>
                    <a:pt x="1703359" y="424516"/>
                  </a:lnTo>
                  <a:lnTo>
                    <a:pt x="1708505" y="425019"/>
                  </a:lnTo>
                  <a:lnTo>
                    <a:pt x="1713650" y="425515"/>
                  </a:lnTo>
                  <a:lnTo>
                    <a:pt x="1718796" y="426003"/>
                  </a:lnTo>
                  <a:lnTo>
                    <a:pt x="1723943" y="426484"/>
                  </a:lnTo>
                  <a:lnTo>
                    <a:pt x="1729089" y="426958"/>
                  </a:lnTo>
                  <a:lnTo>
                    <a:pt x="1734235" y="427424"/>
                  </a:lnTo>
                  <a:lnTo>
                    <a:pt x="1739381" y="427883"/>
                  </a:lnTo>
                  <a:lnTo>
                    <a:pt x="1744527" y="428335"/>
                  </a:lnTo>
                  <a:lnTo>
                    <a:pt x="1749674" y="428779"/>
                  </a:lnTo>
                  <a:lnTo>
                    <a:pt x="1754819" y="429217"/>
                  </a:lnTo>
                  <a:lnTo>
                    <a:pt x="1759965" y="429646"/>
                  </a:lnTo>
                  <a:lnTo>
                    <a:pt x="1765111" y="430068"/>
                  </a:lnTo>
                  <a:lnTo>
                    <a:pt x="1770258" y="430484"/>
                  </a:lnTo>
                  <a:lnTo>
                    <a:pt x="1775404" y="430891"/>
                  </a:lnTo>
                  <a:lnTo>
                    <a:pt x="1780550" y="431291"/>
                  </a:lnTo>
                  <a:lnTo>
                    <a:pt x="1785696" y="431684"/>
                  </a:lnTo>
                  <a:lnTo>
                    <a:pt x="1790842" y="432070"/>
                  </a:lnTo>
                  <a:lnTo>
                    <a:pt x="1795988" y="432448"/>
                  </a:lnTo>
                  <a:lnTo>
                    <a:pt x="1801134" y="432819"/>
                  </a:lnTo>
                  <a:lnTo>
                    <a:pt x="1806280" y="433183"/>
                  </a:lnTo>
                  <a:lnTo>
                    <a:pt x="1811426" y="433539"/>
                  </a:lnTo>
                  <a:lnTo>
                    <a:pt x="1816573" y="433888"/>
                  </a:lnTo>
                  <a:lnTo>
                    <a:pt x="1821719" y="434229"/>
                  </a:lnTo>
                  <a:lnTo>
                    <a:pt x="1826865" y="434564"/>
                  </a:lnTo>
                  <a:lnTo>
                    <a:pt x="1832010" y="434891"/>
                  </a:lnTo>
                  <a:lnTo>
                    <a:pt x="1837157" y="435210"/>
                  </a:lnTo>
                  <a:lnTo>
                    <a:pt x="1842303" y="435522"/>
                  </a:lnTo>
                  <a:lnTo>
                    <a:pt x="1847449" y="435827"/>
                  </a:lnTo>
                  <a:lnTo>
                    <a:pt x="1852595" y="436125"/>
                  </a:lnTo>
                  <a:lnTo>
                    <a:pt x="1857741" y="436415"/>
                  </a:lnTo>
                  <a:lnTo>
                    <a:pt x="1862888" y="436698"/>
                  </a:lnTo>
                  <a:lnTo>
                    <a:pt x="1868034" y="436973"/>
                  </a:lnTo>
                  <a:lnTo>
                    <a:pt x="1873179" y="437241"/>
                  </a:lnTo>
                  <a:lnTo>
                    <a:pt x="1878325" y="437502"/>
                  </a:lnTo>
                  <a:lnTo>
                    <a:pt x="1883472" y="437756"/>
                  </a:lnTo>
                  <a:lnTo>
                    <a:pt x="1888618" y="438002"/>
                  </a:lnTo>
                  <a:lnTo>
                    <a:pt x="1893764" y="438240"/>
                  </a:lnTo>
                  <a:lnTo>
                    <a:pt x="1898910" y="438472"/>
                  </a:lnTo>
                  <a:lnTo>
                    <a:pt x="1904056" y="438696"/>
                  </a:lnTo>
                  <a:lnTo>
                    <a:pt x="1909203" y="438912"/>
                  </a:lnTo>
                  <a:lnTo>
                    <a:pt x="1914348" y="439122"/>
                  </a:lnTo>
                  <a:lnTo>
                    <a:pt x="1919494" y="439324"/>
                  </a:lnTo>
                  <a:lnTo>
                    <a:pt x="1924640" y="439519"/>
                  </a:lnTo>
                  <a:lnTo>
                    <a:pt x="1929787" y="439706"/>
                  </a:lnTo>
                  <a:lnTo>
                    <a:pt x="1934933" y="439886"/>
                  </a:lnTo>
                  <a:lnTo>
                    <a:pt x="1940079" y="440059"/>
                  </a:lnTo>
                  <a:lnTo>
                    <a:pt x="1945225" y="440224"/>
                  </a:lnTo>
                  <a:lnTo>
                    <a:pt x="1950371" y="440382"/>
                  </a:lnTo>
                  <a:lnTo>
                    <a:pt x="1955517" y="440533"/>
                  </a:lnTo>
                  <a:lnTo>
                    <a:pt x="1960663" y="440676"/>
                  </a:lnTo>
                  <a:lnTo>
                    <a:pt x="1965809" y="440812"/>
                  </a:lnTo>
                  <a:lnTo>
                    <a:pt x="1970955" y="440940"/>
                  </a:lnTo>
                  <a:lnTo>
                    <a:pt x="1976102" y="441062"/>
                  </a:lnTo>
                  <a:lnTo>
                    <a:pt x="1981248" y="441175"/>
                  </a:lnTo>
                  <a:lnTo>
                    <a:pt x="1986394" y="441282"/>
                  </a:lnTo>
                  <a:lnTo>
                    <a:pt x="1991539" y="441381"/>
                  </a:lnTo>
                  <a:lnTo>
                    <a:pt x="1996686" y="441473"/>
                  </a:lnTo>
                  <a:lnTo>
                    <a:pt x="2001832" y="441558"/>
                  </a:lnTo>
                  <a:lnTo>
                    <a:pt x="2006978" y="441635"/>
                  </a:lnTo>
                  <a:lnTo>
                    <a:pt x="2012124" y="441705"/>
                  </a:lnTo>
                  <a:lnTo>
                    <a:pt x="2017270" y="441767"/>
                  </a:lnTo>
                  <a:lnTo>
                    <a:pt x="2022417" y="441822"/>
                  </a:lnTo>
                  <a:lnTo>
                    <a:pt x="2027563" y="441870"/>
                  </a:lnTo>
                  <a:lnTo>
                    <a:pt x="2032708" y="441910"/>
                  </a:lnTo>
                  <a:lnTo>
                    <a:pt x="2037854" y="441943"/>
                  </a:lnTo>
                  <a:lnTo>
                    <a:pt x="2043001" y="441969"/>
                  </a:lnTo>
                  <a:lnTo>
                    <a:pt x="2048147" y="441987"/>
                  </a:lnTo>
                  <a:lnTo>
                    <a:pt x="2053293" y="441998"/>
                  </a:lnTo>
                  <a:lnTo>
                    <a:pt x="2058439" y="442002"/>
                  </a:lnTo>
                </a:path>
              </a:pathLst>
            </a:custGeom>
            <a:solidFill>
              <a:srgbClr xmlns:mc="http://schemas.openxmlformats.org/markup-compatibility/2006" xmlns:a14="http://schemas.microsoft.com/office/drawing/2010/main" val="FF00FF" mc:Ignorable="a14" a14:legacySpreadsheetColorIndex="6">
                <a:alpha val="0"/>
              </a:srgbClr>
            </a:solidFill>
            <a:ln w="19050" cap="flat" cmpd="sng" algn="ctr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rtlCol="0" anchor="t"/>
            <a:lstStyle/>
            <a:p>
              <a:pPr algn="l"/>
              <a:endParaRPr lang="en-AU" sz="1100"/>
            </a:p>
          </xdr:txBody>
        </xdr:sp>
      </xdr:grpSp>
      <xdr:grpSp>
        <xdr:nvGrpSpPr>
          <xdr:cNvPr id="10263" name="Group 10262"/>
          <xdr:cNvGrpSpPr/>
        </xdr:nvGrpSpPr>
        <xdr:grpSpPr>
          <a:xfrm>
            <a:off x="2203450" y="660400"/>
            <a:ext cx="7277100" cy="4819650"/>
            <a:chOff x="2203450" y="660400"/>
            <a:chExt cx="7277100" cy="4819650"/>
          </a:xfrm>
        </xdr:grpSpPr>
        <xdr:cxnSp macro="">
          <xdr:nvCxnSpPr>
            <xdr:cNvPr id="10259" name="Straight Connector 10258"/>
            <xdr:cNvCxnSpPr/>
          </xdr:nvCxnSpPr>
          <xdr:spPr bwMode="auto">
            <a:xfrm>
              <a:off x="2203450" y="660400"/>
              <a:ext cx="7277100" cy="0"/>
            </a:xfrm>
            <a:prstGeom prst="line">
              <a:avLst/>
            </a:prstGeom>
            <a:solidFill>
              <a:srgbClr val="FFFFFF"/>
            </a:solidFill>
            <a:ln w="12700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10260" name="Straight Connector 10259"/>
            <xdr:cNvCxnSpPr/>
          </xdr:nvCxnSpPr>
          <xdr:spPr bwMode="auto">
            <a:xfrm>
              <a:off x="9480550" y="660400"/>
              <a:ext cx="0" cy="4819650"/>
            </a:xfrm>
            <a:prstGeom prst="line">
              <a:avLst/>
            </a:prstGeom>
            <a:solidFill>
              <a:srgbClr val="FFFFFF"/>
            </a:solidFill>
            <a:ln w="12700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10261" name="Straight Connector 10260"/>
            <xdr:cNvCxnSpPr/>
          </xdr:nvCxnSpPr>
          <xdr:spPr bwMode="auto">
            <a:xfrm flipH="1">
              <a:off x="2203450" y="5480050"/>
              <a:ext cx="7277100" cy="0"/>
            </a:xfrm>
            <a:prstGeom prst="line">
              <a:avLst/>
            </a:prstGeom>
            <a:solidFill>
              <a:srgbClr val="FFFFFF"/>
            </a:solidFill>
            <a:ln w="12700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</xdr:cxnSp>
        <xdr:cxnSp macro="">
          <xdr:nvCxnSpPr>
            <xdr:cNvPr id="10262" name="Straight Connector 10261"/>
            <xdr:cNvCxnSpPr/>
          </xdr:nvCxnSpPr>
          <xdr:spPr bwMode="auto">
            <a:xfrm flipV="1">
              <a:off x="2203450" y="660400"/>
              <a:ext cx="0" cy="4819650"/>
            </a:xfrm>
            <a:prstGeom prst="line">
              <a:avLst/>
            </a:prstGeom>
            <a:solidFill>
              <a:srgbClr val="FFFFFF"/>
            </a:solidFill>
            <a:ln w="12700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</xdr:cxn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12</xdr:row>
      <xdr:rowOff>47625</xdr:rowOff>
    </xdr:from>
    <xdr:to>
      <xdr:col>10</xdr:col>
      <xdr:colOff>438150</xdr:colOff>
      <xdr:row>37</xdr:row>
      <xdr:rowOff>0</xdr:rowOff>
    </xdr:to>
    <xdr:graphicFrame macro="">
      <xdr:nvGraphicFramePr>
        <xdr:cNvPr id="430127" name="BeamRe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9525</xdr:rowOff>
        </xdr:from>
        <xdr:to>
          <xdr:col>3</xdr:col>
          <xdr:colOff>561975</xdr:colOff>
          <xdr:row>10</xdr:row>
          <xdr:rowOff>85725</xdr:rowOff>
        </xdr:to>
        <xdr:sp macro="" textlink="">
          <xdr:nvSpPr>
            <xdr:cNvPr id="430084" name="ComboBox1" hidden="1">
              <a:extLst>
                <a:ext uri="{63B3BB69-23CF-44E3-9099-C40C66FF867C}">
                  <a14:compatExt spid="_x0000_s430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600075</xdr:colOff>
          <xdr:row>9</xdr:row>
          <xdr:rowOff>38100</xdr:rowOff>
        </xdr:from>
        <xdr:to>
          <xdr:col>10</xdr:col>
          <xdr:colOff>266700</xdr:colOff>
          <xdr:row>11</xdr:row>
          <xdr:rowOff>66675</xdr:rowOff>
        </xdr:to>
        <xdr:sp macro="" textlink="">
          <xdr:nvSpPr>
            <xdr:cNvPr id="430125" name="CommandButton1" hidden="1">
              <a:extLst>
                <a:ext uri="{63B3BB69-23CF-44E3-9099-C40C66FF867C}">
                  <a14:compatExt spid="_x0000_s430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oval" w="med" len="med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C2946"/>
  <sheetViews>
    <sheetView tabSelected="1" topLeftCell="A5" zoomScaleNormal="100" workbookViewId="0">
      <selection activeCell="M9" sqref="M9"/>
    </sheetView>
  </sheetViews>
  <sheetFormatPr defaultRowHeight="12.75" x14ac:dyDescent="0.2"/>
  <cols>
    <col min="2" max="3" width="15" customWidth="1"/>
    <col min="4" max="4" width="11" customWidth="1"/>
    <col min="5" max="7" width="15" customWidth="1"/>
    <col min="8" max="8" width="6.28515625" customWidth="1"/>
    <col min="9" max="9" width="10.85546875" customWidth="1"/>
    <col min="10" max="10" width="12.140625" customWidth="1"/>
    <col min="11" max="11" width="13.140625" bestFit="1" customWidth="1"/>
    <col min="12" max="12" width="6.28515625" customWidth="1"/>
    <col min="13" max="13" width="11.42578125" bestFit="1" customWidth="1"/>
    <col min="15" max="15" width="11" bestFit="1" customWidth="1"/>
  </cols>
  <sheetData>
    <row r="1" spans="2:29" ht="15.75" x14ac:dyDescent="0.25">
      <c r="B1" s="32" t="s">
        <v>20</v>
      </c>
      <c r="C1" s="33"/>
      <c r="D1" s="4"/>
      <c r="E1" s="4"/>
      <c r="F1" s="4"/>
      <c r="G1" s="4"/>
      <c r="H1" s="4"/>
      <c r="I1" s="4"/>
      <c r="J1" s="4"/>
      <c r="K1" s="4"/>
      <c r="L1" s="4"/>
      <c r="M1" s="4"/>
    </row>
    <row r="2" spans="2:29" ht="15" x14ac:dyDescent="0.25">
      <c r="B2" s="36" t="s">
        <v>21</v>
      </c>
      <c r="C2" s="4"/>
      <c r="D2" s="4"/>
      <c r="E2" s="4"/>
      <c r="F2" s="4"/>
      <c r="G2" s="4"/>
      <c r="H2" s="4"/>
      <c r="I2" s="4"/>
      <c r="J2" s="4"/>
      <c r="K2" s="4"/>
      <c r="L2" s="4"/>
      <c r="M2" s="4" t="s">
        <v>119</v>
      </c>
      <c r="W2" s="167" t="s">
        <v>137</v>
      </c>
      <c r="X2" s="167"/>
      <c r="Y2" s="167"/>
      <c r="Z2" s="43"/>
    </row>
    <row r="3" spans="2:29" ht="15" x14ac:dyDescent="0.25">
      <c r="B3" s="36"/>
      <c r="C3" s="4"/>
      <c r="D3" s="4"/>
      <c r="E3" s="4"/>
      <c r="F3" s="4"/>
      <c r="G3" s="4"/>
      <c r="H3" s="4"/>
      <c r="I3" s="4"/>
      <c r="J3" s="4"/>
      <c r="K3" s="4"/>
      <c r="L3" s="4"/>
      <c r="M3" s="4" t="s">
        <v>120</v>
      </c>
      <c r="W3" s="167" t="s">
        <v>147</v>
      </c>
      <c r="X3" s="168"/>
      <c r="Y3" s="168"/>
      <c r="Z3" s="168"/>
      <c r="AA3" s="168"/>
      <c r="AB3" s="168"/>
      <c r="AC3" s="168"/>
    </row>
    <row r="4" spans="2:29" x14ac:dyDescent="0.2">
      <c r="B4" s="4"/>
      <c r="C4" s="4"/>
      <c r="D4" s="4"/>
      <c r="E4" s="4"/>
      <c r="F4" s="4"/>
      <c r="G4" s="4"/>
      <c r="H4" s="4"/>
      <c r="I4" s="4"/>
      <c r="J4" s="4"/>
    </row>
    <row r="5" spans="2:29" x14ac:dyDescent="0.2">
      <c r="B5" s="3" t="s">
        <v>22</v>
      </c>
      <c r="C5" s="4"/>
      <c r="D5" s="4">
        <f>COUNT(B7:B65536)</f>
        <v>3</v>
      </c>
      <c r="E5" s="4"/>
      <c r="F5" s="4"/>
      <c r="G5" s="4"/>
      <c r="H5" s="4"/>
      <c r="I5" s="4" t="s">
        <v>24</v>
      </c>
      <c r="J5" s="4"/>
      <c r="K5" s="4">
        <f>COUNT(I7:I65536)</f>
        <v>4</v>
      </c>
      <c r="M5" s="4" t="s">
        <v>27</v>
      </c>
      <c r="O5" s="4">
        <f>COUNT(M7:M65536)</f>
        <v>3</v>
      </c>
      <c r="R5" s="4" t="s">
        <v>28</v>
      </c>
      <c r="T5" s="4">
        <f>COUNT(R7:R65536)</f>
        <v>3</v>
      </c>
      <c r="W5" s="5" t="s">
        <v>42</v>
      </c>
      <c r="Y5" s="4">
        <f>COUNT(X7:AC65536)</f>
        <v>0</v>
      </c>
      <c r="Z5">
        <f>COUNT(W7:W65536)</f>
        <v>0</v>
      </c>
    </row>
    <row r="6" spans="2:29" ht="25.5" x14ac:dyDescent="0.2">
      <c r="B6" s="144" t="s">
        <v>23</v>
      </c>
      <c r="C6" s="26" t="s">
        <v>13</v>
      </c>
      <c r="D6" s="25" t="s">
        <v>1</v>
      </c>
      <c r="E6" s="50" t="s">
        <v>14</v>
      </c>
      <c r="F6" s="26" t="s">
        <v>51</v>
      </c>
      <c r="G6" s="50" t="s">
        <v>52</v>
      </c>
      <c r="H6" s="42"/>
      <c r="I6" s="48" t="s">
        <v>25</v>
      </c>
      <c r="J6" s="46" t="s">
        <v>26</v>
      </c>
      <c r="K6" s="47" t="s">
        <v>9</v>
      </c>
      <c r="L6" s="43"/>
      <c r="M6" s="48" t="s">
        <v>25</v>
      </c>
      <c r="N6" s="46" t="s">
        <v>26</v>
      </c>
      <c r="O6" s="46" t="s">
        <v>9</v>
      </c>
      <c r="P6" s="45" t="s">
        <v>17</v>
      </c>
      <c r="Q6" s="43"/>
      <c r="R6" s="51" t="s">
        <v>29</v>
      </c>
      <c r="S6" s="52" t="s">
        <v>30</v>
      </c>
      <c r="T6" s="49" t="s">
        <v>31</v>
      </c>
      <c r="U6" s="45" t="s">
        <v>32</v>
      </c>
      <c r="W6" s="51" t="s">
        <v>29</v>
      </c>
      <c r="X6" s="78" t="s">
        <v>72</v>
      </c>
      <c r="Y6" s="79" t="s">
        <v>73</v>
      </c>
      <c r="Z6" s="80" t="s">
        <v>74</v>
      </c>
      <c r="AA6" s="79" t="s">
        <v>75</v>
      </c>
      <c r="AB6" s="79" t="s">
        <v>76</v>
      </c>
      <c r="AC6" s="80" t="s">
        <v>77</v>
      </c>
    </row>
    <row r="7" spans="2:29" x14ac:dyDescent="0.2">
      <c r="B7" s="146">
        <v>1</v>
      </c>
      <c r="C7" s="116">
        <v>1.4619999999999999E-2</v>
      </c>
      <c r="D7" s="116">
        <v>1.2129999999999999E-4</v>
      </c>
      <c r="E7" s="83">
        <v>205000000000</v>
      </c>
      <c r="F7" s="2">
        <v>0</v>
      </c>
      <c r="G7" s="83">
        <v>80000000000</v>
      </c>
      <c r="I7">
        <v>1</v>
      </c>
      <c r="J7" s="44">
        <v>0</v>
      </c>
      <c r="K7" s="44">
        <v>0</v>
      </c>
      <c r="M7">
        <v>1</v>
      </c>
      <c r="N7" s="16" t="s">
        <v>53</v>
      </c>
      <c r="O7" s="117" t="s">
        <v>53</v>
      </c>
      <c r="P7" s="16" t="s">
        <v>53</v>
      </c>
      <c r="Q7" s="117"/>
      <c r="R7">
        <v>1</v>
      </c>
      <c r="S7" s="81">
        <v>1</v>
      </c>
      <c r="T7">
        <v>1</v>
      </c>
      <c r="U7">
        <v>2</v>
      </c>
    </row>
    <row r="8" spans="2:29" x14ac:dyDescent="0.2">
      <c r="B8" s="145">
        <v>2</v>
      </c>
      <c r="C8" s="116">
        <v>3.82E-3</v>
      </c>
      <c r="D8" s="116">
        <v>2.9099999999999999E-5</v>
      </c>
      <c r="E8" s="83">
        <v>205000000000</v>
      </c>
      <c r="F8" s="2">
        <v>0</v>
      </c>
      <c r="G8" s="83">
        <v>80000000000</v>
      </c>
      <c r="I8">
        <v>2</v>
      </c>
      <c r="J8" s="44">
        <v>5</v>
      </c>
      <c r="K8" s="44">
        <v>0</v>
      </c>
      <c r="M8">
        <v>2</v>
      </c>
      <c r="N8" s="16"/>
      <c r="O8" s="16" t="s">
        <v>53</v>
      </c>
      <c r="P8" s="16"/>
      <c r="Q8" s="115"/>
      <c r="R8">
        <v>2</v>
      </c>
      <c r="S8" s="81">
        <v>2</v>
      </c>
      <c r="T8">
        <v>2</v>
      </c>
      <c r="U8">
        <v>3</v>
      </c>
    </row>
    <row r="9" spans="2:29" x14ac:dyDescent="0.2">
      <c r="B9" s="115">
        <v>3</v>
      </c>
      <c r="C9" s="116">
        <v>3.82E-3</v>
      </c>
      <c r="D9" s="116">
        <v>4.5200000000000001E-5</v>
      </c>
      <c r="E9" s="83">
        <v>405000000000</v>
      </c>
      <c r="F9" s="2">
        <v>0</v>
      </c>
      <c r="G9" s="83">
        <v>80000000000</v>
      </c>
      <c r="I9">
        <v>3</v>
      </c>
      <c r="J9" s="44">
        <v>15</v>
      </c>
      <c r="K9" s="44">
        <v>0</v>
      </c>
      <c r="M9">
        <v>3</v>
      </c>
      <c r="N9" s="16"/>
      <c r="O9" s="115" t="s">
        <v>53</v>
      </c>
      <c r="P9" s="16" t="s">
        <v>53</v>
      </c>
      <c r="Q9" s="115"/>
      <c r="R9">
        <v>3</v>
      </c>
      <c r="S9" s="81">
        <v>3</v>
      </c>
      <c r="T9">
        <v>3</v>
      </c>
      <c r="U9">
        <v>4</v>
      </c>
    </row>
    <row r="10" spans="2:29" x14ac:dyDescent="0.2">
      <c r="B10" s="115"/>
      <c r="C10" s="116"/>
      <c r="D10" s="116"/>
      <c r="E10" s="114"/>
      <c r="F10" s="2"/>
      <c r="G10" s="114"/>
      <c r="I10">
        <v>4</v>
      </c>
      <c r="J10" s="44">
        <v>22</v>
      </c>
      <c r="K10" s="44">
        <v>0</v>
      </c>
      <c r="N10" s="16"/>
      <c r="O10" s="115"/>
      <c r="P10" s="16"/>
      <c r="S10" s="81"/>
    </row>
    <row r="11" spans="2:29" x14ac:dyDescent="0.2">
      <c r="D11" s="2"/>
      <c r="E11" s="114"/>
      <c r="F11" s="2"/>
      <c r="G11" s="114"/>
      <c r="J11" s="44"/>
      <c r="K11" s="44"/>
      <c r="N11" s="16"/>
      <c r="O11" s="115"/>
      <c r="P11" s="16"/>
      <c r="S11" s="81"/>
    </row>
    <row r="12" spans="2:29" x14ac:dyDescent="0.2">
      <c r="B12" s="4"/>
      <c r="D12" s="2"/>
      <c r="E12" s="114"/>
      <c r="F12" s="2"/>
      <c r="G12" s="114"/>
      <c r="J12" s="44"/>
      <c r="K12" s="44"/>
      <c r="N12" s="16"/>
      <c r="O12" s="115"/>
      <c r="P12" s="16"/>
      <c r="S12" s="81"/>
    </row>
    <row r="13" spans="2:29" x14ac:dyDescent="0.2">
      <c r="J13" s="44"/>
      <c r="K13" s="44"/>
      <c r="N13" s="16"/>
      <c r="O13" s="115"/>
      <c r="P13" s="16"/>
      <c r="S13" s="81"/>
    </row>
    <row r="14" spans="2:29" x14ac:dyDescent="0.2">
      <c r="J14" s="44"/>
      <c r="K14" s="44"/>
      <c r="N14" s="16"/>
      <c r="O14" s="115"/>
      <c r="P14" s="16"/>
      <c r="S14" s="81"/>
    </row>
    <row r="15" spans="2:29" x14ac:dyDescent="0.2">
      <c r="J15" s="44"/>
      <c r="K15" s="44"/>
      <c r="N15" s="16"/>
      <c r="O15" s="115"/>
      <c r="P15" s="16"/>
      <c r="S15" s="81"/>
    </row>
    <row r="16" spans="2:29" x14ac:dyDescent="0.2">
      <c r="J16" s="44"/>
      <c r="K16" s="44"/>
      <c r="N16" s="16"/>
      <c r="O16" s="115"/>
      <c r="P16" s="16"/>
      <c r="S16" s="81"/>
    </row>
    <row r="17" spans="9:19" x14ac:dyDescent="0.2">
      <c r="J17" s="44"/>
      <c r="K17" s="44"/>
      <c r="N17" s="16"/>
      <c r="O17" s="115"/>
      <c r="P17" s="16"/>
      <c r="S17" s="81"/>
    </row>
    <row r="18" spans="9:19" x14ac:dyDescent="0.2">
      <c r="J18" s="44"/>
      <c r="K18" s="44"/>
      <c r="N18" s="16"/>
      <c r="O18" s="115"/>
      <c r="P18" s="16"/>
      <c r="S18" s="81"/>
    </row>
    <row r="19" spans="9:19" x14ac:dyDescent="0.2">
      <c r="J19" s="44"/>
      <c r="K19" s="44"/>
      <c r="N19" s="16"/>
      <c r="O19" s="115"/>
      <c r="P19" s="16"/>
      <c r="S19" s="81"/>
    </row>
    <row r="20" spans="9:19" x14ac:dyDescent="0.2">
      <c r="J20" s="44"/>
      <c r="K20" s="44"/>
      <c r="N20" s="16"/>
      <c r="O20" s="115"/>
      <c r="P20" s="16"/>
      <c r="S20" s="81"/>
    </row>
    <row r="21" spans="9:19" x14ac:dyDescent="0.2">
      <c r="J21" s="44"/>
      <c r="K21" s="44"/>
      <c r="N21" s="16"/>
      <c r="O21" s="115"/>
      <c r="P21" s="16"/>
      <c r="S21" s="81"/>
    </row>
    <row r="22" spans="9:19" x14ac:dyDescent="0.2">
      <c r="J22" s="44"/>
      <c r="K22" s="44"/>
      <c r="N22" s="16"/>
      <c r="O22" s="115"/>
      <c r="P22" s="16"/>
      <c r="S22" s="81"/>
    </row>
    <row r="23" spans="9:19" x14ac:dyDescent="0.2">
      <c r="J23" s="44"/>
      <c r="K23" s="44"/>
      <c r="N23" s="16"/>
      <c r="O23" s="115"/>
      <c r="P23" s="16"/>
      <c r="S23" s="81"/>
    </row>
    <row r="24" spans="9:19" x14ac:dyDescent="0.2">
      <c r="J24" s="44"/>
      <c r="K24" s="44"/>
      <c r="N24" s="16"/>
      <c r="O24" s="115"/>
      <c r="P24" s="16"/>
      <c r="S24" s="81"/>
    </row>
    <row r="25" spans="9:19" x14ac:dyDescent="0.2">
      <c r="I25" s="105"/>
      <c r="J25" s="105"/>
      <c r="K25" s="105"/>
      <c r="L25" s="105"/>
      <c r="M25" s="105"/>
      <c r="N25" s="117"/>
      <c r="O25" s="115"/>
      <c r="P25" s="16"/>
      <c r="S25" s="81"/>
    </row>
    <row r="26" spans="9:19" x14ac:dyDescent="0.2">
      <c r="J26" s="44"/>
      <c r="K26" s="44"/>
      <c r="N26" s="16"/>
      <c r="O26" s="115"/>
      <c r="P26" s="16"/>
      <c r="S26" s="81"/>
    </row>
    <row r="27" spans="9:19" x14ac:dyDescent="0.2">
      <c r="J27" s="44"/>
      <c r="K27" s="44"/>
      <c r="N27" s="16"/>
      <c r="O27" s="115"/>
      <c r="P27" s="16"/>
      <c r="S27" s="81"/>
    </row>
    <row r="28" spans="9:19" x14ac:dyDescent="0.2">
      <c r="J28" s="44"/>
      <c r="K28" s="44"/>
      <c r="N28" s="16"/>
      <c r="O28" s="115"/>
      <c r="P28" s="16"/>
      <c r="S28" s="81"/>
    </row>
    <row r="29" spans="9:19" x14ac:dyDescent="0.2">
      <c r="J29" s="44"/>
      <c r="K29" s="44"/>
      <c r="N29" s="16"/>
      <c r="O29" s="115"/>
      <c r="P29" s="16"/>
      <c r="S29" s="81"/>
    </row>
    <row r="30" spans="9:19" x14ac:dyDescent="0.2">
      <c r="J30" s="44"/>
      <c r="K30" s="44"/>
      <c r="N30" s="16"/>
      <c r="O30" s="115"/>
      <c r="P30" s="16"/>
      <c r="S30" s="81"/>
    </row>
    <row r="31" spans="9:19" x14ac:dyDescent="0.2">
      <c r="J31" s="44"/>
      <c r="K31" s="44"/>
      <c r="N31" s="16"/>
      <c r="O31" s="115"/>
      <c r="P31" s="16"/>
      <c r="S31" s="81"/>
    </row>
    <row r="32" spans="9:19" x14ac:dyDescent="0.2">
      <c r="J32" s="44"/>
      <c r="K32" s="44"/>
      <c r="N32" s="2"/>
      <c r="O32" s="2"/>
      <c r="P32" s="2"/>
      <c r="S32" s="81"/>
    </row>
    <row r="33" spans="10:19" x14ac:dyDescent="0.2">
      <c r="J33" s="44"/>
      <c r="K33" s="44"/>
      <c r="N33" s="2"/>
      <c r="O33" s="2"/>
      <c r="P33" s="2"/>
      <c r="S33" s="81"/>
    </row>
    <row r="34" spans="10:19" x14ac:dyDescent="0.2">
      <c r="J34" s="44"/>
      <c r="K34" s="44"/>
      <c r="N34" s="2"/>
      <c r="O34" s="2"/>
      <c r="P34" s="2"/>
      <c r="S34" s="81"/>
    </row>
    <row r="35" spans="10:19" x14ac:dyDescent="0.2">
      <c r="J35" s="44"/>
      <c r="K35" s="44"/>
      <c r="N35" s="2"/>
      <c r="O35" s="2"/>
      <c r="P35" s="2"/>
      <c r="S35" s="81"/>
    </row>
    <row r="36" spans="10:19" x14ac:dyDescent="0.2">
      <c r="J36" s="44"/>
      <c r="K36" s="44"/>
      <c r="N36" s="2"/>
      <c r="O36" s="2"/>
      <c r="P36" s="2"/>
      <c r="S36" s="81"/>
    </row>
    <row r="37" spans="10:19" x14ac:dyDescent="0.2">
      <c r="J37" s="44"/>
      <c r="K37" s="44"/>
      <c r="N37" s="2"/>
      <c r="O37" s="2"/>
      <c r="P37" s="2"/>
      <c r="S37" s="81"/>
    </row>
    <row r="38" spans="10:19" x14ac:dyDescent="0.2">
      <c r="J38" s="44"/>
      <c r="K38" s="44"/>
      <c r="N38" s="2"/>
      <c r="O38" s="2"/>
      <c r="P38" s="2"/>
      <c r="S38" s="81"/>
    </row>
    <row r="39" spans="10:19" x14ac:dyDescent="0.2">
      <c r="J39" s="44"/>
      <c r="K39" s="44"/>
      <c r="N39" s="2"/>
      <c r="O39" s="2"/>
      <c r="P39" s="2"/>
      <c r="S39" s="81"/>
    </row>
    <row r="40" spans="10:19" x14ac:dyDescent="0.2">
      <c r="J40" s="44"/>
      <c r="K40" s="44"/>
      <c r="N40" s="2"/>
      <c r="O40" s="2"/>
      <c r="P40" s="2"/>
      <c r="S40" s="81"/>
    </row>
    <row r="41" spans="10:19" x14ac:dyDescent="0.2">
      <c r="J41" s="44"/>
      <c r="K41" s="44"/>
      <c r="N41" s="2"/>
      <c r="O41" s="2"/>
      <c r="P41" s="2"/>
      <c r="S41" s="81"/>
    </row>
    <row r="42" spans="10:19" x14ac:dyDescent="0.2">
      <c r="J42" s="44"/>
      <c r="K42" s="44"/>
      <c r="N42" s="2"/>
      <c r="O42" s="2"/>
      <c r="P42" s="2"/>
      <c r="S42" s="81"/>
    </row>
    <row r="43" spans="10:19" x14ac:dyDescent="0.2">
      <c r="J43" s="44"/>
      <c r="K43" s="44"/>
      <c r="N43" s="2"/>
      <c r="O43" s="2"/>
      <c r="P43" s="2"/>
      <c r="S43" s="81"/>
    </row>
    <row r="44" spans="10:19" x14ac:dyDescent="0.2">
      <c r="J44" s="44"/>
      <c r="K44" s="44"/>
      <c r="N44" s="2"/>
      <c r="O44" s="2"/>
      <c r="P44" s="2"/>
      <c r="S44" s="81"/>
    </row>
    <row r="45" spans="10:19" x14ac:dyDescent="0.2">
      <c r="J45" s="44"/>
      <c r="K45" s="44"/>
      <c r="N45" s="2"/>
      <c r="O45" s="2"/>
      <c r="P45" s="2"/>
      <c r="S45" s="81"/>
    </row>
    <row r="46" spans="10:19" x14ac:dyDescent="0.2">
      <c r="J46" s="44"/>
      <c r="K46" s="44"/>
      <c r="N46" s="2"/>
      <c r="O46" s="2"/>
      <c r="P46" s="2"/>
      <c r="S46" s="81"/>
    </row>
    <row r="47" spans="10:19" x14ac:dyDescent="0.2">
      <c r="J47" s="44"/>
      <c r="K47" s="44"/>
      <c r="N47" s="2"/>
      <c r="O47" s="2"/>
      <c r="P47" s="2"/>
      <c r="S47" s="81"/>
    </row>
    <row r="48" spans="10:19" x14ac:dyDescent="0.2">
      <c r="J48" s="44"/>
      <c r="K48" s="44"/>
      <c r="N48" s="2"/>
      <c r="O48" s="2"/>
      <c r="P48" s="2"/>
      <c r="S48" s="81"/>
    </row>
    <row r="49" spans="10:19" x14ac:dyDescent="0.2">
      <c r="J49" s="44"/>
      <c r="K49" s="44"/>
      <c r="N49" s="2"/>
      <c r="O49" s="2"/>
      <c r="P49" s="2"/>
      <c r="S49" s="81"/>
    </row>
    <row r="50" spans="10:19" x14ac:dyDescent="0.2">
      <c r="J50" s="44"/>
      <c r="K50" s="44"/>
      <c r="N50" s="2"/>
      <c r="O50" s="2"/>
      <c r="P50" s="2"/>
      <c r="S50" s="81"/>
    </row>
    <row r="51" spans="10:19" x14ac:dyDescent="0.2">
      <c r="J51" s="44"/>
      <c r="K51" s="44"/>
      <c r="N51" s="2"/>
      <c r="O51" s="2"/>
      <c r="P51" s="2"/>
      <c r="S51" s="81"/>
    </row>
    <row r="52" spans="10:19" x14ac:dyDescent="0.2">
      <c r="J52" s="44"/>
      <c r="K52" s="44"/>
      <c r="N52" s="2"/>
      <c r="O52" s="2"/>
      <c r="P52" s="2"/>
      <c r="S52" s="81"/>
    </row>
    <row r="53" spans="10:19" x14ac:dyDescent="0.2">
      <c r="J53" s="44"/>
      <c r="K53" s="44"/>
      <c r="N53" s="2"/>
      <c r="O53" s="2"/>
      <c r="P53" s="2"/>
      <c r="S53" s="81"/>
    </row>
    <row r="54" spans="10:19" x14ac:dyDescent="0.2">
      <c r="J54" s="44"/>
      <c r="K54" s="44"/>
      <c r="N54" s="2"/>
      <c r="O54" s="2"/>
      <c r="P54" s="2"/>
      <c r="S54" s="81"/>
    </row>
    <row r="55" spans="10:19" x14ac:dyDescent="0.2">
      <c r="J55" s="44"/>
      <c r="K55" s="44"/>
      <c r="N55" s="2"/>
      <c r="O55" s="2"/>
      <c r="P55" s="2"/>
      <c r="S55" s="81"/>
    </row>
    <row r="56" spans="10:19" x14ac:dyDescent="0.2">
      <c r="J56" s="44"/>
      <c r="K56" s="44"/>
      <c r="S56" s="81"/>
    </row>
    <row r="57" spans="10:19" x14ac:dyDescent="0.2">
      <c r="J57" s="44"/>
      <c r="K57" s="44"/>
      <c r="S57" s="81"/>
    </row>
    <row r="58" spans="10:19" x14ac:dyDescent="0.2">
      <c r="J58" s="44"/>
      <c r="K58" s="44"/>
      <c r="S58" s="81"/>
    </row>
    <row r="59" spans="10:19" x14ac:dyDescent="0.2">
      <c r="J59" s="44"/>
      <c r="K59" s="44"/>
      <c r="S59" s="81"/>
    </row>
    <row r="60" spans="10:19" x14ac:dyDescent="0.2">
      <c r="J60" s="44"/>
      <c r="K60" s="44"/>
      <c r="S60" s="81"/>
    </row>
    <row r="61" spans="10:19" x14ac:dyDescent="0.2">
      <c r="J61" s="44"/>
      <c r="K61" s="44"/>
      <c r="S61" s="81"/>
    </row>
    <row r="62" spans="10:19" x14ac:dyDescent="0.2">
      <c r="J62" s="44"/>
      <c r="K62" s="44"/>
      <c r="S62" s="81"/>
    </row>
    <row r="63" spans="10:19" x14ac:dyDescent="0.2">
      <c r="J63" s="44"/>
      <c r="K63" s="44"/>
      <c r="S63" s="81"/>
    </row>
    <row r="64" spans="10:19" x14ac:dyDescent="0.2">
      <c r="J64" s="44"/>
      <c r="K64" s="44"/>
      <c r="S64" s="81"/>
    </row>
    <row r="65" spans="10:19" x14ac:dyDescent="0.2">
      <c r="J65" s="44"/>
      <c r="K65" s="44"/>
      <c r="S65" s="81"/>
    </row>
    <row r="66" spans="10:19" x14ac:dyDescent="0.2">
      <c r="J66" s="105"/>
      <c r="K66" s="44"/>
      <c r="L66" s="44"/>
    </row>
    <row r="67" spans="10:19" x14ac:dyDescent="0.2">
      <c r="J67" s="105"/>
      <c r="K67" s="44"/>
      <c r="L67" s="44"/>
    </row>
    <row r="68" spans="10:19" x14ac:dyDescent="0.2">
      <c r="J68" s="105"/>
      <c r="K68" s="44"/>
      <c r="L68" s="44"/>
    </row>
    <row r="69" spans="10:19" x14ac:dyDescent="0.2">
      <c r="J69" s="105"/>
      <c r="K69" s="44"/>
      <c r="L69" s="44"/>
    </row>
    <row r="70" spans="10:19" x14ac:dyDescent="0.2">
      <c r="J70" s="105"/>
      <c r="K70" s="44"/>
      <c r="L70" s="44"/>
    </row>
    <row r="71" spans="10:19" x14ac:dyDescent="0.2">
      <c r="J71" s="105"/>
      <c r="K71" s="44"/>
      <c r="L71" s="44"/>
      <c r="S71" s="81"/>
    </row>
    <row r="72" spans="10:19" x14ac:dyDescent="0.2">
      <c r="J72" s="44"/>
      <c r="K72" s="44"/>
      <c r="S72" s="81"/>
    </row>
    <row r="73" spans="10:19" x14ac:dyDescent="0.2">
      <c r="J73" s="44"/>
      <c r="K73" s="44"/>
      <c r="S73" s="81"/>
    </row>
    <row r="74" spans="10:19" x14ac:dyDescent="0.2">
      <c r="J74" s="44"/>
      <c r="K74" s="44"/>
      <c r="S74" s="81"/>
    </row>
    <row r="75" spans="10:19" x14ac:dyDescent="0.2">
      <c r="J75" s="44"/>
      <c r="K75" s="44"/>
      <c r="S75" s="81"/>
    </row>
    <row r="76" spans="10:19" x14ac:dyDescent="0.2">
      <c r="J76" s="44"/>
      <c r="K76" s="44"/>
      <c r="S76" s="81"/>
    </row>
    <row r="77" spans="10:19" x14ac:dyDescent="0.2">
      <c r="J77" s="44"/>
      <c r="K77" s="44"/>
      <c r="S77" s="81"/>
    </row>
    <row r="78" spans="10:19" x14ac:dyDescent="0.2">
      <c r="J78" s="44"/>
      <c r="K78" s="44"/>
      <c r="S78" s="81"/>
    </row>
    <row r="79" spans="10:19" x14ac:dyDescent="0.2">
      <c r="J79" s="44"/>
      <c r="K79" s="44"/>
      <c r="S79" s="81"/>
    </row>
    <row r="80" spans="10:19" x14ac:dyDescent="0.2">
      <c r="J80" s="44"/>
      <c r="K80" s="44"/>
      <c r="S80" s="81"/>
    </row>
    <row r="81" spans="10:19" x14ac:dyDescent="0.2">
      <c r="J81" s="44"/>
      <c r="K81" s="44"/>
      <c r="S81" s="81"/>
    </row>
    <row r="82" spans="10:19" x14ac:dyDescent="0.2">
      <c r="J82" s="44"/>
      <c r="K82" s="44"/>
      <c r="S82" s="81"/>
    </row>
    <row r="83" spans="10:19" x14ac:dyDescent="0.2">
      <c r="J83" s="44"/>
      <c r="K83" s="44"/>
      <c r="S83" s="81"/>
    </row>
    <row r="84" spans="10:19" x14ac:dyDescent="0.2">
      <c r="J84" s="44"/>
      <c r="K84" s="44"/>
      <c r="S84" s="81"/>
    </row>
    <row r="85" spans="10:19" x14ac:dyDescent="0.2">
      <c r="J85" s="44"/>
      <c r="K85" s="44"/>
      <c r="S85" s="81"/>
    </row>
    <row r="86" spans="10:19" x14ac:dyDescent="0.2">
      <c r="J86" s="44"/>
      <c r="K86" s="44"/>
      <c r="S86" s="81"/>
    </row>
    <row r="87" spans="10:19" x14ac:dyDescent="0.2">
      <c r="J87" s="44"/>
      <c r="K87" s="44"/>
      <c r="S87" s="81"/>
    </row>
    <row r="88" spans="10:19" x14ac:dyDescent="0.2">
      <c r="J88" s="44"/>
      <c r="K88" s="44"/>
      <c r="S88" s="81"/>
    </row>
    <row r="89" spans="10:19" x14ac:dyDescent="0.2">
      <c r="J89" s="44"/>
      <c r="K89" s="44"/>
      <c r="S89" s="81"/>
    </row>
    <row r="90" spans="10:19" x14ac:dyDescent="0.2">
      <c r="J90" s="44"/>
      <c r="K90" s="44"/>
      <c r="S90" s="81"/>
    </row>
    <row r="91" spans="10:19" x14ac:dyDescent="0.2">
      <c r="J91" s="44"/>
      <c r="K91" s="44"/>
      <c r="S91" s="81"/>
    </row>
    <row r="92" spans="10:19" x14ac:dyDescent="0.2">
      <c r="J92" s="44"/>
      <c r="K92" s="44"/>
      <c r="S92" s="81"/>
    </row>
    <row r="93" spans="10:19" x14ac:dyDescent="0.2">
      <c r="J93" s="44"/>
      <c r="K93" s="44"/>
      <c r="S93" s="81"/>
    </row>
    <row r="94" spans="10:19" x14ac:dyDescent="0.2">
      <c r="J94" s="44"/>
      <c r="K94" s="44"/>
      <c r="S94" s="81"/>
    </row>
    <row r="95" spans="10:19" x14ac:dyDescent="0.2">
      <c r="J95" s="44"/>
      <c r="K95" s="44"/>
      <c r="S95" s="81"/>
    </row>
    <row r="96" spans="10:19" x14ac:dyDescent="0.2">
      <c r="J96" s="44"/>
      <c r="K96" s="44"/>
      <c r="S96" s="81"/>
    </row>
    <row r="97" spans="10:19" x14ac:dyDescent="0.2">
      <c r="J97" s="44"/>
      <c r="K97" s="44"/>
      <c r="S97" s="81"/>
    </row>
    <row r="98" spans="10:19" x14ac:dyDescent="0.2">
      <c r="J98" s="44"/>
      <c r="K98" s="44"/>
      <c r="S98" s="81"/>
    </row>
    <row r="99" spans="10:19" x14ac:dyDescent="0.2">
      <c r="J99" s="44"/>
      <c r="K99" s="44"/>
      <c r="S99" s="81"/>
    </row>
    <row r="100" spans="10:19" x14ac:dyDescent="0.2">
      <c r="J100" s="44"/>
      <c r="K100" s="44"/>
      <c r="S100" s="81"/>
    </row>
    <row r="101" spans="10:19" x14ac:dyDescent="0.2">
      <c r="J101" s="44"/>
      <c r="K101" s="44"/>
      <c r="S101" s="81"/>
    </row>
    <row r="102" spans="10:19" x14ac:dyDescent="0.2">
      <c r="J102" s="44"/>
      <c r="K102" s="44"/>
      <c r="S102" s="81"/>
    </row>
    <row r="103" spans="10:19" x14ac:dyDescent="0.2">
      <c r="J103" s="44"/>
      <c r="K103" s="44"/>
      <c r="S103" s="81"/>
    </row>
    <row r="104" spans="10:19" x14ac:dyDescent="0.2">
      <c r="J104" s="44"/>
      <c r="K104" s="44"/>
      <c r="S104" s="81"/>
    </row>
    <row r="105" spans="10:19" x14ac:dyDescent="0.2">
      <c r="J105" s="44"/>
      <c r="K105" s="44"/>
      <c r="S105" s="81"/>
    </row>
    <row r="106" spans="10:19" x14ac:dyDescent="0.2">
      <c r="J106" s="44"/>
      <c r="K106" s="44"/>
      <c r="S106" s="81"/>
    </row>
    <row r="107" spans="10:19" x14ac:dyDescent="0.2">
      <c r="J107" s="44"/>
      <c r="K107" s="44"/>
      <c r="S107" s="81"/>
    </row>
    <row r="108" spans="10:19" x14ac:dyDescent="0.2">
      <c r="J108" s="44"/>
      <c r="K108" s="44"/>
      <c r="S108" s="81"/>
    </row>
    <row r="109" spans="10:19" x14ac:dyDescent="0.2">
      <c r="J109" s="44"/>
      <c r="K109" s="44"/>
      <c r="S109" s="81"/>
    </row>
    <row r="110" spans="10:19" x14ac:dyDescent="0.2">
      <c r="J110" s="44"/>
      <c r="K110" s="44"/>
      <c r="S110" s="81"/>
    </row>
    <row r="111" spans="10:19" x14ac:dyDescent="0.2">
      <c r="J111" s="44"/>
      <c r="K111" s="44"/>
      <c r="S111" s="81"/>
    </row>
    <row r="112" spans="10:19" x14ac:dyDescent="0.2">
      <c r="J112" s="44"/>
      <c r="K112" s="44"/>
      <c r="S112" s="81"/>
    </row>
    <row r="113" spans="10:19" x14ac:dyDescent="0.2">
      <c r="J113" s="44"/>
      <c r="K113" s="44"/>
      <c r="S113" s="81"/>
    </row>
    <row r="114" spans="10:19" x14ac:dyDescent="0.2">
      <c r="J114" s="44"/>
      <c r="K114" s="44"/>
      <c r="S114" s="81"/>
    </row>
    <row r="115" spans="10:19" x14ac:dyDescent="0.2">
      <c r="J115" s="44"/>
      <c r="K115" s="44"/>
      <c r="S115" s="81"/>
    </row>
    <row r="116" spans="10:19" x14ac:dyDescent="0.2">
      <c r="J116" s="44"/>
      <c r="K116" s="44"/>
      <c r="S116" s="81"/>
    </row>
    <row r="117" spans="10:19" x14ac:dyDescent="0.2">
      <c r="J117" s="44"/>
      <c r="K117" s="44"/>
      <c r="S117" s="81"/>
    </row>
    <row r="118" spans="10:19" x14ac:dyDescent="0.2">
      <c r="J118" s="44"/>
      <c r="K118" s="44"/>
      <c r="S118" s="81"/>
    </row>
    <row r="119" spans="10:19" x14ac:dyDescent="0.2">
      <c r="J119" s="44"/>
      <c r="K119" s="44"/>
      <c r="S119" s="81"/>
    </row>
    <row r="120" spans="10:19" x14ac:dyDescent="0.2">
      <c r="J120" s="44"/>
      <c r="K120" s="44"/>
      <c r="S120" s="81"/>
    </row>
    <row r="121" spans="10:19" x14ac:dyDescent="0.2">
      <c r="J121" s="44"/>
      <c r="K121" s="44"/>
      <c r="S121" s="81"/>
    </row>
    <row r="122" spans="10:19" x14ac:dyDescent="0.2">
      <c r="J122" s="44"/>
      <c r="K122" s="44"/>
      <c r="S122" s="81"/>
    </row>
    <row r="123" spans="10:19" x14ac:dyDescent="0.2">
      <c r="J123" s="44"/>
      <c r="K123" s="44"/>
      <c r="S123" s="81"/>
    </row>
    <row r="124" spans="10:19" x14ac:dyDescent="0.2">
      <c r="J124" s="44"/>
      <c r="K124" s="44"/>
      <c r="S124" s="81"/>
    </row>
    <row r="125" spans="10:19" x14ac:dyDescent="0.2">
      <c r="J125" s="44"/>
      <c r="K125" s="44"/>
      <c r="S125" s="81"/>
    </row>
    <row r="126" spans="10:19" x14ac:dyDescent="0.2">
      <c r="J126" s="44"/>
      <c r="K126" s="44"/>
      <c r="S126" s="81"/>
    </row>
    <row r="127" spans="10:19" x14ac:dyDescent="0.2">
      <c r="J127" s="44"/>
      <c r="K127" s="44"/>
      <c r="S127" s="81"/>
    </row>
    <row r="128" spans="10:19" x14ac:dyDescent="0.2">
      <c r="J128" s="44"/>
      <c r="K128" s="44"/>
      <c r="S128" s="81"/>
    </row>
    <row r="129" spans="10:19" x14ac:dyDescent="0.2">
      <c r="J129" s="44"/>
      <c r="K129" s="44"/>
      <c r="S129" s="81"/>
    </row>
    <row r="130" spans="10:19" x14ac:dyDescent="0.2">
      <c r="J130" s="44"/>
      <c r="K130" s="44"/>
      <c r="S130" s="81"/>
    </row>
    <row r="131" spans="10:19" x14ac:dyDescent="0.2">
      <c r="J131" s="44"/>
      <c r="K131" s="44"/>
      <c r="S131" s="81"/>
    </row>
    <row r="132" spans="10:19" x14ac:dyDescent="0.2">
      <c r="J132" s="44"/>
      <c r="K132" s="44"/>
      <c r="S132" s="81"/>
    </row>
    <row r="133" spans="10:19" x14ac:dyDescent="0.2">
      <c r="J133" s="44"/>
      <c r="K133" s="44"/>
      <c r="S133" s="81"/>
    </row>
    <row r="134" spans="10:19" x14ac:dyDescent="0.2">
      <c r="J134" s="44"/>
      <c r="K134" s="44"/>
      <c r="S134" s="81"/>
    </row>
    <row r="135" spans="10:19" x14ac:dyDescent="0.2">
      <c r="J135" s="44"/>
      <c r="K135" s="44"/>
      <c r="S135" s="81"/>
    </row>
    <row r="136" spans="10:19" x14ac:dyDescent="0.2">
      <c r="J136" s="44"/>
      <c r="K136" s="44"/>
      <c r="S136" s="81"/>
    </row>
    <row r="137" spans="10:19" x14ac:dyDescent="0.2">
      <c r="J137" s="44"/>
      <c r="K137" s="44"/>
      <c r="S137" s="81"/>
    </row>
    <row r="138" spans="10:19" x14ac:dyDescent="0.2">
      <c r="J138" s="44"/>
      <c r="K138" s="44"/>
      <c r="S138" s="81"/>
    </row>
    <row r="139" spans="10:19" x14ac:dyDescent="0.2">
      <c r="J139" s="44"/>
      <c r="K139" s="44"/>
      <c r="S139" s="81"/>
    </row>
    <row r="140" spans="10:19" x14ac:dyDescent="0.2">
      <c r="J140" s="44"/>
      <c r="K140" s="44"/>
      <c r="S140" s="81"/>
    </row>
    <row r="141" spans="10:19" x14ac:dyDescent="0.2">
      <c r="J141" s="44"/>
      <c r="K141" s="44"/>
      <c r="S141" s="81"/>
    </row>
    <row r="142" spans="10:19" x14ac:dyDescent="0.2">
      <c r="J142" s="44"/>
      <c r="K142" s="44"/>
      <c r="S142" s="81"/>
    </row>
    <row r="143" spans="10:19" x14ac:dyDescent="0.2">
      <c r="J143" s="44"/>
      <c r="K143" s="44"/>
      <c r="S143" s="81"/>
    </row>
    <row r="144" spans="10:19" x14ac:dyDescent="0.2">
      <c r="J144" s="44"/>
      <c r="K144" s="44"/>
      <c r="S144" s="81"/>
    </row>
    <row r="145" spans="10:19" x14ac:dyDescent="0.2">
      <c r="J145" s="44"/>
      <c r="K145" s="44"/>
      <c r="S145" s="81"/>
    </row>
    <row r="146" spans="10:19" x14ac:dyDescent="0.2">
      <c r="J146" s="44"/>
      <c r="K146" s="44"/>
      <c r="S146" s="81"/>
    </row>
    <row r="147" spans="10:19" x14ac:dyDescent="0.2">
      <c r="J147" s="44"/>
      <c r="K147" s="44"/>
      <c r="S147" s="81"/>
    </row>
    <row r="148" spans="10:19" x14ac:dyDescent="0.2">
      <c r="J148" s="44"/>
      <c r="K148" s="44"/>
      <c r="S148" s="81"/>
    </row>
    <row r="149" spans="10:19" x14ac:dyDescent="0.2">
      <c r="J149" s="44"/>
      <c r="K149" s="44"/>
      <c r="S149" s="81"/>
    </row>
    <row r="150" spans="10:19" x14ac:dyDescent="0.2">
      <c r="J150" s="44"/>
      <c r="K150" s="44"/>
      <c r="S150" s="81"/>
    </row>
    <row r="151" spans="10:19" x14ac:dyDescent="0.2">
      <c r="J151" s="44"/>
      <c r="K151" s="44"/>
      <c r="S151" s="81"/>
    </row>
    <row r="152" spans="10:19" x14ac:dyDescent="0.2">
      <c r="J152" s="44"/>
      <c r="K152" s="44"/>
      <c r="S152" s="81"/>
    </row>
    <row r="153" spans="10:19" x14ac:dyDescent="0.2">
      <c r="J153" s="44"/>
      <c r="K153" s="44"/>
      <c r="S153" s="81"/>
    </row>
    <row r="154" spans="10:19" x14ac:dyDescent="0.2">
      <c r="J154" s="44"/>
      <c r="K154" s="44"/>
      <c r="S154" s="81"/>
    </row>
    <row r="155" spans="10:19" x14ac:dyDescent="0.2">
      <c r="J155" s="44"/>
      <c r="K155" s="44"/>
      <c r="S155" s="81"/>
    </row>
    <row r="156" spans="10:19" x14ac:dyDescent="0.2">
      <c r="J156" s="44"/>
      <c r="K156" s="44"/>
      <c r="S156" s="81"/>
    </row>
    <row r="157" spans="10:19" x14ac:dyDescent="0.2">
      <c r="J157" s="44"/>
      <c r="K157" s="44"/>
      <c r="S157" s="81"/>
    </row>
    <row r="158" spans="10:19" x14ac:dyDescent="0.2">
      <c r="J158" s="44"/>
      <c r="K158" s="44"/>
      <c r="S158" s="81"/>
    </row>
    <row r="159" spans="10:19" x14ac:dyDescent="0.2">
      <c r="J159" s="44"/>
      <c r="K159" s="44"/>
      <c r="S159" s="81"/>
    </row>
    <row r="160" spans="10:19" x14ac:dyDescent="0.2">
      <c r="J160" s="44"/>
      <c r="K160" s="44"/>
      <c r="S160" s="81"/>
    </row>
    <row r="161" spans="10:19" x14ac:dyDescent="0.2">
      <c r="J161" s="44"/>
      <c r="K161" s="44"/>
      <c r="S161" s="81"/>
    </row>
    <row r="162" spans="10:19" x14ac:dyDescent="0.2">
      <c r="J162" s="44"/>
      <c r="K162" s="44"/>
      <c r="S162" s="81"/>
    </row>
    <row r="163" spans="10:19" x14ac:dyDescent="0.2">
      <c r="J163" s="44"/>
      <c r="K163" s="44"/>
      <c r="S163" s="81"/>
    </row>
    <row r="164" spans="10:19" x14ac:dyDescent="0.2">
      <c r="J164" s="44"/>
      <c r="K164" s="44"/>
      <c r="S164" s="81"/>
    </row>
    <row r="165" spans="10:19" x14ac:dyDescent="0.2">
      <c r="J165" s="44"/>
      <c r="K165" s="44"/>
      <c r="S165" s="81"/>
    </row>
    <row r="166" spans="10:19" x14ac:dyDescent="0.2">
      <c r="J166" s="44"/>
      <c r="K166" s="44"/>
      <c r="S166" s="81"/>
    </row>
    <row r="167" spans="10:19" x14ac:dyDescent="0.2">
      <c r="J167" s="44"/>
      <c r="K167" s="44"/>
      <c r="S167" s="81"/>
    </row>
    <row r="168" spans="10:19" x14ac:dyDescent="0.2">
      <c r="J168" s="44"/>
      <c r="K168" s="44"/>
      <c r="S168" s="81"/>
    </row>
    <row r="169" spans="10:19" x14ac:dyDescent="0.2">
      <c r="J169" s="44"/>
      <c r="K169" s="44"/>
      <c r="S169" s="81"/>
    </row>
    <row r="170" spans="10:19" x14ac:dyDescent="0.2">
      <c r="J170" s="44"/>
      <c r="K170" s="44"/>
      <c r="S170" s="81"/>
    </row>
    <row r="171" spans="10:19" x14ac:dyDescent="0.2">
      <c r="J171" s="44"/>
      <c r="K171" s="44"/>
      <c r="S171" s="81"/>
    </row>
    <row r="172" spans="10:19" x14ac:dyDescent="0.2">
      <c r="J172" s="44"/>
      <c r="K172" s="44"/>
      <c r="S172" s="81"/>
    </row>
    <row r="173" spans="10:19" x14ac:dyDescent="0.2">
      <c r="J173" s="44"/>
      <c r="K173" s="44"/>
      <c r="S173" s="81"/>
    </row>
    <row r="174" spans="10:19" x14ac:dyDescent="0.2">
      <c r="J174" s="44"/>
      <c r="K174" s="44"/>
      <c r="S174" s="81"/>
    </row>
    <row r="175" spans="10:19" x14ac:dyDescent="0.2">
      <c r="J175" s="44"/>
      <c r="K175" s="44"/>
      <c r="S175" s="81"/>
    </row>
    <row r="176" spans="10:19" x14ac:dyDescent="0.2">
      <c r="J176" s="44"/>
      <c r="K176" s="44"/>
      <c r="S176" s="81"/>
    </row>
    <row r="177" spans="10:19" x14ac:dyDescent="0.2">
      <c r="J177" s="44"/>
      <c r="K177" s="44"/>
      <c r="S177" s="81"/>
    </row>
    <row r="178" spans="10:19" x14ac:dyDescent="0.2">
      <c r="J178" s="44"/>
      <c r="K178" s="44"/>
      <c r="S178" s="81"/>
    </row>
    <row r="179" spans="10:19" x14ac:dyDescent="0.2">
      <c r="J179" s="44"/>
      <c r="K179" s="44"/>
      <c r="S179" s="81"/>
    </row>
    <row r="180" spans="10:19" x14ac:dyDescent="0.2">
      <c r="J180" s="44"/>
      <c r="K180" s="44"/>
      <c r="S180" s="81"/>
    </row>
    <row r="181" spans="10:19" x14ac:dyDescent="0.2">
      <c r="J181" s="44"/>
      <c r="K181" s="44"/>
      <c r="S181" s="81"/>
    </row>
    <row r="182" spans="10:19" x14ac:dyDescent="0.2">
      <c r="J182" s="44"/>
      <c r="K182" s="44"/>
      <c r="S182" s="81"/>
    </row>
    <row r="183" spans="10:19" x14ac:dyDescent="0.2">
      <c r="J183" s="44"/>
      <c r="K183" s="44"/>
      <c r="S183" s="81"/>
    </row>
    <row r="184" spans="10:19" x14ac:dyDescent="0.2">
      <c r="J184" s="44"/>
      <c r="K184" s="44"/>
      <c r="S184" s="81"/>
    </row>
    <row r="185" spans="10:19" x14ac:dyDescent="0.2">
      <c r="J185" s="44"/>
      <c r="K185" s="44"/>
      <c r="S185" s="81"/>
    </row>
    <row r="186" spans="10:19" x14ac:dyDescent="0.2">
      <c r="J186" s="44"/>
      <c r="K186" s="44"/>
      <c r="S186" s="81"/>
    </row>
    <row r="187" spans="10:19" x14ac:dyDescent="0.2">
      <c r="J187" s="44"/>
      <c r="K187" s="44"/>
      <c r="S187" s="81"/>
    </row>
    <row r="188" spans="10:19" x14ac:dyDescent="0.2">
      <c r="J188" s="44"/>
      <c r="K188" s="44"/>
      <c r="S188" s="81"/>
    </row>
    <row r="189" spans="10:19" x14ac:dyDescent="0.2">
      <c r="J189" s="44"/>
      <c r="K189" s="44"/>
      <c r="S189" s="81"/>
    </row>
    <row r="190" spans="10:19" x14ac:dyDescent="0.2">
      <c r="J190" s="44"/>
      <c r="K190" s="44"/>
      <c r="S190" s="81"/>
    </row>
    <row r="191" spans="10:19" x14ac:dyDescent="0.2">
      <c r="J191" s="44"/>
      <c r="K191" s="44"/>
      <c r="S191" s="81"/>
    </row>
    <row r="192" spans="10:19" x14ac:dyDescent="0.2">
      <c r="J192" s="44"/>
      <c r="K192" s="44"/>
      <c r="S192" s="81"/>
    </row>
    <row r="193" spans="10:19" x14ac:dyDescent="0.2">
      <c r="J193" s="44"/>
      <c r="K193" s="44"/>
      <c r="S193" s="81"/>
    </row>
    <row r="194" spans="10:19" x14ac:dyDescent="0.2">
      <c r="J194" s="44"/>
      <c r="K194" s="44"/>
      <c r="S194" s="81"/>
    </row>
    <row r="195" spans="10:19" x14ac:dyDescent="0.2">
      <c r="J195" s="44"/>
      <c r="K195" s="44"/>
      <c r="S195" s="81"/>
    </row>
    <row r="196" spans="10:19" x14ac:dyDescent="0.2">
      <c r="J196" s="44"/>
      <c r="K196" s="44"/>
      <c r="S196" s="81"/>
    </row>
    <row r="197" spans="10:19" x14ac:dyDescent="0.2">
      <c r="J197" s="44"/>
      <c r="K197" s="44"/>
      <c r="S197" s="81"/>
    </row>
    <row r="198" spans="10:19" x14ac:dyDescent="0.2">
      <c r="J198" s="44"/>
      <c r="K198" s="44"/>
      <c r="S198" s="81"/>
    </row>
    <row r="199" spans="10:19" x14ac:dyDescent="0.2">
      <c r="J199" s="44"/>
      <c r="K199" s="44"/>
      <c r="S199" s="81"/>
    </row>
    <row r="200" spans="10:19" x14ac:dyDescent="0.2">
      <c r="J200" s="44"/>
      <c r="K200" s="44"/>
      <c r="S200" s="81"/>
    </row>
    <row r="201" spans="10:19" x14ac:dyDescent="0.2">
      <c r="J201" s="44"/>
      <c r="K201" s="44"/>
      <c r="S201" s="81"/>
    </row>
    <row r="202" spans="10:19" x14ac:dyDescent="0.2">
      <c r="J202" s="44"/>
      <c r="K202" s="44"/>
      <c r="S202" s="81"/>
    </row>
    <row r="203" spans="10:19" x14ac:dyDescent="0.2">
      <c r="J203" s="44"/>
      <c r="K203" s="44"/>
      <c r="S203" s="81"/>
    </row>
    <row r="204" spans="10:19" x14ac:dyDescent="0.2">
      <c r="J204" s="44"/>
      <c r="K204" s="44"/>
      <c r="S204" s="81"/>
    </row>
    <row r="205" spans="10:19" x14ac:dyDescent="0.2">
      <c r="J205" s="44"/>
      <c r="K205" s="44"/>
      <c r="S205" s="81"/>
    </row>
    <row r="206" spans="10:19" x14ac:dyDescent="0.2">
      <c r="J206" s="44"/>
      <c r="K206" s="44"/>
      <c r="S206" s="81"/>
    </row>
    <row r="207" spans="10:19" x14ac:dyDescent="0.2">
      <c r="J207" s="44"/>
      <c r="K207" s="44"/>
      <c r="S207" s="81"/>
    </row>
    <row r="208" spans="10:19" x14ac:dyDescent="0.2">
      <c r="J208" s="44"/>
      <c r="K208" s="44"/>
      <c r="S208" s="81"/>
    </row>
    <row r="209" spans="10:19" x14ac:dyDescent="0.2">
      <c r="J209" s="44"/>
      <c r="K209" s="44"/>
      <c r="S209" s="81"/>
    </row>
    <row r="210" spans="10:19" x14ac:dyDescent="0.2">
      <c r="J210" s="44"/>
      <c r="K210" s="44"/>
      <c r="S210" s="81"/>
    </row>
    <row r="211" spans="10:19" x14ac:dyDescent="0.2">
      <c r="J211" s="44"/>
      <c r="K211" s="44"/>
      <c r="S211" s="81"/>
    </row>
    <row r="212" spans="10:19" x14ac:dyDescent="0.2">
      <c r="J212" s="44"/>
      <c r="K212" s="44"/>
      <c r="S212" s="81"/>
    </row>
    <row r="213" spans="10:19" x14ac:dyDescent="0.2">
      <c r="J213" s="44"/>
      <c r="K213" s="44"/>
      <c r="S213" s="81"/>
    </row>
    <row r="214" spans="10:19" x14ac:dyDescent="0.2">
      <c r="J214" s="44"/>
      <c r="K214" s="44"/>
      <c r="S214" s="81"/>
    </row>
    <row r="215" spans="10:19" x14ac:dyDescent="0.2">
      <c r="J215" s="44"/>
      <c r="K215" s="44"/>
      <c r="S215" s="81"/>
    </row>
    <row r="216" spans="10:19" x14ac:dyDescent="0.2">
      <c r="J216" s="44"/>
      <c r="K216" s="44"/>
      <c r="S216" s="81"/>
    </row>
    <row r="217" spans="10:19" x14ac:dyDescent="0.2">
      <c r="J217" s="44"/>
      <c r="K217" s="44"/>
      <c r="S217" s="81"/>
    </row>
    <row r="218" spans="10:19" x14ac:dyDescent="0.2">
      <c r="J218" s="44"/>
      <c r="K218" s="44"/>
      <c r="S218" s="81"/>
    </row>
    <row r="219" spans="10:19" x14ac:dyDescent="0.2">
      <c r="J219" s="44"/>
      <c r="K219" s="44"/>
      <c r="S219" s="81"/>
    </row>
    <row r="220" spans="10:19" x14ac:dyDescent="0.2">
      <c r="J220" s="44"/>
      <c r="K220" s="44"/>
      <c r="S220" s="81"/>
    </row>
    <row r="221" spans="10:19" x14ac:dyDescent="0.2">
      <c r="J221" s="44"/>
      <c r="K221" s="44"/>
      <c r="S221" s="81"/>
    </row>
    <row r="222" spans="10:19" x14ac:dyDescent="0.2">
      <c r="J222" s="44"/>
      <c r="K222" s="44"/>
      <c r="S222" s="81"/>
    </row>
    <row r="223" spans="10:19" x14ac:dyDescent="0.2">
      <c r="J223" s="44"/>
      <c r="K223" s="44"/>
      <c r="S223" s="81"/>
    </row>
    <row r="224" spans="10:19" x14ac:dyDescent="0.2">
      <c r="J224" s="44"/>
      <c r="K224" s="44"/>
      <c r="S224" s="81"/>
    </row>
    <row r="225" spans="10:19" x14ac:dyDescent="0.2">
      <c r="J225" s="44"/>
      <c r="K225" s="44"/>
      <c r="S225" s="81"/>
    </row>
    <row r="226" spans="10:19" x14ac:dyDescent="0.2">
      <c r="J226" s="44"/>
      <c r="K226" s="44"/>
      <c r="S226" s="81"/>
    </row>
    <row r="227" spans="10:19" x14ac:dyDescent="0.2">
      <c r="J227" s="44"/>
      <c r="K227" s="44"/>
      <c r="S227" s="81"/>
    </row>
    <row r="228" spans="10:19" x14ac:dyDescent="0.2">
      <c r="J228" s="44"/>
      <c r="K228" s="44"/>
      <c r="S228" s="81"/>
    </row>
    <row r="229" spans="10:19" x14ac:dyDescent="0.2">
      <c r="J229" s="44"/>
      <c r="K229" s="44"/>
      <c r="S229" s="81"/>
    </row>
    <row r="230" spans="10:19" x14ac:dyDescent="0.2">
      <c r="J230" s="44"/>
      <c r="K230" s="44"/>
      <c r="S230" s="81"/>
    </row>
    <row r="231" spans="10:19" x14ac:dyDescent="0.2">
      <c r="J231" s="44"/>
      <c r="K231" s="44"/>
      <c r="S231" s="81"/>
    </row>
    <row r="232" spans="10:19" x14ac:dyDescent="0.2">
      <c r="J232" s="44"/>
      <c r="K232" s="44"/>
      <c r="S232" s="81"/>
    </row>
    <row r="233" spans="10:19" x14ac:dyDescent="0.2">
      <c r="J233" s="44"/>
      <c r="K233" s="44"/>
      <c r="S233" s="81"/>
    </row>
    <row r="234" spans="10:19" x14ac:dyDescent="0.2">
      <c r="J234" s="44"/>
      <c r="K234" s="44"/>
      <c r="S234" s="81"/>
    </row>
    <row r="235" spans="10:19" x14ac:dyDescent="0.2">
      <c r="J235" s="44"/>
      <c r="K235" s="44"/>
      <c r="S235" s="81"/>
    </row>
    <row r="236" spans="10:19" x14ac:dyDescent="0.2">
      <c r="J236" s="44"/>
      <c r="K236" s="44"/>
      <c r="S236" s="81"/>
    </row>
    <row r="237" spans="10:19" x14ac:dyDescent="0.2">
      <c r="J237" s="44"/>
      <c r="K237" s="44"/>
      <c r="S237" s="81"/>
    </row>
    <row r="238" spans="10:19" x14ac:dyDescent="0.2">
      <c r="J238" s="44"/>
      <c r="K238" s="44"/>
      <c r="S238" s="81"/>
    </row>
    <row r="239" spans="10:19" x14ac:dyDescent="0.2">
      <c r="J239" s="44"/>
      <c r="K239" s="44"/>
      <c r="S239" s="81"/>
    </row>
    <row r="240" spans="10:19" x14ac:dyDescent="0.2">
      <c r="J240" s="44"/>
      <c r="K240" s="44"/>
      <c r="S240" s="81"/>
    </row>
    <row r="241" spans="10:19" x14ac:dyDescent="0.2">
      <c r="J241" s="44"/>
      <c r="K241" s="44"/>
      <c r="S241" s="81"/>
    </row>
    <row r="242" spans="10:19" x14ac:dyDescent="0.2">
      <c r="J242" s="44"/>
      <c r="K242" s="44"/>
      <c r="S242" s="81"/>
    </row>
    <row r="243" spans="10:19" x14ac:dyDescent="0.2">
      <c r="J243" s="44"/>
      <c r="K243" s="44"/>
      <c r="S243" s="81"/>
    </row>
    <row r="244" spans="10:19" x14ac:dyDescent="0.2">
      <c r="J244" s="44"/>
      <c r="K244" s="44"/>
      <c r="S244" s="81"/>
    </row>
    <row r="245" spans="10:19" x14ac:dyDescent="0.2">
      <c r="J245" s="44"/>
      <c r="K245" s="44"/>
      <c r="S245" s="81"/>
    </row>
    <row r="246" spans="10:19" x14ac:dyDescent="0.2">
      <c r="J246" s="44"/>
      <c r="K246" s="44"/>
      <c r="S246" s="81"/>
    </row>
    <row r="247" spans="10:19" x14ac:dyDescent="0.2">
      <c r="J247" s="44"/>
      <c r="K247" s="44"/>
      <c r="S247" s="81"/>
    </row>
    <row r="248" spans="10:19" x14ac:dyDescent="0.2">
      <c r="J248" s="44"/>
      <c r="K248" s="44"/>
      <c r="S248" s="81"/>
    </row>
    <row r="249" spans="10:19" x14ac:dyDescent="0.2">
      <c r="J249" s="44"/>
      <c r="K249" s="44"/>
      <c r="S249" s="81"/>
    </row>
    <row r="250" spans="10:19" x14ac:dyDescent="0.2">
      <c r="J250" s="44"/>
      <c r="K250" s="44"/>
      <c r="S250" s="81"/>
    </row>
    <row r="251" spans="10:19" x14ac:dyDescent="0.2">
      <c r="J251" s="44"/>
      <c r="K251" s="44"/>
      <c r="S251" s="81"/>
    </row>
    <row r="252" spans="10:19" x14ac:dyDescent="0.2">
      <c r="J252" s="44"/>
      <c r="K252" s="44"/>
      <c r="S252" s="81"/>
    </row>
    <row r="253" spans="10:19" x14ac:dyDescent="0.2">
      <c r="J253" s="44"/>
      <c r="K253" s="44"/>
      <c r="S253" s="81"/>
    </row>
    <row r="254" spans="10:19" x14ac:dyDescent="0.2">
      <c r="J254" s="44"/>
      <c r="K254" s="44"/>
      <c r="S254" s="81"/>
    </row>
    <row r="255" spans="10:19" x14ac:dyDescent="0.2">
      <c r="J255" s="44"/>
      <c r="K255" s="44"/>
      <c r="S255" s="81"/>
    </row>
    <row r="256" spans="10:19" x14ac:dyDescent="0.2">
      <c r="J256" s="44"/>
      <c r="K256" s="44"/>
      <c r="S256" s="81"/>
    </row>
    <row r="257" spans="10:19" x14ac:dyDescent="0.2">
      <c r="J257" s="44"/>
      <c r="K257" s="44"/>
      <c r="S257" s="81"/>
    </row>
    <row r="258" spans="10:19" x14ac:dyDescent="0.2">
      <c r="J258" s="44"/>
      <c r="K258" s="44"/>
      <c r="S258" s="81"/>
    </row>
    <row r="259" spans="10:19" x14ac:dyDescent="0.2">
      <c r="J259" s="44"/>
      <c r="K259" s="44"/>
      <c r="S259" s="81"/>
    </row>
    <row r="260" spans="10:19" x14ac:dyDescent="0.2">
      <c r="J260" s="44"/>
      <c r="K260" s="44"/>
      <c r="S260" s="81"/>
    </row>
    <row r="261" spans="10:19" x14ac:dyDescent="0.2">
      <c r="J261" s="44"/>
      <c r="K261" s="44"/>
      <c r="S261" s="81"/>
    </row>
    <row r="262" spans="10:19" x14ac:dyDescent="0.2">
      <c r="J262" s="44"/>
      <c r="K262" s="44"/>
      <c r="S262" s="81"/>
    </row>
    <row r="263" spans="10:19" x14ac:dyDescent="0.2">
      <c r="J263" s="44"/>
      <c r="K263" s="44"/>
      <c r="S263" s="81"/>
    </row>
    <row r="264" spans="10:19" x14ac:dyDescent="0.2">
      <c r="J264" s="44"/>
      <c r="K264" s="44"/>
      <c r="S264" s="81"/>
    </row>
    <row r="265" spans="10:19" x14ac:dyDescent="0.2">
      <c r="J265" s="44"/>
      <c r="K265" s="44"/>
      <c r="S265" s="81"/>
    </row>
    <row r="266" spans="10:19" x14ac:dyDescent="0.2">
      <c r="J266" s="44"/>
      <c r="K266" s="44"/>
      <c r="S266" s="81"/>
    </row>
    <row r="267" spans="10:19" x14ac:dyDescent="0.2">
      <c r="J267" s="44"/>
      <c r="K267" s="44"/>
      <c r="S267" s="81"/>
    </row>
    <row r="268" spans="10:19" x14ac:dyDescent="0.2">
      <c r="J268" s="44"/>
      <c r="K268" s="44"/>
      <c r="S268" s="81"/>
    </row>
    <row r="269" spans="10:19" x14ac:dyDescent="0.2">
      <c r="J269" s="44"/>
      <c r="K269" s="44"/>
      <c r="S269" s="81"/>
    </row>
    <row r="270" spans="10:19" x14ac:dyDescent="0.2">
      <c r="J270" s="44"/>
      <c r="K270" s="44"/>
      <c r="S270" s="81"/>
    </row>
    <row r="271" spans="10:19" x14ac:dyDescent="0.2">
      <c r="J271" s="44"/>
      <c r="K271" s="44"/>
      <c r="S271" s="81"/>
    </row>
    <row r="272" spans="10:19" x14ac:dyDescent="0.2">
      <c r="J272" s="44"/>
      <c r="K272" s="44"/>
      <c r="S272" s="81"/>
    </row>
    <row r="273" spans="10:19" x14ac:dyDescent="0.2">
      <c r="J273" s="44"/>
      <c r="K273" s="44"/>
      <c r="S273" s="81"/>
    </row>
    <row r="274" spans="10:19" x14ac:dyDescent="0.2">
      <c r="J274" s="44"/>
      <c r="K274" s="44"/>
      <c r="S274" s="81"/>
    </row>
    <row r="275" spans="10:19" x14ac:dyDescent="0.2">
      <c r="J275" s="44"/>
      <c r="K275" s="44"/>
      <c r="S275" s="81"/>
    </row>
    <row r="276" spans="10:19" x14ac:dyDescent="0.2">
      <c r="J276" s="44"/>
      <c r="K276" s="44"/>
      <c r="S276" s="81"/>
    </row>
    <row r="277" spans="10:19" x14ac:dyDescent="0.2">
      <c r="J277" s="44"/>
      <c r="K277" s="44"/>
      <c r="S277" s="81"/>
    </row>
    <row r="278" spans="10:19" x14ac:dyDescent="0.2">
      <c r="J278" s="44"/>
      <c r="K278" s="44"/>
      <c r="S278" s="81"/>
    </row>
    <row r="279" spans="10:19" x14ac:dyDescent="0.2">
      <c r="J279" s="44"/>
      <c r="K279" s="44"/>
      <c r="S279" s="81"/>
    </row>
    <row r="280" spans="10:19" x14ac:dyDescent="0.2">
      <c r="J280" s="44"/>
      <c r="K280" s="44"/>
      <c r="S280" s="81"/>
    </row>
    <row r="281" spans="10:19" x14ac:dyDescent="0.2">
      <c r="J281" s="44"/>
      <c r="K281" s="44"/>
      <c r="S281" s="81"/>
    </row>
    <row r="282" spans="10:19" x14ac:dyDescent="0.2">
      <c r="J282" s="44"/>
      <c r="K282" s="44"/>
      <c r="S282" s="81"/>
    </row>
    <row r="283" spans="10:19" x14ac:dyDescent="0.2">
      <c r="J283" s="44"/>
      <c r="K283" s="44"/>
      <c r="S283" s="81"/>
    </row>
    <row r="284" spans="10:19" x14ac:dyDescent="0.2">
      <c r="J284" s="44"/>
      <c r="K284" s="44"/>
      <c r="S284" s="81"/>
    </row>
    <row r="285" spans="10:19" x14ac:dyDescent="0.2">
      <c r="J285" s="44"/>
      <c r="K285" s="44"/>
      <c r="S285" s="81"/>
    </row>
    <row r="286" spans="10:19" x14ac:dyDescent="0.2">
      <c r="J286" s="44"/>
      <c r="K286" s="44"/>
      <c r="S286" s="81"/>
    </row>
    <row r="287" spans="10:19" x14ac:dyDescent="0.2">
      <c r="J287" s="44"/>
      <c r="K287" s="44"/>
      <c r="S287" s="81"/>
    </row>
    <row r="288" spans="10:19" x14ac:dyDescent="0.2">
      <c r="J288" s="44"/>
      <c r="K288" s="44"/>
      <c r="S288" s="81"/>
    </row>
    <row r="289" spans="10:19" x14ac:dyDescent="0.2">
      <c r="J289" s="44"/>
      <c r="K289" s="44"/>
      <c r="S289" s="81"/>
    </row>
    <row r="290" spans="10:19" x14ac:dyDescent="0.2">
      <c r="J290" s="44"/>
      <c r="K290" s="44"/>
      <c r="S290" s="81"/>
    </row>
    <row r="291" spans="10:19" x14ac:dyDescent="0.2">
      <c r="J291" s="44"/>
      <c r="K291" s="44"/>
      <c r="S291" s="81"/>
    </row>
    <row r="292" spans="10:19" x14ac:dyDescent="0.2">
      <c r="J292" s="44"/>
      <c r="K292" s="44"/>
      <c r="S292" s="81"/>
    </row>
    <row r="293" spans="10:19" x14ac:dyDescent="0.2">
      <c r="J293" s="44"/>
      <c r="K293" s="44"/>
      <c r="S293" s="81"/>
    </row>
    <row r="294" spans="10:19" x14ac:dyDescent="0.2">
      <c r="J294" s="44"/>
      <c r="K294" s="44"/>
      <c r="S294" s="81"/>
    </row>
    <row r="295" spans="10:19" x14ac:dyDescent="0.2">
      <c r="J295" s="44"/>
      <c r="K295" s="44"/>
      <c r="S295" s="81"/>
    </row>
    <row r="296" spans="10:19" x14ac:dyDescent="0.2">
      <c r="J296" s="44"/>
      <c r="K296" s="44"/>
      <c r="S296" s="81"/>
    </row>
    <row r="297" spans="10:19" x14ac:dyDescent="0.2">
      <c r="J297" s="44"/>
      <c r="K297" s="44"/>
      <c r="S297" s="81"/>
    </row>
    <row r="298" spans="10:19" x14ac:dyDescent="0.2">
      <c r="J298" s="44"/>
      <c r="K298" s="44"/>
      <c r="S298" s="81"/>
    </row>
    <row r="299" spans="10:19" x14ac:dyDescent="0.2">
      <c r="J299" s="44"/>
      <c r="K299" s="44"/>
      <c r="S299" s="81"/>
    </row>
    <row r="300" spans="10:19" x14ac:dyDescent="0.2">
      <c r="J300" s="44"/>
      <c r="K300" s="44"/>
      <c r="S300" s="81"/>
    </row>
    <row r="301" spans="10:19" x14ac:dyDescent="0.2">
      <c r="J301" s="44"/>
      <c r="K301" s="44"/>
      <c r="S301" s="81"/>
    </row>
    <row r="302" spans="10:19" x14ac:dyDescent="0.2">
      <c r="J302" s="44"/>
      <c r="K302" s="44"/>
      <c r="S302" s="81"/>
    </row>
    <row r="303" spans="10:19" x14ac:dyDescent="0.2">
      <c r="J303" s="44"/>
      <c r="K303" s="44"/>
      <c r="S303" s="81"/>
    </row>
    <row r="304" spans="10:19" x14ac:dyDescent="0.2">
      <c r="J304" s="44"/>
      <c r="K304" s="44"/>
      <c r="S304" s="81"/>
    </row>
    <row r="305" spans="10:19" x14ac:dyDescent="0.2">
      <c r="J305" s="44"/>
      <c r="K305" s="44"/>
      <c r="S305" s="81"/>
    </row>
    <row r="306" spans="10:19" x14ac:dyDescent="0.2">
      <c r="J306" s="44"/>
      <c r="K306" s="44"/>
      <c r="S306" s="81"/>
    </row>
    <row r="307" spans="10:19" x14ac:dyDescent="0.2">
      <c r="J307" s="44"/>
      <c r="K307" s="44"/>
      <c r="S307" s="81"/>
    </row>
    <row r="308" spans="10:19" x14ac:dyDescent="0.2">
      <c r="J308" s="44"/>
      <c r="K308" s="44"/>
      <c r="S308" s="81"/>
    </row>
    <row r="309" spans="10:19" x14ac:dyDescent="0.2">
      <c r="J309" s="44"/>
      <c r="K309" s="44"/>
      <c r="S309" s="81"/>
    </row>
    <row r="310" spans="10:19" x14ac:dyDescent="0.2">
      <c r="J310" s="44"/>
      <c r="K310" s="44"/>
      <c r="S310" s="81"/>
    </row>
    <row r="311" spans="10:19" x14ac:dyDescent="0.2">
      <c r="J311" s="44"/>
      <c r="K311" s="44"/>
      <c r="S311" s="81"/>
    </row>
    <row r="312" spans="10:19" x14ac:dyDescent="0.2">
      <c r="J312" s="44"/>
      <c r="K312" s="44"/>
      <c r="S312" s="81"/>
    </row>
    <row r="313" spans="10:19" x14ac:dyDescent="0.2">
      <c r="J313" s="44"/>
      <c r="K313" s="44"/>
      <c r="S313" s="81"/>
    </row>
    <row r="314" spans="10:19" x14ac:dyDescent="0.2">
      <c r="J314" s="44"/>
      <c r="K314" s="44"/>
      <c r="S314" s="81"/>
    </row>
    <row r="315" spans="10:19" x14ac:dyDescent="0.2">
      <c r="J315" s="44"/>
      <c r="K315" s="44"/>
      <c r="S315" s="81"/>
    </row>
    <row r="316" spans="10:19" x14ac:dyDescent="0.2">
      <c r="J316" s="44"/>
      <c r="K316" s="44"/>
      <c r="S316" s="81"/>
    </row>
    <row r="317" spans="10:19" x14ac:dyDescent="0.2">
      <c r="J317" s="44"/>
      <c r="K317" s="44"/>
      <c r="S317" s="81"/>
    </row>
    <row r="318" spans="10:19" x14ac:dyDescent="0.2">
      <c r="J318" s="44"/>
      <c r="K318" s="44"/>
      <c r="S318" s="81"/>
    </row>
    <row r="319" spans="10:19" x14ac:dyDescent="0.2">
      <c r="J319" s="44"/>
      <c r="K319" s="44"/>
      <c r="S319" s="81"/>
    </row>
    <row r="320" spans="10:19" x14ac:dyDescent="0.2">
      <c r="J320" s="44"/>
      <c r="K320" s="44"/>
      <c r="S320" s="81"/>
    </row>
    <row r="321" spans="10:19" x14ac:dyDescent="0.2">
      <c r="J321" s="44"/>
      <c r="K321" s="44"/>
      <c r="S321" s="81"/>
    </row>
    <row r="322" spans="10:19" x14ac:dyDescent="0.2">
      <c r="J322" s="44"/>
      <c r="K322" s="44"/>
      <c r="S322" s="81"/>
    </row>
    <row r="323" spans="10:19" x14ac:dyDescent="0.2">
      <c r="J323" s="44"/>
      <c r="K323" s="44"/>
      <c r="S323" s="81"/>
    </row>
    <row r="324" spans="10:19" x14ac:dyDescent="0.2">
      <c r="J324" s="44"/>
      <c r="K324" s="44"/>
      <c r="S324" s="81"/>
    </row>
    <row r="325" spans="10:19" x14ac:dyDescent="0.2">
      <c r="J325" s="44"/>
      <c r="K325" s="44"/>
      <c r="S325" s="81"/>
    </row>
    <row r="326" spans="10:19" x14ac:dyDescent="0.2">
      <c r="J326" s="44"/>
      <c r="K326" s="44"/>
      <c r="S326" s="81"/>
    </row>
    <row r="327" spans="10:19" x14ac:dyDescent="0.2">
      <c r="J327" s="44"/>
      <c r="K327" s="44"/>
      <c r="S327" s="81"/>
    </row>
    <row r="328" spans="10:19" x14ac:dyDescent="0.2">
      <c r="J328" s="44"/>
      <c r="K328" s="44"/>
      <c r="S328" s="81"/>
    </row>
    <row r="329" spans="10:19" x14ac:dyDescent="0.2">
      <c r="J329" s="44"/>
      <c r="K329" s="44"/>
      <c r="S329" s="81"/>
    </row>
    <row r="330" spans="10:19" x14ac:dyDescent="0.2">
      <c r="J330" s="44"/>
      <c r="K330" s="44"/>
      <c r="S330" s="81"/>
    </row>
    <row r="331" spans="10:19" x14ac:dyDescent="0.2">
      <c r="J331" s="44"/>
      <c r="K331" s="44"/>
      <c r="S331" s="81"/>
    </row>
    <row r="332" spans="10:19" x14ac:dyDescent="0.2">
      <c r="J332" s="44"/>
      <c r="K332" s="44"/>
      <c r="S332" s="81"/>
    </row>
    <row r="333" spans="10:19" x14ac:dyDescent="0.2">
      <c r="J333" s="44"/>
      <c r="K333" s="44"/>
      <c r="S333" s="81"/>
    </row>
    <row r="334" spans="10:19" x14ac:dyDescent="0.2">
      <c r="J334" s="44"/>
      <c r="K334" s="44"/>
      <c r="S334" s="81"/>
    </row>
    <row r="335" spans="10:19" x14ac:dyDescent="0.2">
      <c r="J335" s="44"/>
      <c r="K335" s="44"/>
      <c r="S335" s="81"/>
    </row>
    <row r="336" spans="10:19" x14ac:dyDescent="0.2">
      <c r="J336" s="44"/>
      <c r="K336" s="44"/>
      <c r="S336" s="81"/>
    </row>
    <row r="337" spans="10:19" x14ac:dyDescent="0.2">
      <c r="J337" s="44"/>
      <c r="K337" s="44"/>
      <c r="S337" s="81"/>
    </row>
    <row r="338" spans="10:19" x14ac:dyDescent="0.2">
      <c r="J338" s="44"/>
      <c r="K338" s="44"/>
      <c r="S338" s="81"/>
    </row>
    <row r="339" spans="10:19" x14ac:dyDescent="0.2">
      <c r="J339" s="44"/>
      <c r="K339" s="44"/>
      <c r="S339" s="81"/>
    </row>
    <row r="340" spans="10:19" x14ac:dyDescent="0.2">
      <c r="J340" s="44"/>
      <c r="K340" s="44"/>
      <c r="S340" s="81"/>
    </row>
    <row r="341" spans="10:19" x14ac:dyDescent="0.2">
      <c r="J341" s="44"/>
      <c r="K341" s="44"/>
      <c r="S341" s="81"/>
    </row>
    <row r="342" spans="10:19" x14ac:dyDescent="0.2">
      <c r="J342" s="44"/>
      <c r="K342" s="44"/>
      <c r="S342" s="81"/>
    </row>
    <row r="343" spans="10:19" x14ac:dyDescent="0.2">
      <c r="J343" s="44"/>
      <c r="K343" s="44"/>
      <c r="S343" s="81"/>
    </row>
    <row r="344" spans="10:19" x14ac:dyDescent="0.2">
      <c r="J344" s="44"/>
      <c r="K344" s="44"/>
      <c r="S344" s="81"/>
    </row>
    <row r="345" spans="10:19" x14ac:dyDescent="0.2">
      <c r="J345" s="44"/>
      <c r="K345" s="44"/>
      <c r="S345" s="81"/>
    </row>
    <row r="346" spans="10:19" x14ac:dyDescent="0.2">
      <c r="J346" s="44"/>
      <c r="K346" s="44"/>
      <c r="S346" s="81"/>
    </row>
    <row r="347" spans="10:19" x14ac:dyDescent="0.2">
      <c r="J347" s="44"/>
      <c r="K347" s="44"/>
      <c r="S347" s="81"/>
    </row>
    <row r="348" spans="10:19" x14ac:dyDescent="0.2">
      <c r="J348" s="44"/>
      <c r="K348" s="44"/>
      <c r="S348" s="81"/>
    </row>
    <row r="349" spans="10:19" x14ac:dyDescent="0.2">
      <c r="J349" s="44"/>
      <c r="K349" s="44"/>
      <c r="S349" s="81"/>
    </row>
    <row r="350" spans="10:19" x14ac:dyDescent="0.2">
      <c r="J350" s="44"/>
      <c r="K350" s="44"/>
      <c r="S350" s="81"/>
    </row>
    <row r="351" spans="10:19" x14ac:dyDescent="0.2">
      <c r="J351" s="44"/>
      <c r="K351" s="44"/>
      <c r="S351" s="81"/>
    </row>
    <row r="352" spans="10:19" x14ac:dyDescent="0.2">
      <c r="J352" s="44"/>
      <c r="K352" s="44"/>
      <c r="S352" s="81"/>
    </row>
    <row r="353" spans="10:19" x14ac:dyDescent="0.2">
      <c r="J353" s="44"/>
      <c r="K353" s="44"/>
      <c r="S353" s="81"/>
    </row>
    <row r="354" spans="10:19" x14ac:dyDescent="0.2">
      <c r="J354" s="44"/>
      <c r="K354" s="44"/>
      <c r="S354" s="81"/>
    </row>
    <row r="355" spans="10:19" x14ac:dyDescent="0.2">
      <c r="J355" s="44"/>
      <c r="K355" s="44"/>
      <c r="S355" s="81"/>
    </row>
    <row r="356" spans="10:19" x14ac:dyDescent="0.2">
      <c r="J356" s="44"/>
      <c r="K356" s="44"/>
      <c r="S356" s="81"/>
    </row>
    <row r="357" spans="10:19" x14ac:dyDescent="0.2">
      <c r="J357" s="44"/>
      <c r="K357" s="44"/>
      <c r="S357" s="81"/>
    </row>
    <row r="358" spans="10:19" x14ac:dyDescent="0.2">
      <c r="J358" s="44"/>
      <c r="K358" s="44"/>
      <c r="S358" s="81"/>
    </row>
    <row r="359" spans="10:19" x14ac:dyDescent="0.2">
      <c r="J359" s="44"/>
      <c r="K359" s="44"/>
      <c r="S359" s="81"/>
    </row>
    <row r="360" spans="10:19" x14ac:dyDescent="0.2">
      <c r="J360" s="44"/>
      <c r="K360" s="44"/>
      <c r="S360" s="81"/>
    </row>
    <row r="361" spans="10:19" x14ac:dyDescent="0.2">
      <c r="J361" s="44"/>
      <c r="K361" s="44"/>
      <c r="S361" s="81"/>
    </row>
    <row r="362" spans="10:19" x14ac:dyDescent="0.2">
      <c r="J362" s="44"/>
      <c r="K362" s="44"/>
      <c r="S362" s="81"/>
    </row>
    <row r="363" spans="10:19" x14ac:dyDescent="0.2">
      <c r="J363" s="44"/>
      <c r="K363" s="44"/>
      <c r="S363" s="81"/>
    </row>
    <row r="364" spans="10:19" x14ac:dyDescent="0.2">
      <c r="J364" s="44"/>
      <c r="K364" s="44"/>
      <c r="S364" s="81"/>
    </row>
    <row r="365" spans="10:19" x14ac:dyDescent="0.2">
      <c r="J365" s="44"/>
      <c r="K365" s="44"/>
      <c r="S365" s="81"/>
    </row>
    <row r="366" spans="10:19" x14ac:dyDescent="0.2">
      <c r="J366" s="44"/>
      <c r="K366" s="44"/>
      <c r="S366" s="81"/>
    </row>
    <row r="367" spans="10:19" x14ac:dyDescent="0.2">
      <c r="J367" s="44"/>
      <c r="K367" s="44"/>
      <c r="S367" s="81"/>
    </row>
    <row r="368" spans="10:19" x14ac:dyDescent="0.2">
      <c r="J368" s="44"/>
      <c r="K368" s="44"/>
      <c r="S368" s="81"/>
    </row>
    <row r="369" spans="10:19" x14ac:dyDescent="0.2">
      <c r="J369" s="44"/>
      <c r="K369" s="44"/>
      <c r="S369" s="81"/>
    </row>
    <row r="370" spans="10:19" x14ac:dyDescent="0.2">
      <c r="J370" s="44"/>
      <c r="K370" s="44"/>
      <c r="S370" s="81"/>
    </row>
    <row r="371" spans="10:19" x14ac:dyDescent="0.2">
      <c r="J371" s="44"/>
      <c r="K371" s="44"/>
      <c r="S371" s="81"/>
    </row>
    <row r="372" spans="10:19" x14ac:dyDescent="0.2">
      <c r="J372" s="44"/>
      <c r="K372" s="44"/>
      <c r="S372" s="81"/>
    </row>
    <row r="373" spans="10:19" x14ac:dyDescent="0.2">
      <c r="J373" s="44"/>
      <c r="K373" s="44"/>
      <c r="S373" s="81"/>
    </row>
    <row r="374" spans="10:19" x14ac:dyDescent="0.2">
      <c r="J374" s="44"/>
      <c r="K374" s="44"/>
      <c r="S374" s="81"/>
    </row>
    <row r="375" spans="10:19" x14ac:dyDescent="0.2">
      <c r="J375" s="44"/>
      <c r="K375" s="44"/>
      <c r="S375" s="81"/>
    </row>
    <row r="376" spans="10:19" x14ac:dyDescent="0.2">
      <c r="J376" s="44"/>
      <c r="K376" s="44"/>
      <c r="S376" s="81"/>
    </row>
    <row r="377" spans="10:19" x14ac:dyDescent="0.2">
      <c r="J377" s="44"/>
      <c r="K377" s="44"/>
      <c r="S377" s="81"/>
    </row>
    <row r="378" spans="10:19" x14ac:dyDescent="0.2">
      <c r="J378" s="44"/>
      <c r="K378" s="44"/>
      <c r="S378" s="81"/>
    </row>
    <row r="379" spans="10:19" x14ac:dyDescent="0.2">
      <c r="J379" s="44"/>
      <c r="K379" s="44"/>
      <c r="S379" s="81"/>
    </row>
    <row r="380" spans="10:19" x14ac:dyDescent="0.2">
      <c r="J380" s="44"/>
      <c r="K380" s="44"/>
      <c r="S380" s="81"/>
    </row>
    <row r="381" spans="10:19" x14ac:dyDescent="0.2">
      <c r="J381" s="44"/>
      <c r="K381" s="44"/>
      <c r="S381" s="81"/>
    </row>
    <row r="382" spans="10:19" x14ac:dyDescent="0.2">
      <c r="J382" s="44"/>
      <c r="K382" s="44"/>
      <c r="S382" s="81"/>
    </row>
    <row r="383" spans="10:19" x14ac:dyDescent="0.2">
      <c r="J383" s="44"/>
      <c r="K383" s="44"/>
      <c r="S383" s="81"/>
    </row>
    <row r="384" spans="10:19" x14ac:dyDescent="0.2">
      <c r="J384" s="44"/>
      <c r="K384" s="44"/>
      <c r="S384" s="81"/>
    </row>
    <row r="385" spans="10:19" x14ac:dyDescent="0.2">
      <c r="J385" s="44"/>
      <c r="K385" s="44"/>
      <c r="S385" s="81"/>
    </row>
    <row r="386" spans="10:19" x14ac:dyDescent="0.2">
      <c r="J386" s="44"/>
      <c r="K386" s="44"/>
      <c r="S386" s="81"/>
    </row>
    <row r="387" spans="10:19" x14ac:dyDescent="0.2">
      <c r="J387" s="44"/>
      <c r="K387" s="44"/>
      <c r="S387" s="81"/>
    </row>
    <row r="388" spans="10:19" x14ac:dyDescent="0.2">
      <c r="J388" s="44"/>
      <c r="K388" s="44"/>
      <c r="S388" s="81"/>
    </row>
    <row r="389" spans="10:19" x14ac:dyDescent="0.2">
      <c r="J389" s="44"/>
      <c r="K389" s="44"/>
      <c r="S389" s="81"/>
    </row>
    <row r="390" spans="10:19" x14ac:dyDescent="0.2">
      <c r="J390" s="44"/>
      <c r="K390" s="44"/>
      <c r="S390" s="81"/>
    </row>
    <row r="391" spans="10:19" x14ac:dyDescent="0.2">
      <c r="J391" s="44"/>
      <c r="K391" s="44"/>
      <c r="S391" s="81"/>
    </row>
    <row r="392" spans="10:19" x14ac:dyDescent="0.2">
      <c r="J392" s="44"/>
      <c r="K392" s="44"/>
      <c r="S392" s="81"/>
    </row>
    <row r="393" spans="10:19" x14ac:dyDescent="0.2">
      <c r="J393" s="44"/>
      <c r="K393" s="44"/>
      <c r="S393" s="81"/>
    </row>
    <row r="394" spans="10:19" x14ac:dyDescent="0.2">
      <c r="J394" s="44"/>
      <c r="K394" s="44"/>
      <c r="S394" s="81"/>
    </row>
    <row r="395" spans="10:19" x14ac:dyDescent="0.2">
      <c r="J395" s="44"/>
      <c r="K395" s="44"/>
      <c r="S395" s="81"/>
    </row>
    <row r="396" spans="10:19" x14ac:dyDescent="0.2">
      <c r="J396" s="44"/>
      <c r="K396" s="44"/>
      <c r="S396" s="81"/>
    </row>
    <row r="397" spans="10:19" x14ac:dyDescent="0.2">
      <c r="J397" s="44"/>
      <c r="K397" s="44"/>
      <c r="S397" s="81"/>
    </row>
    <row r="398" spans="10:19" x14ac:dyDescent="0.2">
      <c r="J398" s="44"/>
      <c r="K398" s="44"/>
      <c r="S398" s="81"/>
    </row>
    <row r="399" spans="10:19" x14ac:dyDescent="0.2">
      <c r="J399" s="44"/>
      <c r="K399" s="44"/>
      <c r="S399" s="81"/>
    </row>
    <row r="400" spans="10:19" x14ac:dyDescent="0.2">
      <c r="J400" s="44"/>
      <c r="K400" s="44"/>
      <c r="S400" s="81"/>
    </row>
    <row r="401" spans="10:19" x14ac:dyDescent="0.2">
      <c r="J401" s="44"/>
      <c r="K401" s="44"/>
      <c r="S401" s="81"/>
    </row>
    <row r="402" spans="10:19" x14ac:dyDescent="0.2">
      <c r="J402" s="44"/>
      <c r="K402" s="44"/>
      <c r="S402" s="81"/>
    </row>
    <row r="403" spans="10:19" x14ac:dyDescent="0.2">
      <c r="J403" s="44"/>
      <c r="K403" s="44"/>
      <c r="S403" s="81"/>
    </row>
    <row r="404" spans="10:19" x14ac:dyDescent="0.2">
      <c r="J404" s="44"/>
      <c r="K404" s="44"/>
      <c r="S404" s="81"/>
    </row>
    <row r="405" spans="10:19" x14ac:dyDescent="0.2">
      <c r="J405" s="44"/>
      <c r="K405" s="44"/>
      <c r="S405" s="81"/>
    </row>
    <row r="406" spans="10:19" x14ac:dyDescent="0.2">
      <c r="J406" s="44"/>
      <c r="K406" s="44"/>
      <c r="S406" s="81"/>
    </row>
    <row r="407" spans="10:19" x14ac:dyDescent="0.2">
      <c r="J407" s="44"/>
      <c r="K407" s="44"/>
      <c r="S407" s="81"/>
    </row>
    <row r="408" spans="10:19" x14ac:dyDescent="0.2">
      <c r="J408" s="44"/>
      <c r="K408" s="44"/>
      <c r="S408" s="81"/>
    </row>
    <row r="409" spans="10:19" x14ac:dyDescent="0.2">
      <c r="J409" s="44"/>
      <c r="K409" s="44"/>
      <c r="S409" s="81"/>
    </row>
    <row r="410" spans="10:19" x14ac:dyDescent="0.2">
      <c r="J410" s="2"/>
      <c r="K410" s="2"/>
      <c r="S410" s="81"/>
    </row>
    <row r="411" spans="10:19" x14ac:dyDescent="0.2">
      <c r="J411" s="2"/>
      <c r="K411" s="2"/>
      <c r="S411" s="81"/>
    </row>
    <row r="412" spans="10:19" x14ac:dyDescent="0.2">
      <c r="J412" s="2"/>
      <c r="K412" s="2"/>
      <c r="S412" s="81"/>
    </row>
    <row r="413" spans="10:19" x14ac:dyDescent="0.2">
      <c r="J413" s="2"/>
      <c r="K413" s="2"/>
      <c r="S413" s="81"/>
    </row>
    <row r="414" spans="10:19" x14ac:dyDescent="0.2">
      <c r="J414" s="2"/>
      <c r="K414" s="2"/>
      <c r="S414" s="81"/>
    </row>
    <row r="415" spans="10:19" x14ac:dyDescent="0.2">
      <c r="J415" s="2"/>
      <c r="K415" s="2"/>
      <c r="S415" s="81"/>
    </row>
    <row r="416" spans="10:19" x14ac:dyDescent="0.2">
      <c r="J416" s="2"/>
      <c r="K416" s="2"/>
      <c r="S416" s="81"/>
    </row>
    <row r="417" spans="10:19" x14ac:dyDescent="0.2">
      <c r="J417" s="2"/>
      <c r="K417" s="2"/>
      <c r="S417" s="81"/>
    </row>
    <row r="418" spans="10:19" x14ac:dyDescent="0.2">
      <c r="J418" s="2"/>
      <c r="K418" s="2"/>
      <c r="S418" s="81"/>
    </row>
    <row r="419" spans="10:19" x14ac:dyDescent="0.2">
      <c r="J419" s="2"/>
      <c r="K419" s="2"/>
      <c r="S419" s="81"/>
    </row>
    <row r="420" spans="10:19" x14ac:dyDescent="0.2">
      <c r="J420" s="2"/>
      <c r="K420" s="2"/>
      <c r="S420" s="81"/>
    </row>
    <row r="421" spans="10:19" x14ac:dyDescent="0.2">
      <c r="J421" s="2"/>
      <c r="K421" s="2"/>
      <c r="S421" s="81"/>
    </row>
    <row r="422" spans="10:19" x14ac:dyDescent="0.2">
      <c r="J422" s="2"/>
      <c r="K422" s="2"/>
      <c r="S422" s="81"/>
    </row>
    <row r="423" spans="10:19" x14ac:dyDescent="0.2">
      <c r="J423" s="2"/>
      <c r="K423" s="2"/>
      <c r="S423" s="81"/>
    </row>
    <row r="424" spans="10:19" x14ac:dyDescent="0.2">
      <c r="J424" s="2"/>
      <c r="K424" s="2"/>
      <c r="S424" s="81"/>
    </row>
    <row r="425" spans="10:19" x14ac:dyDescent="0.2">
      <c r="J425" s="2"/>
      <c r="K425" s="2"/>
      <c r="S425" s="81"/>
    </row>
    <row r="426" spans="10:19" x14ac:dyDescent="0.2">
      <c r="J426" s="2"/>
      <c r="K426" s="2"/>
      <c r="S426" s="81"/>
    </row>
    <row r="427" spans="10:19" x14ac:dyDescent="0.2">
      <c r="J427" s="2"/>
      <c r="K427" s="2"/>
      <c r="S427" s="81"/>
    </row>
    <row r="428" spans="10:19" x14ac:dyDescent="0.2">
      <c r="J428" s="2"/>
      <c r="K428" s="2"/>
      <c r="S428" s="81"/>
    </row>
    <row r="429" spans="10:19" x14ac:dyDescent="0.2">
      <c r="J429" s="2"/>
      <c r="K429" s="2"/>
      <c r="S429" s="81"/>
    </row>
    <row r="430" spans="10:19" x14ac:dyDescent="0.2">
      <c r="J430" s="2"/>
      <c r="K430" s="2"/>
      <c r="S430" s="81"/>
    </row>
    <row r="431" spans="10:19" x14ac:dyDescent="0.2">
      <c r="J431" s="2"/>
      <c r="K431" s="2"/>
      <c r="S431" s="81"/>
    </row>
    <row r="432" spans="10:19" x14ac:dyDescent="0.2">
      <c r="J432" s="2"/>
      <c r="K432" s="2"/>
      <c r="S432" s="81"/>
    </row>
    <row r="433" spans="10:19" x14ac:dyDescent="0.2">
      <c r="J433" s="2"/>
      <c r="K433" s="2"/>
      <c r="S433" s="81"/>
    </row>
    <row r="434" spans="10:19" x14ac:dyDescent="0.2">
      <c r="J434" s="2"/>
      <c r="K434" s="2"/>
      <c r="S434" s="81"/>
    </row>
    <row r="435" spans="10:19" x14ac:dyDescent="0.2">
      <c r="J435" s="2"/>
      <c r="K435" s="2"/>
      <c r="S435" s="81"/>
    </row>
    <row r="436" spans="10:19" x14ac:dyDescent="0.2">
      <c r="J436" s="2"/>
      <c r="K436" s="2"/>
      <c r="S436" s="81"/>
    </row>
    <row r="437" spans="10:19" x14ac:dyDescent="0.2">
      <c r="J437" s="2"/>
      <c r="K437" s="2"/>
      <c r="S437" s="81"/>
    </row>
    <row r="438" spans="10:19" x14ac:dyDescent="0.2">
      <c r="J438" s="2"/>
      <c r="K438" s="2"/>
      <c r="S438" s="81"/>
    </row>
    <row r="439" spans="10:19" x14ac:dyDescent="0.2">
      <c r="J439" s="2"/>
      <c r="K439" s="2"/>
      <c r="S439" s="81"/>
    </row>
    <row r="440" spans="10:19" x14ac:dyDescent="0.2">
      <c r="J440" s="2"/>
      <c r="K440" s="2"/>
      <c r="S440" s="81"/>
    </row>
    <row r="441" spans="10:19" x14ac:dyDescent="0.2">
      <c r="J441" s="2"/>
      <c r="K441" s="2"/>
      <c r="S441" s="81"/>
    </row>
    <row r="442" spans="10:19" x14ac:dyDescent="0.2">
      <c r="J442" s="2"/>
      <c r="K442" s="2"/>
      <c r="S442" s="81"/>
    </row>
    <row r="443" spans="10:19" x14ac:dyDescent="0.2">
      <c r="J443" s="2"/>
      <c r="K443" s="2"/>
      <c r="S443" s="81"/>
    </row>
    <row r="444" spans="10:19" x14ac:dyDescent="0.2">
      <c r="J444" s="2"/>
      <c r="K444" s="2"/>
      <c r="S444" s="81"/>
    </row>
    <row r="445" spans="10:19" x14ac:dyDescent="0.2">
      <c r="J445" s="2"/>
      <c r="K445" s="2"/>
      <c r="S445" s="81"/>
    </row>
    <row r="446" spans="10:19" x14ac:dyDescent="0.2">
      <c r="J446" s="2"/>
      <c r="K446" s="2"/>
      <c r="S446" s="81"/>
    </row>
    <row r="447" spans="10:19" x14ac:dyDescent="0.2">
      <c r="J447" s="2"/>
      <c r="K447" s="2"/>
      <c r="S447" s="81"/>
    </row>
    <row r="448" spans="10:19" x14ac:dyDescent="0.2">
      <c r="J448" s="2"/>
      <c r="K448" s="2"/>
      <c r="S448" s="81"/>
    </row>
    <row r="449" spans="10:19" x14ac:dyDescent="0.2">
      <c r="J449" s="2"/>
      <c r="K449" s="2"/>
      <c r="S449" s="81"/>
    </row>
    <row r="450" spans="10:19" x14ac:dyDescent="0.2">
      <c r="J450" s="2"/>
      <c r="K450" s="2"/>
      <c r="S450" s="81"/>
    </row>
    <row r="451" spans="10:19" x14ac:dyDescent="0.2">
      <c r="J451" s="2"/>
      <c r="K451" s="2"/>
      <c r="S451" s="81"/>
    </row>
    <row r="452" spans="10:19" x14ac:dyDescent="0.2">
      <c r="J452" s="2"/>
      <c r="K452" s="2"/>
      <c r="S452" s="81"/>
    </row>
    <row r="453" spans="10:19" x14ac:dyDescent="0.2">
      <c r="J453" s="2"/>
      <c r="K453" s="2"/>
      <c r="S453" s="81"/>
    </row>
    <row r="454" spans="10:19" x14ac:dyDescent="0.2">
      <c r="J454" s="2"/>
      <c r="K454" s="2"/>
      <c r="S454" s="81"/>
    </row>
    <row r="455" spans="10:19" x14ac:dyDescent="0.2">
      <c r="J455" s="2"/>
      <c r="K455" s="2"/>
      <c r="S455" s="81"/>
    </row>
    <row r="456" spans="10:19" x14ac:dyDescent="0.2">
      <c r="J456" s="2"/>
      <c r="K456" s="2"/>
      <c r="S456" s="81"/>
    </row>
    <row r="457" spans="10:19" x14ac:dyDescent="0.2">
      <c r="J457" s="2"/>
      <c r="K457" s="2"/>
      <c r="S457" s="81"/>
    </row>
    <row r="458" spans="10:19" x14ac:dyDescent="0.2">
      <c r="J458" s="2"/>
      <c r="K458" s="2"/>
      <c r="S458" s="81"/>
    </row>
    <row r="459" spans="10:19" x14ac:dyDescent="0.2">
      <c r="J459" s="2"/>
      <c r="K459" s="2"/>
      <c r="S459" s="81"/>
    </row>
    <row r="460" spans="10:19" x14ac:dyDescent="0.2">
      <c r="J460" s="2"/>
      <c r="K460" s="2"/>
      <c r="S460" s="81"/>
    </row>
    <row r="461" spans="10:19" x14ac:dyDescent="0.2">
      <c r="J461" s="2"/>
      <c r="K461" s="2"/>
      <c r="S461" s="81"/>
    </row>
    <row r="462" spans="10:19" x14ac:dyDescent="0.2">
      <c r="J462" s="2"/>
      <c r="K462" s="2"/>
      <c r="S462" s="81"/>
    </row>
    <row r="463" spans="10:19" x14ac:dyDescent="0.2">
      <c r="J463" s="2"/>
      <c r="K463" s="2"/>
      <c r="S463" s="81"/>
    </row>
    <row r="464" spans="10:19" x14ac:dyDescent="0.2">
      <c r="J464" s="2"/>
      <c r="K464" s="2"/>
      <c r="S464" s="81"/>
    </row>
    <row r="465" spans="10:19" x14ac:dyDescent="0.2">
      <c r="J465" s="2"/>
      <c r="K465" s="2"/>
      <c r="S465" s="81"/>
    </row>
    <row r="466" spans="10:19" x14ac:dyDescent="0.2">
      <c r="J466" s="2"/>
      <c r="K466" s="2"/>
      <c r="S466" s="81"/>
    </row>
    <row r="467" spans="10:19" x14ac:dyDescent="0.2">
      <c r="J467" s="2"/>
      <c r="K467" s="2"/>
      <c r="S467" s="81"/>
    </row>
    <row r="468" spans="10:19" x14ac:dyDescent="0.2">
      <c r="J468" s="2"/>
      <c r="K468" s="2"/>
      <c r="S468" s="81"/>
    </row>
    <row r="469" spans="10:19" x14ac:dyDescent="0.2">
      <c r="J469" s="2"/>
      <c r="K469" s="2"/>
      <c r="S469" s="81"/>
    </row>
    <row r="470" spans="10:19" x14ac:dyDescent="0.2">
      <c r="J470" s="2"/>
      <c r="K470" s="2"/>
      <c r="S470" s="81"/>
    </row>
    <row r="471" spans="10:19" x14ac:dyDescent="0.2">
      <c r="J471" s="2"/>
      <c r="K471" s="2"/>
      <c r="S471" s="81"/>
    </row>
    <row r="472" spans="10:19" x14ac:dyDescent="0.2">
      <c r="J472" s="2"/>
      <c r="K472" s="2"/>
      <c r="S472" s="81"/>
    </row>
    <row r="473" spans="10:19" x14ac:dyDescent="0.2">
      <c r="J473" s="2"/>
      <c r="K473" s="2"/>
      <c r="S473" s="81"/>
    </row>
    <row r="474" spans="10:19" x14ac:dyDescent="0.2">
      <c r="J474" s="2"/>
      <c r="K474" s="2"/>
      <c r="S474" s="81"/>
    </row>
    <row r="475" spans="10:19" x14ac:dyDescent="0.2">
      <c r="J475" s="2"/>
      <c r="K475" s="2"/>
      <c r="S475" s="81"/>
    </row>
    <row r="476" spans="10:19" x14ac:dyDescent="0.2">
      <c r="J476" s="2"/>
      <c r="K476" s="2"/>
      <c r="S476" s="81"/>
    </row>
    <row r="477" spans="10:19" x14ac:dyDescent="0.2">
      <c r="J477" s="2"/>
      <c r="K477" s="2"/>
      <c r="S477" s="81"/>
    </row>
    <row r="478" spans="10:19" x14ac:dyDescent="0.2">
      <c r="J478" s="2"/>
      <c r="K478" s="2"/>
      <c r="S478" s="81"/>
    </row>
    <row r="479" spans="10:19" x14ac:dyDescent="0.2">
      <c r="J479" s="2"/>
      <c r="K479" s="2"/>
      <c r="S479" s="81"/>
    </row>
    <row r="480" spans="10:19" x14ac:dyDescent="0.2">
      <c r="J480" s="2"/>
      <c r="K480" s="2"/>
      <c r="S480" s="81"/>
    </row>
    <row r="481" spans="10:19" x14ac:dyDescent="0.2">
      <c r="J481" s="2"/>
      <c r="K481" s="2"/>
      <c r="S481" s="81"/>
    </row>
    <row r="482" spans="10:19" x14ac:dyDescent="0.2">
      <c r="J482" s="2"/>
      <c r="K482" s="2"/>
      <c r="S482" s="81"/>
    </row>
    <row r="483" spans="10:19" x14ac:dyDescent="0.2">
      <c r="J483" s="2"/>
      <c r="K483" s="2"/>
      <c r="S483" s="81"/>
    </row>
    <row r="484" spans="10:19" x14ac:dyDescent="0.2">
      <c r="J484" s="2"/>
      <c r="K484" s="2"/>
      <c r="S484" s="81"/>
    </row>
    <row r="485" spans="10:19" x14ac:dyDescent="0.2">
      <c r="J485" s="2"/>
      <c r="K485" s="2"/>
      <c r="S485" s="81"/>
    </row>
    <row r="486" spans="10:19" x14ac:dyDescent="0.2">
      <c r="J486" s="2"/>
      <c r="K486" s="2"/>
      <c r="S486" s="81"/>
    </row>
    <row r="487" spans="10:19" x14ac:dyDescent="0.2">
      <c r="J487" s="2"/>
      <c r="K487" s="2"/>
      <c r="S487" s="81"/>
    </row>
    <row r="488" spans="10:19" x14ac:dyDescent="0.2">
      <c r="J488" s="2"/>
      <c r="K488" s="2"/>
      <c r="S488" s="81"/>
    </row>
    <row r="489" spans="10:19" x14ac:dyDescent="0.2">
      <c r="J489" s="2"/>
      <c r="K489" s="2"/>
      <c r="S489" s="81"/>
    </row>
    <row r="490" spans="10:19" x14ac:dyDescent="0.2">
      <c r="J490" s="2"/>
      <c r="K490" s="2"/>
      <c r="S490" s="81"/>
    </row>
    <row r="491" spans="10:19" x14ac:dyDescent="0.2">
      <c r="J491" s="2"/>
      <c r="K491" s="2"/>
      <c r="S491" s="81"/>
    </row>
    <row r="492" spans="10:19" x14ac:dyDescent="0.2">
      <c r="J492" s="2"/>
      <c r="K492" s="2"/>
      <c r="S492" s="81"/>
    </row>
    <row r="493" spans="10:19" x14ac:dyDescent="0.2">
      <c r="J493" s="2"/>
      <c r="K493" s="2"/>
      <c r="S493" s="81"/>
    </row>
    <row r="494" spans="10:19" x14ac:dyDescent="0.2">
      <c r="J494" s="2"/>
      <c r="K494" s="2"/>
      <c r="S494" s="81"/>
    </row>
    <row r="495" spans="10:19" x14ac:dyDescent="0.2">
      <c r="J495" s="2"/>
      <c r="K495" s="2"/>
      <c r="S495" s="81"/>
    </row>
    <row r="496" spans="10:19" x14ac:dyDescent="0.2">
      <c r="J496" s="2"/>
      <c r="K496" s="2"/>
      <c r="S496" s="81"/>
    </row>
    <row r="497" spans="10:19" x14ac:dyDescent="0.2">
      <c r="J497" s="2"/>
      <c r="K497" s="2"/>
      <c r="S497" s="81"/>
    </row>
    <row r="498" spans="10:19" x14ac:dyDescent="0.2">
      <c r="J498" s="2"/>
      <c r="K498" s="2"/>
      <c r="S498" s="81"/>
    </row>
    <row r="499" spans="10:19" x14ac:dyDescent="0.2">
      <c r="J499" s="2"/>
      <c r="K499" s="2"/>
      <c r="S499" s="81"/>
    </row>
    <row r="500" spans="10:19" x14ac:dyDescent="0.2">
      <c r="J500" s="2"/>
      <c r="K500" s="2"/>
      <c r="S500" s="81"/>
    </row>
    <row r="501" spans="10:19" x14ac:dyDescent="0.2">
      <c r="J501" s="2"/>
      <c r="K501" s="2"/>
      <c r="S501" s="81"/>
    </row>
    <row r="502" spans="10:19" x14ac:dyDescent="0.2">
      <c r="J502" s="2"/>
      <c r="K502" s="2"/>
      <c r="S502" s="81"/>
    </row>
    <row r="503" spans="10:19" x14ac:dyDescent="0.2">
      <c r="J503" s="2"/>
      <c r="K503" s="2"/>
      <c r="S503" s="81"/>
    </row>
    <row r="504" spans="10:19" x14ac:dyDescent="0.2">
      <c r="J504" s="2"/>
      <c r="K504" s="2"/>
      <c r="S504" s="81"/>
    </row>
    <row r="505" spans="10:19" x14ac:dyDescent="0.2">
      <c r="J505" s="2"/>
      <c r="K505" s="2"/>
      <c r="S505" s="81"/>
    </row>
    <row r="506" spans="10:19" x14ac:dyDescent="0.2">
      <c r="J506" s="2"/>
      <c r="K506" s="2"/>
      <c r="S506" s="81"/>
    </row>
    <row r="507" spans="10:19" x14ac:dyDescent="0.2">
      <c r="J507" s="2"/>
      <c r="K507" s="2"/>
      <c r="S507" s="81"/>
    </row>
    <row r="508" spans="10:19" x14ac:dyDescent="0.2">
      <c r="J508" s="2"/>
      <c r="K508" s="2"/>
      <c r="S508" s="81"/>
    </row>
    <row r="509" spans="10:19" x14ac:dyDescent="0.2">
      <c r="J509" s="2"/>
      <c r="K509" s="2"/>
      <c r="S509" s="81"/>
    </row>
    <row r="510" spans="10:19" x14ac:dyDescent="0.2">
      <c r="J510" s="2"/>
      <c r="K510" s="2"/>
      <c r="S510" s="81"/>
    </row>
    <row r="511" spans="10:19" x14ac:dyDescent="0.2">
      <c r="J511" s="2"/>
      <c r="K511" s="2"/>
      <c r="S511" s="81"/>
    </row>
    <row r="512" spans="10:19" x14ac:dyDescent="0.2">
      <c r="J512" s="2"/>
      <c r="K512" s="2"/>
      <c r="S512" s="81"/>
    </row>
    <row r="513" spans="10:19" x14ac:dyDescent="0.2">
      <c r="J513" s="2"/>
      <c r="K513" s="2"/>
      <c r="S513" s="81"/>
    </row>
    <row r="514" spans="10:19" x14ac:dyDescent="0.2">
      <c r="J514" s="2"/>
      <c r="K514" s="2"/>
      <c r="S514" s="81"/>
    </row>
    <row r="515" spans="10:19" x14ac:dyDescent="0.2">
      <c r="J515" s="2"/>
      <c r="K515" s="2"/>
      <c r="S515" s="81"/>
    </row>
    <row r="516" spans="10:19" x14ac:dyDescent="0.2">
      <c r="J516" s="2"/>
      <c r="K516" s="2"/>
      <c r="S516" s="81"/>
    </row>
    <row r="517" spans="10:19" x14ac:dyDescent="0.2">
      <c r="J517" s="2"/>
      <c r="K517" s="2"/>
      <c r="S517" s="81"/>
    </row>
    <row r="518" spans="10:19" x14ac:dyDescent="0.2">
      <c r="J518" s="2"/>
      <c r="K518" s="2"/>
      <c r="S518" s="81"/>
    </row>
    <row r="519" spans="10:19" x14ac:dyDescent="0.2">
      <c r="J519" s="2"/>
      <c r="K519" s="2"/>
      <c r="S519" s="81"/>
    </row>
    <row r="520" spans="10:19" x14ac:dyDescent="0.2">
      <c r="J520" s="2"/>
      <c r="K520" s="2"/>
      <c r="S520" s="81"/>
    </row>
    <row r="521" spans="10:19" x14ac:dyDescent="0.2">
      <c r="J521" s="2"/>
      <c r="K521" s="2"/>
      <c r="S521" s="81"/>
    </row>
    <row r="522" spans="10:19" x14ac:dyDescent="0.2">
      <c r="J522" s="2"/>
      <c r="K522" s="2"/>
      <c r="S522" s="81"/>
    </row>
    <row r="523" spans="10:19" x14ac:dyDescent="0.2">
      <c r="J523" s="2"/>
      <c r="K523" s="2"/>
      <c r="S523" s="81"/>
    </row>
    <row r="524" spans="10:19" x14ac:dyDescent="0.2">
      <c r="J524" s="2"/>
      <c r="K524" s="2"/>
      <c r="S524" s="81"/>
    </row>
    <row r="525" spans="10:19" x14ac:dyDescent="0.2">
      <c r="J525" s="2"/>
      <c r="K525" s="2"/>
      <c r="S525" s="81"/>
    </row>
    <row r="526" spans="10:19" x14ac:dyDescent="0.2">
      <c r="J526" s="2"/>
      <c r="K526" s="2"/>
      <c r="S526" s="81"/>
    </row>
    <row r="527" spans="10:19" x14ac:dyDescent="0.2">
      <c r="J527" s="2"/>
      <c r="K527" s="2"/>
      <c r="S527" s="81"/>
    </row>
    <row r="528" spans="10:19" x14ac:dyDescent="0.2">
      <c r="J528" s="2"/>
      <c r="K528" s="2"/>
      <c r="S528" s="81"/>
    </row>
    <row r="529" spans="10:19" x14ac:dyDescent="0.2">
      <c r="J529" s="2"/>
      <c r="K529" s="2"/>
      <c r="S529" s="81"/>
    </row>
    <row r="530" spans="10:19" x14ac:dyDescent="0.2">
      <c r="J530" s="2"/>
      <c r="K530" s="2"/>
      <c r="S530" s="81"/>
    </row>
    <row r="531" spans="10:19" x14ac:dyDescent="0.2">
      <c r="J531" s="2"/>
      <c r="K531" s="2"/>
      <c r="S531" s="81"/>
    </row>
    <row r="532" spans="10:19" x14ac:dyDescent="0.2">
      <c r="J532" s="2"/>
      <c r="K532" s="2"/>
      <c r="S532" s="81"/>
    </row>
    <row r="533" spans="10:19" x14ac:dyDescent="0.2">
      <c r="J533" s="2"/>
      <c r="K533" s="2"/>
      <c r="S533" s="81"/>
    </row>
    <row r="534" spans="10:19" x14ac:dyDescent="0.2">
      <c r="J534" s="2"/>
      <c r="K534" s="2"/>
      <c r="S534" s="81"/>
    </row>
    <row r="535" spans="10:19" x14ac:dyDescent="0.2">
      <c r="J535" s="2"/>
      <c r="K535" s="2"/>
      <c r="S535" s="81"/>
    </row>
    <row r="536" spans="10:19" x14ac:dyDescent="0.2">
      <c r="J536" s="2"/>
      <c r="K536" s="2"/>
      <c r="S536" s="81"/>
    </row>
    <row r="537" spans="10:19" x14ac:dyDescent="0.2">
      <c r="J537" s="2"/>
      <c r="K537" s="2"/>
      <c r="S537" s="81"/>
    </row>
    <row r="538" spans="10:19" x14ac:dyDescent="0.2">
      <c r="J538" s="2"/>
      <c r="K538" s="2"/>
      <c r="S538" s="81"/>
    </row>
    <row r="539" spans="10:19" x14ac:dyDescent="0.2">
      <c r="J539" s="2"/>
      <c r="K539" s="2"/>
      <c r="S539" s="81"/>
    </row>
    <row r="540" spans="10:19" x14ac:dyDescent="0.2">
      <c r="J540" s="2"/>
      <c r="K540" s="2"/>
      <c r="S540" s="81"/>
    </row>
    <row r="541" spans="10:19" x14ac:dyDescent="0.2">
      <c r="J541" s="2"/>
      <c r="K541" s="2"/>
      <c r="S541" s="81"/>
    </row>
    <row r="542" spans="10:19" x14ac:dyDescent="0.2">
      <c r="J542" s="2"/>
      <c r="K542" s="2"/>
      <c r="S542" s="81"/>
    </row>
    <row r="543" spans="10:19" x14ac:dyDescent="0.2">
      <c r="J543" s="2"/>
      <c r="K543" s="2"/>
      <c r="S543" s="81"/>
    </row>
    <row r="544" spans="10:19" x14ac:dyDescent="0.2">
      <c r="J544" s="2"/>
      <c r="K544" s="2"/>
      <c r="S544" s="81"/>
    </row>
    <row r="545" spans="10:19" x14ac:dyDescent="0.2">
      <c r="J545" s="2"/>
      <c r="K545" s="2"/>
      <c r="S545" s="81"/>
    </row>
    <row r="546" spans="10:19" x14ac:dyDescent="0.2">
      <c r="J546" s="2"/>
      <c r="K546" s="2"/>
      <c r="S546" s="81"/>
    </row>
    <row r="547" spans="10:19" x14ac:dyDescent="0.2">
      <c r="J547" s="2"/>
      <c r="K547" s="2"/>
      <c r="S547" s="81"/>
    </row>
    <row r="548" spans="10:19" x14ac:dyDescent="0.2">
      <c r="J548" s="2"/>
      <c r="K548" s="2"/>
      <c r="S548" s="81"/>
    </row>
    <row r="549" spans="10:19" x14ac:dyDescent="0.2">
      <c r="J549" s="2"/>
      <c r="K549" s="2"/>
      <c r="S549" s="81"/>
    </row>
    <row r="550" spans="10:19" x14ac:dyDescent="0.2">
      <c r="J550" s="2"/>
      <c r="K550" s="2"/>
      <c r="S550" s="81"/>
    </row>
    <row r="551" spans="10:19" x14ac:dyDescent="0.2">
      <c r="J551" s="2"/>
      <c r="K551" s="2"/>
      <c r="S551" s="81"/>
    </row>
    <row r="552" spans="10:19" x14ac:dyDescent="0.2">
      <c r="J552" s="2"/>
      <c r="K552" s="2"/>
      <c r="S552" s="81"/>
    </row>
    <row r="553" spans="10:19" x14ac:dyDescent="0.2">
      <c r="J553" s="2"/>
      <c r="K553" s="2"/>
      <c r="S553" s="81"/>
    </row>
    <row r="554" spans="10:19" x14ac:dyDescent="0.2">
      <c r="J554" s="2"/>
      <c r="K554" s="2"/>
      <c r="S554" s="81"/>
    </row>
    <row r="555" spans="10:19" x14ac:dyDescent="0.2">
      <c r="J555" s="2"/>
      <c r="K555" s="2"/>
      <c r="S555" s="81"/>
    </row>
    <row r="556" spans="10:19" x14ac:dyDescent="0.2">
      <c r="J556" s="2"/>
      <c r="K556" s="2"/>
      <c r="S556" s="81"/>
    </row>
    <row r="557" spans="10:19" x14ac:dyDescent="0.2">
      <c r="J557" s="2"/>
      <c r="K557" s="2"/>
      <c r="S557" s="81"/>
    </row>
    <row r="558" spans="10:19" x14ac:dyDescent="0.2">
      <c r="J558" s="2"/>
      <c r="K558" s="2"/>
      <c r="S558" s="81"/>
    </row>
    <row r="559" spans="10:19" x14ac:dyDescent="0.2">
      <c r="J559" s="2"/>
      <c r="K559" s="2"/>
      <c r="S559" s="81"/>
    </row>
    <row r="560" spans="10:19" x14ac:dyDescent="0.2">
      <c r="J560" s="2"/>
      <c r="K560" s="2"/>
      <c r="S560" s="81"/>
    </row>
    <row r="561" spans="10:19" x14ac:dyDescent="0.2">
      <c r="J561" s="2"/>
      <c r="K561" s="2"/>
      <c r="S561" s="81"/>
    </row>
    <row r="562" spans="10:19" x14ac:dyDescent="0.2">
      <c r="J562" s="2"/>
      <c r="K562" s="2"/>
      <c r="S562" s="81"/>
    </row>
    <row r="563" spans="10:19" x14ac:dyDescent="0.2">
      <c r="J563" s="2"/>
      <c r="K563" s="2"/>
      <c r="S563" s="81"/>
    </row>
    <row r="564" spans="10:19" x14ac:dyDescent="0.2">
      <c r="J564" s="2"/>
      <c r="K564" s="2"/>
      <c r="S564" s="81"/>
    </row>
    <row r="565" spans="10:19" x14ac:dyDescent="0.2">
      <c r="J565" s="2"/>
      <c r="K565" s="2"/>
      <c r="S565" s="81"/>
    </row>
    <row r="566" spans="10:19" x14ac:dyDescent="0.2">
      <c r="J566" s="2"/>
      <c r="K566" s="2"/>
      <c r="S566" s="81"/>
    </row>
    <row r="567" spans="10:19" x14ac:dyDescent="0.2">
      <c r="J567" s="2"/>
      <c r="K567" s="2"/>
      <c r="S567" s="81"/>
    </row>
    <row r="568" spans="10:19" x14ac:dyDescent="0.2">
      <c r="J568" s="2"/>
      <c r="K568" s="2"/>
      <c r="S568" s="81"/>
    </row>
    <row r="569" spans="10:19" x14ac:dyDescent="0.2">
      <c r="J569" s="2"/>
      <c r="K569" s="2"/>
      <c r="S569" s="81"/>
    </row>
    <row r="570" spans="10:19" x14ac:dyDescent="0.2">
      <c r="J570" s="2"/>
      <c r="K570" s="2"/>
      <c r="S570" s="81"/>
    </row>
    <row r="571" spans="10:19" x14ac:dyDescent="0.2">
      <c r="J571" s="2"/>
      <c r="K571" s="2"/>
      <c r="S571" s="81"/>
    </row>
    <row r="572" spans="10:19" x14ac:dyDescent="0.2">
      <c r="J572" s="2"/>
      <c r="K572" s="2"/>
      <c r="S572" s="81"/>
    </row>
    <row r="573" spans="10:19" x14ac:dyDescent="0.2">
      <c r="J573" s="2"/>
      <c r="K573" s="2"/>
      <c r="S573" s="81"/>
    </row>
    <row r="574" spans="10:19" x14ac:dyDescent="0.2">
      <c r="J574" s="2"/>
      <c r="K574" s="2"/>
      <c r="S574" s="81"/>
    </row>
    <row r="575" spans="10:19" x14ac:dyDescent="0.2">
      <c r="J575" s="2"/>
      <c r="K575" s="2"/>
      <c r="S575" s="81"/>
    </row>
    <row r="576" spans="10:19" x14ac:dyDescent="0.2">
      <c r="J576" s="2"/>
      <c r="K576" s="2"/>
      <c r="S576" s="81"/>
    </row>
    <row r="577" spans="10:19" x14ac:dyDescent="0.2">
      <c r="J577" s="2"/>
      <c r="K577" s="2"/>
      <c r="S577" s="81"/>
    </row>
    <row r="578" spans="10:19" x14ac:dyDescent="0.2">
      <c r="J578" s="2"/>
      <c r="K578" s="2"/>
      <c r="S578" s="81"/>
    </row>
    <row r="579" spans="10:19" x14ac:dyDescent="0.2">
      <c r="J579" s="2"/>
      <c r="K579" s="2"/>
      <c r="S579" s="81"/>
    </row>
    <row r="580" spans="10:19" x14ac:dyDescent="0.2">
      <c r="J580" s="2"/>
      <c r="K580" s="2"/>
      <c r="S580" s="81"/>
    </row>
    <row r="581" spans="10:19" x14ac:dyDescent="0.2">
      <c r="J581" s="2"/>
      <c r="K581" s="2"/>
      <c r="S581" s="81"/>
    </row>
    <row r="582" spans="10:19" x14ac:dyDescent="0.2">
      <c r="J582" s="2"/>
      <c r="K582" s="2"/>
      <c r="S582" s="81"/>
    </row>
    <row r="583" spans="10:19" x14ac:dyDescent="0.2">
      <c r="J583" s="2"/>
      <c r="K583" s="2"/>
      <c r="S583" s="81"/>
    </row>
    <row r="584" spans="10:19" x14ac:dyDescent="0.2">
      <c r="J584" s="2"/>
      <c r="K584" s="2"/>
      <c r="S584" s="81"/>
    </row>
    <row r="585" spans="10:19" x14ac:dyDescent="0.2">
      <c r="J585" s="2"/>
      <c r="K585" s="2"/>
      <c r="S585" s="81"/>
    </row>
    <row r="586" spans="10:19" x14ac:dyDescent="0.2">
      <c r="J586" s="2"/>
      <c r="K586" s="2"/>
      <c r="S586" s="81"/>
    </row>
    <row r="587" spans="10:19" x14ac:dyDescent="0.2">
      <c r="J587" s="2"/>
      <c r="K587" s="2"/>
      <c r="S587" s="81"/>
    </row>
    <row r="588" spans="10:19" x14ac:dyDescent="0.2">
      <c r="J588" s="2"/>
      <c r="K588" s="2"/>
      <c r="S588" s="81"/>
    </row>
    <row r="589" spans="10:19" x14ac:dyDescent="0.2">
      <c r="J589" s="2"/>
      <c r="K589" s="2"/>
      <c r="S589" s="81"/>
    </row>
    <row r="590" spans="10:19" x14ac:dyDescent="0.2">
      <c r="J590" s="2"/>
      <c r="K590" s="2"/>
      <c r="S590" s="81"/>
    </row>
    <row r="591" spans="10:19" x14ac:dyDescent="0.2">
      <c r="J591" s="2"/>
      <c r="K591" s="2"/>
      <c r="S591" s="81"/>
    </row>
    <row r="592" spans="10:19" x14ac:dyDescent="0.2">
      <c r="J592" s="2"/>
      <c r="K592" s="2"/>
      <c r="S592" s="81"/>
    </row>
    <row r="593" spans="10:19" x14ac:dyDescent="0.2">
      <c r="J593" s="2"/>
      <c r="K593" s="2"/>
      <c r="S593" s="81"/>
    </row>
    <row r="594" spans="10:19" x14ac:dyDescent="0.2">
      <c r="J594" s="2"/>
      <c r="K594" s="2"/>
      <c r="S594" s="81"/>
    </row>
    <row r="595" spans="10:19" x14ac:dyDescent="0.2">
      <c r="J595" s="2"/>
      <c r="K595" s="2"/>
      <c r="S595" s="81"/>
    </row>
    <row r="596" spans="10:19" x14ac:dyDescent="0.2">
      <c r="J596" s="2"/>
      <c r="K596" s="2"/>
      <c r="S596" s="81"/>
    </row>
    <row r="597" spans="10:19" x14ac:dyDescent="0.2">
      <c r="J597" s="2"/>
      <c r="K597" s="2"/>
      <c r="S597" s="81"/>
    </row>
    <row r="598" spans="10:19" x14ac:dyDescent="0.2">
      <c r="J598" s="2"/>
      <c r="K598" s="2"/>
      <c r="S598" s="81"/>
    </row>
    <row r="599" spans="10:19" x14ac:dyDescent="0.2">
      <c r="J599" s="2"/>
      <c r="K599" s="2"/>
      <c r="S599" s="81"/>
    </row>
    <row r="600" spans="10:19" x14ac:dyDescent="0.2">
      <c r="J600" s="2"/>
      <c r="K600" s="2"/>
      <c r="S600" s="81"/>
    </row>
    <row r="601" spans="10:19" x14ac:dyDescent="0.2">
      <c r="J601" s="2"/>
      <c r="K601" s="2"/>
      <c r="S601" s="81"/>
    </row>
    <row r="602" spans="10:19" x14ac:dyDescent="0.2">
      <c r="J602" s="2"/>
      <c r="K602" s="2"/>
      <c r="S602" s="81"/>
    </row>
    <row r="603" spans="10:19" x14ac:dyDescent="0.2">
      <c r="J603" s="2"/>
      <c r="K603" s="2"/>
      <c r="S603" s="81"/>
    </row>
    <row r="604" spans="10:19" x14ac:dyDescent="0.2">
      <c r="J604" s="2"/>
      <c r="K604" s="2"/>
      <c r="S604" s="81"/>
    </row>
    <row r="605" spans="10:19" x14ac:dyDescent="0.2">
      <c r="J605" s="2"/>
      <c r="K605" s="2"/>
      <c r="S605" s="81"/>
    </row>
    <row r="606" spans="10:19" x14ac:dyDescent="0.2">
      <c r="J606" s="2"/>
      <c r="K606" s="2"/>
      <c r="S606" s="81"/>
    </row>
    <row r="607" spans="10:19" x14ac:dyDescent="0.2">
      <c r="J607" s="2"/>
      <c r="K607" s="2"/>
      <c r="S607" s="81"/>
    </row>
    <row r="608" spans="10:19" x14ac:dyDescent="0.2">
      <c r="J608" s="2"/>
      <c r="K608" s="2"/>
      <c r="S608" s="81"/>
    </row>
    <row r="609" spans="10:19" x14ac:dyDescent="0.2">
      <c r="J609" s="2"/>
      <c r="K609" s="2"/>
      <c r="S609" s="81"/>
    </row>
    <row r="610" spans="10:19" x14ac:dyDescent="0.2">
      <c r="J610" s="2"/>
      <c r="K610" s="2"/>
      <c r="S610" s="81"/>
    </row>
    <row r="611" spans="10:19" x14ac:dyDescent="0.2">
      <c r="J611" s="2"/>
      <c r="K611" s="2"/>
      <c r="S611" s="81"/>
    </row>
    <row r="612" spans="10:19" x14ac:dyDescent="0.2">
      <c r="J612" s="2"/>
      <c r="K612" s="2"/>
      <c r="S612" s="81"/>
    </row>
    <row r="613" spans="10:19" x14ac:dyDescent="0.2">
      <c r="J613" s="2"/>
      <c r="K613" s="2"/>
      <c r="S613" s="81"/>
    </row>
    <row r="614" spans="10:19" x14ac:dyDescent="0.2">
      <c r="J614" s="2"/>
      <c r="K614" s="2"/>
      <c r="S614" s="81"/>
    </row>
    <row r="615" spans="10:19" x14ac:dyDescent="0.2">
      <c r="J615" s="2"/>
      <c r="K615" s="2"/>
      <c r="S615" s="81"/>
    </row>
    <row r="616" spans="10:19" x14ac:dyDescent="0.2">
      <c r="J616" s="2"/>
      <c r="K616" s="2"/>
      <c r="S616" s="81"/>
    </row>
    <row r="617" spans="10:19" x14ac:dyDescent="0.2">
      <c r="J617" s="2"/>
      <c r="K617" s="2"/>
      <c r="S617" s="81"/>
    </row>
    <row r="618" spans="10:19" x14ac:dyDescent="0.2">
      <c r="J618" s="2"/>
      <c r="K618" s="2"/>
      <c r="S618" s="81"/>
    </row>
    <row r="619" spans="10:19" x14ac:dyDescent="0.2">
      <c r="J619" s="2"/>
      <c r="K619" s="2"/>
      <c r="S619" s="81"/>
    </row>
    <row r="620" spans="10:19" x14ac:dyDescent="0.2">
      <c r="J620" s="2"/>
      <c r="K620" s="2"/>
      <c r="S620" s="81"/>
    </row>
    <row r="621" spans="10:19" x14ac:dyDescent="0.2">
      <c r="J621" s="2"/>
      <c r="K621" s="2"/>
      <c r="S621" s="81"/>
    </row>
    <row r="622" spans="10:19" x14ac:dyDescent="0.2">
      <c r="J622" s="2"/>
      <c r="K622" s="2"/>
      <c r="S622" s="81"/>
    </row>
    <row r="623" spans="10:19" x14ac:dyDescent="0.2">
      <c r="J623" s="2"/>
      <c r="K623" s="2"/>
      <c r="S623" s="81"/>
    </row>
    <row r="624" spans="10:19" x14ac:dyDescent="0.2">
      <c r="J624" s="2"/>
      <c r="K624" s="2"/>
      <c r="S624" s="81"/>
    </row>
    <row r="625" spans="10:19" x14ac:dyDescent="0.2">
      <c r="J625" s="2"/>
      <c r="K625" s="2"/>
      <c r="S625" s="81"/>
    </row>
    <row r="626" spans="10:19" x14ac:dyDescent="0.2">
      <c r="J626" s="2"/>
      <c r="K626" s="2"/>
      <c r="S626" s="81"/>
    </row>
    <row r="627" spans="10:19" x14ac:dyDescent="0.2">
      <c r="J627" s="2"/>
      <c r="K627" s="2"/>
      <c r="S627" s="81"/>
    </row>
    <row r="628" spans="10:19" x14ac:dyDescent="0.2">
      <c r="J628" s="2"/>
      <c r="K628" s="2"/>
      <c r="S628" s="81"/>
    </row>
    <row r="629" spans="10:19" x14ac:dyDescent="0.2">
      <c r="J629" s="2"/>
      <c r="K629" s="2"/>
      <c r="S629" s="81"/>
    </row>
    <row r="630" spans="10:19" x14ac:dyDescent="0.2">
      <c r="J630" s="2"/>
      <c r="K630" s="2"/>
      <c r="S630" s="81"/>
    </row>
    <row r="631" spans="10:19" x14ac:dyDescent="0.2">
      <c r="J631" s="2"/>
      <c r="K631" s="2"/>
      <c r="S631" s="81"/>
    </row>
    <row r="632" spans="10:19" x14ac:dyDescent="0.2">
      <c r="J632" s="2"/>
      <c r="K632" s="2"/>
      <c r="S632" s="81"/>
    </row>
    <row r="633" spans="10:19" x14ac:dyDescent="0.2">
      <c r="J633" s="2"/>
      <c r="K633" s="2"/>
      <c r="S633" s="81"/>
    </row>
    <row r="634" spans="10:19" x14ac:dyDescent="0.2">
      <c r="J634" s="2"/>
      <c r="K634" s="2"/>
      <c r="S634" s="81"/>
    </row>
    <row r="635" spans="10:19" x14ac:dyDescent="0.2">
      <c r="J635" s="2"/>
      <c r="K635" s="2"/>
      <c r="S635" s="81"/>
    </row>
    <row r="636" spans="10:19" x14ac:dyDescent="0.2">
      <c r="J636" s="2"/>
      <c r="K636" s="2"/>
      <c r="S636" s="81"/>
    </row>
    <row r="637" spans="10:19" x14ac:dyDescent="0.2">
      <c r="J637" s="2"/>
      <c r="K637" s="2"/>
      <c r="S637" s="81"/>
    </row>
    <row r="638" spans="10:19" x14ac:dyDescent="0.2">
      <c r="J638" s="2"/>
      <c r="K638" s="2"/>
      <c r="S638" s="81"/>
    </row>
    <row r="639" spans="10:19" x14ac:dyDescent="0.2">
      <c r="J639" s="2"/>
      <c r="K639" s="2"/>
      <c r="S639" s="81"/>
    </row>
    <row r="640" spans="10:19" x14ac:dyDescent="0.2">
      <c r="J640" s="2"/>
      <c r="K640" s="2"/>
      <c r="S640" s="81"/>
    </row>
    <row r="641" spans="10:19" x14ac:dyDescent="0.2">
      <c r="J641" s="2"/>
      <c r="K641" s="2"/>
      <c r="S641" s="81"/>
    </row>
    <row r="642" spans="10:19" x14ac:dyDescent="0.2">
      <c r="J642" s="2"/>
      <c r="K642" s="2"/>
      <c r="S642" s="81"/>
    </row>
    <row r="643" spans="10:19" x14ac:dyDescent="0.2">
      <c r="J643" s="2"/>
      <c r="K643" s="2"/>
      <c r="S643" s="81"/>
    </row>
    <row r="644" spans="10:19" x14ac:dyDescent="0.2">
      <c r="J644" s="2"/>
      <c r="K644" s="2"/>
      <c r="S644" s="81"/>
    </row>
    <row r="645" spans="10:19" x14ac:dyDescent="0.2">
      <c r="J645" s="2"/>
      <c r="K645" s="2"/>
      <c r="S645" s="81"/>
    </row>
    <row r="646" spans="10:19" x14ac:dyDescent="0.2">
      <c r="J646" s="2"/>
      <c r="K646" s="2"/>
      <c r="S646" s="81"/>
    </row>
    <row r="647" spans="10:19" x14ac:dyDescent="0.2">
      <c r="J647" s="2"/>
      <c r="K647" s="2"/>
      <c r="S647" s="81"/>
    </row>
    <row r="648" spans="10:19" x14ac:dyDescent="0.2">
      <c r="J648" s="2"/>
      <c r="K648" s="2"/>
      <c r="S648" s="81"/>
    </row>
    <row r="649" spans="10:19" x14ac:dyDescent="0.2">
      <c r="J649" s="2"/>
      <c r="K649" s="2"/>
      <c r="S649" s="81"/>
    </row>
    <row r="650" spans="10:19" x14ac:dyDescent="0.2">
      <c r="J650" s="2"/>
      <c r="K650" s="2"/>
      <c r="S650" s="81"/>
    </row>
    <row r="651" spans="10:19" x14ac:dyDescent="0.2">
      <c r="J651" s="2"/>
      <c r="K651" s="2"/>
      <c r="S651" s="81"/>
    </row>
    <row r="652" spans="10:19" x14ac:dyDescent="0.2">
      <c r="J652" s="2"/>
      <c r="K652" s="2"/>
      <c r="S652" s="81"/>
    </row>
    <row r="653" spans="10:19" x14ac:dyDescent="0.2">
      <c r="J653" s="2"/>
      <c r="K653" s="2"/>
      <c r="S653" s="81"/>
    </row>
    <row r="654" spans="10:19" x14ac:dyDescent="0.2">
      <c r="J654" s="2"/>
      <c r="K654" s="2"/>
      <c r="S654" s="81"/>
    </row>
    <row r="655" spans="10:19" x14ac:dyDescent="0.2">
      <c r="J655" s="2"/>
      <c r="K655" s="2"/>
      <c r="S655" s="81"/>
    </row>
    <row r="656" spans="10:19" x14ac:dyDescent="0.2">
      <c r="J656" s="2"/>
      <c r="K656" s="2"/>
      <c r="S656" s="81"/>
    </row>
    <row r="657" spans="10:19" x14ac:dyDescent="0.2">
      <c r="J657" s="2"/>
      <c r="K657" s="2"/>
      <c r="S657" s="81"/>
    </row>
    <row r="658" spans="10:19" x14ac:dyDescent="0.2">
      <c r="J658" s="2"/>
      <c r="K658" s="2"/>
      <c r="S658" s="81"/>
    </row>
    <row r="659" spans="10:19" x14ac:dyDescent="0.2">
      <c r="J659" s="2"/>
      <c r="K659" s="2"/>
      <c r="S659" s="81"/>
    </row>
    <row r="660" spans="10:19" x14ac:dyDescent="0.2">
      <c r="J660" s="2"/>
      <c r="K660" s="2"/>
      <c r="S660" s="81"/>
    </row>
    <row r="661" spans="10:19" x14ac:dyDescent="0.2">
      <c r="J661" s="2"/>
      <c r="K661" s="2"/>
      <c r="S661" s="81"/>
    </row>
    <row r="662" spans="10:19" x14ac:dyDescent="0.2">
      <c r="J662" s="2"/>
      <c r="K662" s="2"/>
      <c r="S662" s="81"/>
    </row>
    <row r="663" spans="10:19" x14ac:dyDescent="0.2">
      <c r="J663" s="2"/>
      <c r="K663" s="2"/>
      <c r="S663" s="81"/>
    </row>
    <row r="664" spans="10:19" x14ac:dyDescent="0.2">
      <c r="J664" s="2"/>
      <c r="K664" s="2"/>
      <c r="S664" s="81"/>
    </row>
    <row r="665" spans="10:19" x14ac:dyDescent="0.2">
      <c r="J665" s="2"/>
      <c r="K665" s="2"/>
      <c r="S665" s="81"/>
    </row>
    <row r="666" spans="10:19" x14ac:dyDescent="0.2">
      <c r="J666" s="2"/>
      <c r="K666" s="2"/>
      <c r="S666" s="81"/>
    </row>
    <row r="667" spans="10:19" x14ac:dyDescent="0.2">
      <c r="J667" s="2"/>
      <c r="K667" s="2"/>
      <c r="S667" s="81"/>
    </row>
    <row r="668" spans="10:19" x14ac:dyDescent="0.2">
      <c r="J668" s="2"/>
      <c r="K668" s="2"/>
      <c r="S668" s="81"/>
    </row>
    <row r="669" spans="10:19" x14ac:dyDescent="0.2">
      <c r="J669" s="2"/>
      <c r="K669" s="2"/>
      <c r="S669" s="81"/>
    </row>
    <row r="670" spans="10:19" x14ac:dyDescent="0.2">
      <c r="J670" s="2"/>
      <c r="K670" s="2"/>
      <c r="S670" s="81"/>
    </row>
    <row r="671" spans="10:19" x14ac:dyDescent="0.2">
      <c r="J671" s="2"/>
      <c r="K671" s="2"/>
      <c r="S671" s="81"/>
    </row>
    <row r="672" spans="10:19" x14ac:dyDescent="0.2">
      <c r="J672" s="2"/>
      <c r="K672" s="2"/>
      <c r="S672" s="81"/>
    </row>
    <row r="673" spans="10:19" x14ac:dyDescent="0.2">
      <c r="J673" s="2"/>
      <c r="K673" s="2"/>
      <c r="S673" s="81"/>
    </row>
    <row r="674" spans="10:19" x14ac:dyDescent="0.2">
      <c r="J674" s="2"/>
      <c r="K674" s="2"/>
      <c r="S674" s="81"/>
    </row>
    <row r="675" spans="10:19" x14ac:dyDescent="0.2">
      <c r="J675" s="2"/>
      <c r="K675" s="2"/>
      <c r="S675" s="81"/>
    </row>
    <row r="676" spans="10:19" x14ac:dyDescent="0.2">
      <c r="J676" s="2"/>
      <c r="K676" s="2"/>
      <c r="S676" s="81"/>
    </row>
    <row r="677" spans="10:19" x14ac:dyDescent="0.2">
      <c r="J677" s="2"/>
      <c r="K677" s="2"/>
      <c r="S677" s="81"/>
    </row>
    <row r="678" spans="10:19" x14ac:dyDescent="0.2">
      <c r="J678" s="2"/>
      <c r="K678" s="2"/>
      <c r="S678" s="81"/>
    </row>
    <row r="679" spans="10:19" x14ac:dyDescent="0.2">
      <c r="J679" s="2"/>
      <c r="K679" s="2"/>
      <c r="S679" s="81"/>
    </row>
    <row r="680" spans="10:19" x14ac:dyDescent="0.2">
      <c r="J680" s="2"/>
      <c r="K680" s="2"/>
      <c r="S680" s="81"/>
    </row>
    <row r="681" spans="10:19" x14ac:dyDescent="0.2">
      <c r="J681" s="2"/>
      <c r="K681" s="2"/>
      <c r="S681" s="81"/>
    </row>
    <row r="682" spans="10:19" x14ac:dyDescent="0.2">
      <c r="J682" s="2"/>
      <c r="K682" s="2"/>
      <c r="S682" s="81"/>
    </row>
    <row r="683" spans="10:19" x14ac:dyDescent="0.2">
      <c r="J683" s="2"/>
      <c r="K683" s="2"/>
      <c r="S683" s="81"/>
    </row>
    <row r="684" spans="10:19" x14ac:dyDescent="0.2">
      <c r="J684" s="2"/>
      <c r="K684" s="2"/>
      <c r="S684" s="81"/>
    </row>
    <row r="685" spans="10:19" x14ac:dyDescent="0.2">
      <c r="J685" s="2"/>
      <c r="K685" s="2"/>
      <c r="S685" s="81"/>
    </row>
    <row r="686" spans="10:19" x14ac:dyDescent="0.2">
      <c r="J686" s="2"/>
      <c r="K686" s="2"/>
      <c r="S686" s="81"/>
    </row>
    <row r="687" spans="10:19" x14ac:dyDescent="0.2">
      <c r="J687" s="2"/>
      <c r="K687" s="2"/>
      <c r="S687" s="81"/>
    </row>
    <row r="688" spans="10:19" x14ac:dyDescent="0.2">
      <c r="J688" s="2"/>
      <c r="K688" s="2"/>
      <c r="S688" s="81"/>
    </row>
    <row r="689" spans="10:19" x14ac:dyDescent="0.2">
      <c r="J689" s="2"/>
      <c r="K689" s="2"/>
      <c r="S689" s="81"/>
    </row>
    <row r="690" spans="10:19" x14ac:dyDescent="0.2">
      <c r="J690" s="2"/>
      <c r="K690" s="2"/>
      <c r="S690" s="81"/>
    </row>
    <row r="691" spans="10:19" x14ac:dyDescent="0.2">
      <c r="J691" s="2"/>
      <c r="K691" s="2"/>
      <c r="S691" s="81"/>
    </row>
    <row r="692" spans="10:19" x14ac:dyDescent="0.2">
      <c r="J692" s="2"/>
      <c r="K692" s="2"/>
      <c r="S692" s="81"/>
    </row>
    <row r="693" spans="10:19" x14ac:dyDescent="0.2">
      <c r="J693" s="2"/>
      <c r="K693" s="2"/>
      <c r="S693" s="81"/>
    </row>
    <row r="694" spans="10:19" x14ac:dyDescent="0.2">
      <c r="J694" s="2"/>
      <c r="K694" s="2"/>
      <c r="S694" s="81"/>
    </row>
    <row r="695" spans="10:19" x14ac:dyDescent="0.2">
      <c r="J695" s="2"/>
      <c r="K695" s="2"/>
      <c r="S695" s="81"/>
    </row>
    <row r="696" spans="10:19" x14ac:dyDescent="0.2">
      <c r="J696" s="2"/>
      <c r="K696" s="2"/>
      <c r="S696" s="81"/>
    </row>
    <row r="697" spans="10:19" x14ac:dyDescent="0.2">
      <c r="J697" s="2"/>
      <c r="K697" s="2"/>
      <c r="S697" s="81"/>
    </row>
    <row r="698" spans="10:19" x14ac:dyDescent="0.2">
      <c r="J698" s="2"/>
      <c r="K698" s="2"/>
      <c r="S698" s="81"/>
    </row>
    <row r="699" spans="10:19" x14ac:dyDescent="0.2">
      <c r="J699" s="2"/>
      <c r="K699" s="2"/>
      <c r="S699" s="81"/>
    </row>
    <row r="700" spans="10:19" x14ac:dyDescent="0.2">
      <c r="J700" s="2"/>
      <c r="K700" s="2"/>
      <c r="S700" s="81"/>
    </row>
    <row r="701" spans="10:19" x14ac:dyDescent="0.2">
      <c r="J701" s="2"/>
      <c r="K701" s="2"/>
      <c r="S701" s="81"/>
    </row>
    <row r="702" spans="10:19" x14ac:dyDescent="0.2">
      <c r="J702" s="2"/>
      <c r="K702" s="2"/>
      <c r="S702" s="81"/>
    </row>
    <row r="703" spans="10:19" x14ac:dyDescent="0.2">
      <c r="J703" s="2"/>
      <c r="K703" s="2"/>
      <c r="S703" s="81"/>
    </row>
    <row r="704" spans="10:19" x14ac:dyDescent="0.2">
      <c r="J704" s="2"/>
      <c r="K704" s="2"/>
      <c r="S704" s="81"/>
    </row>
    <row r="705" spans="10:19" x14ac:dyDescent="0.2">
      <c r="J705" s="2"/>
      <c r="K705" s="2"/>
      <c r="S705" s="81"/>
    </row>
    <row r="706" spans="10:19" x14ac:dyDescent="0.2">
      <c r="J706" s="2"/>
      <c r="K706" s="2"/>
      <c r="S706" s="81"/>
    </row>
    <row r="707" spans="10:19" x14ac:dyDescent="0.2">
      <c r="J707" s="2"/>
      <c r="K707" s="2"/>
      <c r="S707" s="81"/>
    </row>
    <row r="708" spans="10:19" x14ac:dyDescent="0.2">
      <c r="J708" s="2"/>
      <c r="K708" s="2"/>
      <c r="S708" s="81"/>
    </row>
    <row r="709" spans="10:19" x14ac:dyDescent="0.2">
      <c r="J709" s="2"/>
      <c r="K709" s="2"/>
      <c r="S709" s="81"/>
    </row>
    <row r="710" spans="10:19" x14ac:dyDescent="0.2">
      <c r="J710" s="2"/>
      <c r="K710" s="2"/>
      <c r="S710" s="81"/>
    </row>
    <row r="711" spans="10:19" x14ac:dyDescent="0.2">
      <c r="J711" s="2"/>
      <c r="K711" s="2"/>
      <c r="S711" s="81"/>
    </row>
    <row r="712" spans="10:19" x14ac:dyDescent="0.2">
      <c r="J712" s="2"/>
      <c r="K712" s="2"/>
      <c r="S712" s="81"/>
    </row>
    <row r="713" spans="10:19" x14ac:dyDescent="0.2">
      <c r="J713" s="2"/>
      <c r="K713" s="2"/>
      <c r="S713" s="81"/>
    </row>
    <row r="714" spans="10:19" x14ac:dyDescent="0.2">
      <c r="J714" s="2"/>
      <c r="K714" s="2"/>
      <c r="S714" s="81"/>
    </row>
    <row r="715" spans="10:19" x14ac:dyDescent="0.2">
      <c r="J715" s="2"/>
      <c r="K715" s="2"/>
      <c r="S715" s="81"/>
    </row>
    <row r="716" spans="10:19" x14ac:dyDescent="0.2">
      <c r="J716" s="2"/>
      <c r="K716" s="2"/>
      <c r="S716" s="81"/>
    </row>
    <row r="717" spans="10:19" x14ac:dyDescent="0.2">
      <c r="J717" s="2"/>
      <c r="K717" s="2"/>
      <c r="S717" s="81"/>
    </row>
    <row r="718" spans="10:19" x14ac:dyDescent="0.2">
      <c r="J718" s="2"/>
      <c r="K718" s="2"/>
      <c r="S718" s="81"/>
    </row>
    <row r="719" spans="10:19" x14ac:dyDescent="0.2">
      <c r="J719" s="2"/>
      <c r="K719" s="2"/>
      <c r="S719" s="81"/>
    </row>
    <row r="720" spans="10:19" x14ac:dyDescent="0.2">
      <c r="J720" s="2"/>
      <c r="K720" s="2"/>
      <c r="S720" s="81"/>
    </row>
    <row r="721" spans="10:19" x14ac:dyDescent="0.2">
      <c r="J721" s="2"/>
      <c r="K721" s="2"/>
      <c r="S721" s="81"/>
    </row>
    <row r="722" spans="10:19" x14ac:dyDescent="0.2">
      <c r="J722" s="2"/>
      <c r="K722" s="2"/>
      <c r="S722" s="81"/>
    </row>
    <row r="723" spans="10:19" x14ac:dyDescent="0.2">
      <c r="J723" s="2"/>
      <c r="K723" s="2"/>
      <c r="S723" s="81"/>
    </row>
    <row r="724" spans="10:19" x14ac:dyDescent="0.2">
      <c r="J724" s="2"/>
      <c r="K724" s="2"/>
      <c r="S724" s="81"/>
    </row>
    <row r="725" spans="10:19" x14ac:dyDescent="0.2">
      <c r="J725" s="2"/>
      <c r="K725" s="2"/>
      <c r="S725" s="81"/>
    </row>
    <row r="726" spans="10:19" x14ac:dyDescent="0.2">
      <c r="J726" s="2"/>
      <c r="K726" s="2"/>
      <c r="S726" s="81"/>
    </row>
    <row r="727" spans="10:19" x14ac:dyDescent="0.2">
      <c r="J727" s="2"/>
      <c r="K727" s="2"/>
      <c r="S727" s="81"/>
    </row>
    <row r="728" spans="10:19" x14ac:dyDescent="0.2">
      <c r="J728" s="2"/>
      <c r="K728" s="2"/>
      <c r="S728" s="81"/>
    </row>
    <row r="729" spans="10:19" x14ac:dyDescent="0.2">
      <c r="J729" s="2"/>
      <c r="K729" s="2"/>
      <c r="S729" s="81"/>
    </row>
    <row r="730" spans="10:19" x14ac:dyDescent="0.2">
      <c r="J730" s="2"/>
      <c r="K730" s="2"/>
      <c r="S730" s="81"/>
    </row>
    <row r="731" spans="10:19" x14ac:dyDescent="0.2">
      <c r="J731" s="2"/>
      <c r="K731" s="2"/>
      <c r="S731" s="81"/>
    </row>
    <row r="732" spans="10:19" x14ac:dyDescent="0.2">
      <c r="J732" s="2"/>
      <c r="K732" s="2"/>
      <c r="S732" s="81"/>
    </row>
    <row r="733" spans="10:19" x14ac:dyDescent="0.2">
      <c r="J733" s="2"/>
      <c r="K733" s="2"/>
      <c r="S733" s="81"/>
    </row>
    <row r="734" spans="10:19" x14ac:dyDescent="0.2">
      <c r="J734" s="2"/>
      <c r="K734" s="2"/>
      <c r="S734" s="81"/>
    </row>
    <row r="735" spans="10:19" x14ac:dyDescent="0.2">
      <c r="J735" s="2"/>
      <c r="K735" s="2"/>
      <c r="S735" s="81"/>
    </row>
    <row r="736" spans="10:19" x14ac:dyDescent="0.2">
      <c r="J736" s="2"/>
      <c r="K736" s="2"/>
      <c r="S736" s="81"/>
    </row>
    <row r="737" spans="10:19" x14ac:dyDescent="0.2">
      <c r="J737" s="2"/>
      <c r="K737" s="2"/>
      <c r="S737" s="81"/>
    </row>
    <row r="738" spans="10:19" x14ac:dyDescent="0.2">
      <c r="J738" s="2"/>
      <c r="K738" s="2"/>
      <c r="S738" s="81"/>
    </row>
    <row r="739" spans="10:19" x14ac:dyDescent="0.2">
      <c r="J739" s="2"/>
      <c r="K739" s="2"/>
      <c r="S739" s="81"/>
    </row>
    <row r="740" spans="10:19" x14ac:dyDescent="0.2">
      <c r="J740" s="2"/>
      <c r="K740" s="2"/>
      <c r="S740" s="81"/>
    </row>
    <row r="741" spans="10:19" x14ac:dyDescent="0.2">
      <c r="J741" s="2"/>
      <c r="K741" s="2"/>
      <c r="S741" s="81"/>
    </row>
    <row r="742" spans="10:19" x14ac:dyDescent="0.2">
      <c r="J742" s="2"/>
      <c r="K742" s="2"/>
      <c r="S742" s="81"/>
    </row>
    <row r="743" spans="10:19" x14ac:dyDescent="0.2">
      <c r="J743" s="2"/>
      <c r="K743" s="2"/>
      <c r="S743" s="81"/>
    </row>
    <row r="744" spans="10:19" x14ac:dyDescent="0.2">
      <c r="J744" s="2"/>
      <c r="K744" s="2"/>
      <c r="S744" s="81"/>
    </row>
    <row r="745" spans="10:19" x14ac:dyDescent="0.2">
      <c r="J745" s="2"/>
      <c r="K745" s="2"/>
      <c r="S745" s="81"/>
    </row>
    <row r="746" spans="10:19" x14ac:dyDescent="0.2">
      <c r="J746" s="2"/>
      <c r="K746" s="2"/>
      <c r="S746" s="81"/>
    </row>
    <row r="747" spans="10:19" x14ac:dyDescent="0.2">
      <c r="J747" s="2"/>
      <c r="K747" s="2"/>
      <c r="S747" s="81"/>
    </row>
    <row r="748" spans="10:19" x14ac:dyDescent="0.2">
      <c r="J748" s="2"/>
      <c r="K748" s="2"/>
      <c r="S748" s="81"/>
    </row>
    <row r="749" spans="10:19" x14ac:dyDescent="0.2">
      <c r="J749" s="2"/>
      <c r="K749" s="2"/>
      <c r="S749" s="81"/>
    </row>
    <row r="750" spans="10:19" x14ac:dyDescent="0.2">
      <c r="J750" s="2"/>
      <c r="K750" s="2"/>
      <c r="S750" s="81"/>
    </row>
    <row r="751" spans="10:19" x14ac:dyDescent="0.2">
      <c r="J751" s="2"/>
      <c r="K751" s="2"/>
      <c r="S751" s="81"/>
    </row>
    <row r="752" spans="10:19" x14ac:dyDescent="0.2">
      <c r="J752" s="2"/>
      <c r="K752" s="2"/>
      <c r="S752" s="81"/>
    </row>
    <row r="753" spans="10:19" x14ac:dyDescent="0.2">
      <c r="J753" s="2"/>
      <c r="K753" s="2"/>
      <c r="S753" s="81"/>
    </row>
    <row r="754" spans="10:19" x14ac:dyDescent="0.2">
      <c r="J754" s="2"/>
      <c r="K754" s="2"/>
      <c r="S754" s="81"/>
    </row>
    <row r="755" spans="10:19" x14ac:dyDescent="0.2">
      <c r="J755" s="2"/>
      <c r="K755" s="2"/>
      <c r="S755" s="81"/>
    </row>
    <row r="756" spans="10:19" x14ac:dyDescent="0.2">
      <c r="J756" s="2"/>
      <c r="K756" s="2"/>
      <c r="S756" s="81"/>
    </row>
    <row r="757" spans="10:19" x14ac:dyDescent="0.2">
      <c r="J757" s="2"/>
      <c r="K757" s="2"/>
      <c r="S757" s="81"/>
    </row>
    <row r="758" spans="10:19" x14ac:dyDescent="0.2">
      <c r="J758" s="2"/>
      <c r="K758" s="2"/>
      <c r="S758" s="81"/>
    </row>
    <row r="759" spans="10:19" x14ac:dyDescent="0.2">
      <c r="J759" s="2"/>
      <c r="K759" s="2"/>
      <c r="S759" s="81"/>
    </row>
    <row r="760" spans="10:19" x14ac:dyDescent="0.2">
      <c r="J760" s="2"/>
      <c r="K760" s="2"/>
      <c r="S760" s="81"/>
    </row>
    <row r="761" spans="10:19" x14ac:dyDescent="0.2">
      <c r="J761" s="2"/>
      <c r="K761" s="2"/>
      <c r="S761" s="81"/>
    </row>
    <row r="762" spans="10:19" x14ac:dyDescent="0.2">
      <c r="J762" s="2"/>
      <c r="K762" s="2"/>
      <c r="S762" s="81"/>
    </row>
    <row r="763" spans="10:19" x14ac:dyDescent="0.2">
      <c r="J763" s="2"/>
      <c r="K763" s="2"/>
      <c r="S763" s="81"/>
    </row>
    <row r="764" spans="10:19" x14ac:dyDescent="0.2">
      <c r="J764" s="2"/>
      <c r="K764" s="2"/>
      <c r="S764" s="81"/>
    </row>
    <row r="765" spans="10:19" x14ac:dyDescent="0.2">
      <c r="J765" s="2"/>
      <c r="K765" s="2"/>
      <c r="S765" s="81"/>
    </row>
    <row r="766" spans="10:19" x14ac:dyDescent="0.2">
      <c r="J766" s="2"/>
      <c r="K766" s="2"/>
      <c r="S766" s="81"/>
    </row>
    <row r="767" spans="10:19" x14ac:dyDescent="0.2">
      <c r="J767" s="2"/>
      <c r="K767" s="2"/>
      <c r="S767" s="81"/>
    </row>
    <row r="768" spans="10:19" x14ac:dyDescent="0.2">
      <c r="J768" s="2"/>
      <c r="K768" s="2"/>
      <c r="S768" s="81"/>
    </row>
    <row r="769" spans="10:19" x14ac:dyDescent="0.2">
      <c r="J769" s="2"/>
      <c r="K769" s="2"/>
      <c r="S769" s="81"/>
    </row>
    <row r="770" spans="10:19" x14ac:dyDescent="0.2">
      <c r="J770" s="2"/>
      <c r="K770" s="2"/>
      <c r="S770" s="81"/>
    </row>
    <row r="771" spans="10:19" x14ac:dyDescent="0.2">
      <c r="J771" s="2"/>
      <c r="K771" s="2"/>
      <c r="S771" s="81"/>
    </row>
    <row r="772" spans="10:19" x14ac:dyDescent="0.2">
      <c r="J772" s="2"/>
      <c r="K772" s="2"/>
      <c r="S772" s="81"/>
    </row>
    <row r="773" spans="10:19" x14ac:dyDescent="0.2">
      <c r="J773" s="2"/>
      <c r="K773" s="2"/>
      <c r="S773" s="81"/>
    </row>
    <row r="774" spans="10:19" x14ac:dyDescent="0.2">
      <c r="J774" s="2"/>
      <c r="K774" s="2"/>
      <c r="S774" s="81"/>
    </row>
    <row r="775" spans="10:19" x14ac:dyDescent="0.2">
      <c r="J775" s="2"/>
      <c r="K775" s="2"/>
      <c r="S775" s="81"/>
    </row>
    <row r="776" spans="10:19" x14ac:dyDescent="0.2">
      <c r="J776" s="2"/>
      <c r="K776" s="2"/>
      <c r="S776" s="81"/>
    </row>
    <row r="777" spans="10:19" x14ac:dyDescent="0.2">
      <c r="J777" s="2"/>
      <c r="K777" s="2"/>
      <c r="S777" s="81"/>
    </row>
    <row r="778" spans="10:19" x14ac:dyDescent="0.2">
      <c r="J778" s="2"/>
      <c r="K778" s="2"/>
      <c r="S778" s="81"/>
    </row>
    <row r="779" spans="10:19" x14ac:dyDescent="0.2">
      <c r="J779" s="2"/>
      <c r="K779" s="2"/>
      <c r="S779" s="81"/>
    </row>
    <row r="780" spans="10:19" x14ac:dyDescent="0.2">
      <c r="J780" s="2"/>
      <c r="K780" s="2"/>
      <c r="S780" s="81"/>
    </row>
    <row r="781" spans="10:19" x14ac:dyDescent="0.2">
      <c r="J781" s="2"/>
      <c r="K781" s="2"/>
      <c r="S781" s="81"/>
    </row>
    <row r="782" spans="10:19" x14ac:dyDescent="0.2">
      <c r="J782" s="2"/>
      <c r="K782" s="2"/>
      <c r="S782" s="81"/>
    </row>
    <row r="783" spans="10:19" x14ac:dyDescent="0.2">
      <c r="J783" s="2"/>
      <c r="K783" s="2"/>
      <c r="S783" s="81"/>
    </row>
    <row r="784" spans="10:19" x14ac:dyDescent="0.2">
      <c r="J784" s="2"/>
      <c r="K784" s="2"/>
      <c r="S784" s="81"/>
    </row>
    <row r="785" spans="10:19" x14ac:dyDescent="0.2">
      <c r="J785" s="2"/>
      <c r="K785" s="2"/>
      <c r="S785" s="81"/>
    </row>
    <row r="786" spans="10:19" x14ac:dyDescent="0.2">
      <c r="J786" s="2"/>
      <c r="K786" s="2"/>
      <c r="S786" s="81"/>
    </row>
    <row r="787" spans="10:19" x14ac:dyDescent="0.2">
      <c r="J787" s="2"/>
      <c r="K787" s="2"/>
      <c r="S787" s="81"/>
    </row>
    <row r="788" spans="10:19" x14ac:dyDescent="0.2">
      <c r="J788" s="2"/>
      <c r="K788" s="2"/>
      <c r="S788" s="81"/>
    </row>
    <row r="789" spans="10:19" x14ac:dyDescent="0.2">
      <c r="J789" s="2"/>
      <c r="K789" s="2"/>
      <c r="S789" s="81"/>
    </row>
    <row r="790" spans="10:19" x14ac:dyDescent="0.2">
      <c r="J790" s="2"/>
      <c r="K790" s="2"/>
      <c r="S790" s="81"/>
    </row>
    <row r="791" spans="10:19" x14ac:dyDescent="0.2">
      <c r="J791" s="2"/>
      <c r="K791" s="2"/>
      <c r="S791" s="81"/>
    </row>
    <row r="792" spans="10:19" x14ac:dyDescent="0.2">
      <c r="J792" s="2"/>
      <c r="K792" s="2"/>
      <c r="S792" s="81"/>
    </row>
    <row r="793" spans="10:19" x14ac:dyDescent="0.2">
      <c r="J793" s="2"/>
      <c r="K793" s="2"/>
      <c r="S793" s="81"/>
    </row>
    <row r="794" spans="10:19" x14ac:dyDescent="0.2">
      <c r="J794" s="2"/>
      <c r="K794" s="2"/>
      <c r="S794" s="81"/>
    </row>
    <row r="795" spans="10:19" x14ac:dyDescent="0.2">
      <c r="J795" s="2"/>
      <c r="K795" s="2"/>
      <c r="S795" s="81"/>
    </row>
    <row r="796" spans="10:19" x14ac:dyDescent="0.2">
      <c r="J796" s="2"/>
      <c r="K796" s="2"/>
      <c r="S796" s="81"/>
    </row>
    <row r="797" spans="10:19" x14ac:dyDescent="0.2">
      <c r="J797" s="2"/>
      <c r="K797" s="2"/>
      <c r="S797" s="81"/>
    </row>
    <row r="798" spans="10:19" x14ac:dyDescent="0.2">
      <c r="J798" s="2"/>
      <c r="K798" s="2"/>
      <c r="S798" s="81"/>
    </row>
    <row r="799" spans="10:19" x14ac:dyDescent="0.2">
      <c r="J799" s="2"/>
      <c r="K799" s="2"/>
      <c r="S799" s="81"/>
    </row>
    <row r="800" spans="10:19" x14ac:dyDescent="0.2">
      <c r="J800" s="2"/>
      <c r="K800" s="2"/>
      <c r="S800" s="81"/>
    </row>
    <row r="801" spans="10:19" x14ac:dyDescent="0.2">
      <c r="J801" s="2"/>
      <c r="K801" s="2"/>
      <c r="S801" s="81"/>
    </row>
    <row r="802" spans="10:19" x14ac:dyDescent="0.2">
      <c r="J802" s="2"/>
      <c r="K802" s="2"/>
      <c r="S802" s="81"/>
    </row>
    <row r="803" spans="10:19" x14ac:dyDescent="0.2">
      <c r="J803" s="2"/>
      <c r="K803" s="2"/>
      <c r="S803" s="81"/>
    </row>
    <row r="804" spans="10:19" x14ac:dyDescent="0.2">
      <c r="J804" s="2"/>
      <c r="K804" s="2"/>
      <c r="S804" s="81"/>
    </row>
    <row r="805" spans="10:19" x14ac:dyDescent="0.2">
      <c r="J805" s="2"/>
      <c r="K805" s="2"/>
      <c r="S805" s="81"/>
    </row>
    <row r="806" spans="10:19" x14ac:dyDescent="0.2">
      <c r="J806" s="2"/>
      <c r="K806" s="2"/>
      <c r="S806" s="81"/>
    </row>
    <row r="807" spans="10:19" x14ac:dyDescent="0.2">
      <c r="J807" s="2"/>
      <c r="K807" s="2"/>
      <c r="S807" s="81"/>
    </row>
    <row r="808" spans="10:19" x14ac:dyDescent="0.2">
      <c r="J808" s="2"/>
      <c r="K808" s="2"/>
      <c r="S808" s="81"/>
    </row>
    <row r="809" spans="10:19" x14ac:dyDescent="0.2">
      <c r="J809" s="2"/>
      <c r="K809" s="2"/>
      <c r="S809" s="81"/>
    </row>
    <row r="810" spans="10:19" x14ac:dyDescent="0.2">
      <c r="J810" s="2"/>
      <c r="K810" s="2"/>
      <c r="S810" s="81"/>
    </row>
    <row r="811" spans="10:19" x14ac:dyDescent="0.2">
      <c r="J811" s="2"/>
      <c r="K811" s="2"/>
      <c r="S811" s="81"/>
    </row>
    <row r="812" spans="10:19" x14ac:dyDescent="0.2">
      <c r="J812" s="2"/>
      <c r="K812" s="2"/>
      <c r="S812" s="81"/>
    </row>
    <row r="813" spans="10:19" x14ac:dyDescent="0.2">
      <c r="J813" s="2"/>
      <c r="K813" s="2"/>
      <c r="S813" s="81"/>
    </row>
    <row r="814" spans="10:19" x14ac:dyDescent="0.2">
      <c r="J814" s="2"/>
      <c r="K814" s="2"/>
      <c r="S814" s="81"/>
    </row>
    <row r="815" spans="10:19" x14ac:dyDescent="0.2">
      <c r="J815" s="2"/>
      <c r="K815" s="2"/>
      <c r="S815" s="81"/>
    </row>
    <row r="816" spans="10:19" x14ac:dyDescent="0.2">
      <c r="J816" s="2"/>
      <c r="K816" s="2"/>
      <c r="S816" s="81"/>
    </row>
    <row r="817" spans="10:19" x14ac:dyDescent="0.2">
      <c r="J817" s="2"/>
      <c r="K817" s="2"/>
      <c r="S817" s="81"/>
    </row>
    <row r="818" spans="10:19" x14ac:dyDescent="0.2">
      <c r="J818" s="2"/>
      <c r="K818" s="2"/>
      <c r="S818" s="81"/>
    </row>
    <row r="819" spans="10:19" x14ac:dyDescent="0.2">
      <c r="J819" s="2"/>
      <c r="K819" s="2"/>
      <c r="S819" s="81"/>
    </row>
    <row r="820" spans="10:19" x14ac:dyDescent="0.2">
      <c r="J820" s="2"/>
      <c r="K820" s="2"/>
      <c r="S820" s="81"/>
    </row>
    <row r="821" spans="10:19" x14ac:dyDescent="0.2">
      <c r="J821" s="2"/>
      <c r="K821" s="2"/>
      <c r="S821" s="81"/>
    </row>
    <row r="822" spans="10:19" x14ac:dyDescent="0.2">
      <c r="J822" s="2"/>
      <c r="K822" s="2"/>
      <c r="S822" s="81"/>
    </row>
    <row r="823" spans="10:19" x14ac:dyDescent="0.2">
      <c r="J823" s="2"/>
      <c r="K823" s="2"/>
      <c r="S823" s="81"/>
    </row>
    <row r="824" spans="10:19" x14ac:dyDescent="0.2">
      <c r="J824" s="2"/>
      <c r="K824" s="2"/>
      <c r="S824" s="81"/>
    </row>
    <row r="825" spans="10:19" x14ac:dyDescent="0.2">
      <c r="J825" s="2"/>
      <c r="K825" s="2"/>
      <c r="S825" s="81"/>
    </row>
    <row r="826" spans="10:19" x14ac:dyDescent="0.2">
      <c r="J826" s="2"/>
      <c r="K826" s="2"/>
      <c r="S826" s="81"/>
    </row>
    <row r="827" spans="10:19" x14ac:dyDescent="0.2">
      <c r="J827" s="2"/>
      <c r="K827" s="2"/>
      <c r="S827" s="81"/>
    </row>
    <row r="828" spans="10:19" x14ac:dyDescent="0.2">
      <c r="J828" s="2"/>
      <c r="K828" s="2"/>
      <c r="S828" s="81"/>
    </row>
    <row r="829" spans="10:19" x14ac:dyDescent="0.2">
      <c r="J829" s="2"/>
      <c r="K829" s="2"/>
      <c r="S829" s="81"/>
    </row>
    <row r="830" spans="10:19" x14ac:dyDescent="0.2">
      <c r="J830" s="2"/>
      <c r="K830" s="2"/>
      <c r="S830" s="81"/>
    </row>
    <row r="831" spans="10:19" x14ac:dyDescent="0.2">
      <c r="J831" s="2"/>
      <c r="K831" s="2"/>
      <c r="S831" s="81"/>
    </row>
    <row r="832" spans="10:19" x14ac:dyDescent="0.2">
      <c r="J832" s="2"/>
      <c r="K832" s="2"/>
      <c r="S832" s="81"/>
    </row>
    <row r="833" spans="10:19" x14ac:dyDescent="0.2">
      <c r="J833" s="2"/>
      <c r="K833" s="2"/>
      <c r="S833" s="81"/>
    </row>
    <row r="834" spans="10:19" x14ac:dyDescent="0.2">
      <c r="J834" s="2"/>
      <c r="K834" s="2"/>
      <c r="S834" s="81"/>
    </row>
    <row r="835" spans="10:19" x14ac:dyDescent="0.2">
      <c r="J835" s="2"/>
      <c r="K835" s="2"/>
      <c r="S835" s="81"/>
    </row>
    <row r="836" spans="10:19" x14ac:dyDescent="0.2">
      <c r="J836" s="2"/>
      <c r="K836" s="2"/>
      <c r="S836" s="81"/>
    </row>
    <row r="837" spans="10:19" x14ac:dyDescent="0.2">
      <c r="J837" s="2"/>
      <c r="K837" s="2"/>
      <c r="S837" s="81"/>
    </row>
    <row r="838" spans="10:19" x14ac:dyDescent="0.2">
      <c r="J838" s="2"/>
      <c r="K838" s="2"/>
      <c r="S838" s="81"/>
    </row>
    <row r="839" spans="10:19" x14ac:dyDescent="0.2">
      <c r="J839" s="2"/>
      <c r="K839" s="2"/>
      <c r="S839" s="81"/>
    </row>
    <row r="840" spans="10:19" x14ac:dyDescent="0.2">
      <c r="J840" s="2"/>
      <c r="K840" s="2"/>
      <c r="S840" s="81"/>
    </row>
    <row r="841" spans="10:19" x14ac:dyDescent="0.2">
      <c r="J841" s="2"/>
      <c r="K841" s="2"/>
      <c r="S841" s="81"/>
    </row>
    <row r="842" spans="10:19" x14ac:dyDescent="0.2">
      <c r="J842" s="2"/>
      <c r="K842" s="2"/>
      <c r="S842" s="81"/>
    </row>
    <row r="843" spans="10:19" x14ac:dyDescent="0.2">
      <c r="J843" s="2"/>
      <c r="K843" s="2"/>
      <c r="S843" s="81"/>
    </row>
    <row r="844" spans="10:19" x14ac:dyDescent="0.2">
      <c r="J844" s="2"/>
      <c r="K844" s="2"/>
      <c r="S844" s="81"/>
    </row>
    <row r="845" spans="10:19" x14ac:dyDescent="0.2">
      <c r="J845" s="2"/>
      <c r="K845" s="2"/>
      <c r="S845" s="81"/>
    </row>
    <row r="846" spans="10:19" x14ac:dyDescent="0.2">
      <c r="J846" s="2"/>
      <c r="K846" s="2"/>
      <c r="S846" s="81"/>
    </row>
    <row r="847" spans="10:19" x14ac:dyDescent="0.2">
      <c r="J847" s="2"/>
      <c r="K847" s="2"/>
      <c r="S847" s="81"/>
    </row>
    <row r="848" spans="10:19" x14ac:dyDescent="0.2">
      <c r="J848" s="2"/>
      <c r="K848" s="2"/>
      <c r="S848" s="81"/>
    </row>
    <row r="849" spans="10:19" x14ac:dyDescent="0.2">
      <c r="J849" s="2"/>
      <c r="K849" s="2"/>
      <c r="S849" s="81"/>
    </row>
    <row r="850" spans="10:19" x14ac:dyDescent="0.2">
      <c r="J850" s="2"/>
      <c r="K850" s="2"/>
      <c r="S850" s="81"/>
    </row>
    <row r="851" spans="10:19" x14ac:dyDescent="0.2">
      <c r="J851" s="2"/>
      <c r="K851" s="2"/>
      <c r="S851" s="81"/>
    </row>
    <row r="852" spans="10:19" x14ac:dyDescent="0.2">
      <c r="J852" s="2"/>
      <c r="K852" s="2"/>
      <c r="S852" s="81"/>
    </row>
    <row r="853" spans="10:19" x14ac:dyDescent="0.2">
      <c r="J853" s="2"/>
      <c r="K853" s="2"/>
      <c r="S853" s="81"/>
    </row>
    <row r="854" spans="10:19" x14ac:dyDescent="0.2">
      <c r="J854" s="2"/>
      <c r="K854" s="2"/>
      <c r="S854" s="81"/>
    </row>
    <row r="855" spans="10:19" x14ac:dyDescent="0.2">
      <c r="J855" s="2"/>
      <c r="K855" s="2"/>
      <c r="S855" s="81"/>
    </row>
    <row r="856" spans="10:19" x14ac:dyDescent="0.2">
      <c r="J856" s="2"/>
      <c r="K856" s="2"/>
      <c r="S856" s="81"/>
    </row>
    <row r="857" spans="10:19" x14ac:dyDescent="0.2">
      <c r="J857" s="2"/>
      <c r="K857" s="2"/>
      <c r="S857" s="81"/>
    </row>
    <row r="858" spans="10:19" x14ac:dyDescent="0.2">
      <c r="J858" s="2"/>
      <c r="K858" s="2"/>
      <c r="S858" s="81"/>
    </row>
    <row r="859" spans="10:19" x14ac:dyDescent="0.2">
      <c r="J859" s="2"/>
      <c r="K859" s="2"/>
      <c r="S859" s="81"/>
    </row>
    <row r="860" spans="10:19" x14ac:dyDescent="0.2">
      <c r="J860" s="2"/>
      <c r="K860" s="2"/>
      <c r="S860" s="81"/>
    </row>
    <row r="861" spans="10:19" x14ac:dyDescent="0.2">
      <c r="J861" s="2"/>
      <c r="K861" s="2"/>
      <c r="S861" s="81"/>
    </row>
    <row r="862" spans="10:19" x14ac:dyDescent="0.2">
      <c r="J862" s="2"/>
      <c r="K862" s="2"/>
      <c r="S862" s="81"/>
    </row>
    <row r="863" spans="10:19" x14ac:dyDescent="0.2">
      <c r="J863" s="2"/>
      <c r="K863" s="2"/>
      <c r="S863" s="81"/>
    </row>
    <row r="864" spans="10:19" x14ac:dyDescent="0.2">
      <c r="J864" s="2"/>
      <c r="K864" s="2"/>
      <c r="S864" s="81"/>
    </row>
    <row r="865" spans="10:19" x14ac:dyDescent="0.2">
      <c r="J865" s="2"/>
      <c r="K865" s="2"/>
      <c r="S865" s="81"/>
    </row>
    <row r="866" spans="10:19" x14ac:dyDescent="0.2">
      <c r="J866" s="2"/>
      <c r="K866" s="2"/>
      <c r="S866" s="81"/>
    </row>
    <row r="867" spans="10:19" x14ac:dyDescent="0.2">
      <c r="J867" s="2"/>
      <c r="K867" s="2"/>
      <c r="S867" s="81"/>
    </row>
    <row r="868" spans="10:19" x14ac:dyDescent="0.2">
      <c r="J868" s="2"/>
      <c r="K868" s="2"/>
      <c r="S868" s="81"/>
    </row>
    <row r="869" spans="10:19" x14ac:dyDescent="0.2">
      <c r="J869" s="2"/>
      <c r="K869" s="2"/>
      <c r="S869" s="81"/>
    </row>
    <row r="870" spans="10:19" x14ac:dyDescent="0.2">
      <c r="J870" s="2"/>
      <c r="K870" s="2"/>
      <c r="S870" s="81"/>
    </row>
    <row r="871" spans="10:19" x14ac:dyDescent="0.2">
      <c r="J871" s="2"/>
      <c r="K871" s="2"/>
      <c r="S871" s="81"/>
    </row>
    <row r="872" spans="10:19" x14ac:dyDescent="0.2">
      <c r="J872" s="2"/>
      <c r="K872" s="2"/>
      <c r="S872" s="81"/>
    </row>
    <row r="873" spans="10:19" x14ac:dyDescent="0.2">
      <c r="J873" s="2"/>
      <c r="K873" s="2"/>
      <c r="S873" s="81"/>
    </row>
    <row r="874" spans="10:19" x14ac:dyDescent="0.2">
      <c r="J874" s="2"/>
      <c r="K874" s="2"/>
      <c r="S874" s="81"/>
    </row>
    <row r="875" spans="10:19" x14ac:dyDescent="0.2">
      <c r="J875" s="2"/>
      <c r="K875" s="2"/>
      <c r="S875" s="81"/>
    </row>
    <row r="876" spans="10:19" x14ac:dyDescent="0.2">
      <c r="J876" s="2"/>
      <c r="K876" s="2"/>
      <c r="S876" s="81"/>
    </row>
    <row r="877" spans="10:19" x14ac:dyDescent="0.2">
      <c r="J877" s="2"/>
      <c r="K877" s="2"/>
      <c r="S877" s="81"/>
    </row>
    <row r="878" spans="10:19" x14ac:dyDescent="0.2">
      <c r="J878" s="2"/>
      <c r="K878" s="2"/>
      <c r="S878" s="81"/>
    </row>
    <row r="879" spans="10:19" x14ac:dyDescent="0.2">
      <c r="J879" s="2"/>
      <c r="K879" s="2"/>
      <c r="S879" s="81"/>
    </row>
    <row r="880" spans="10:19" x14ac:dyDescent="0.2">
      <c r="J880" s="2"/>
      <c r="K880" s="2"/>
      <c r="S880" s="81"/>
    </row>
    <row r="881" spans="10:19" x14ac:dyDescent="0.2">
      <c r="J881" s="2"/>
      <c r="K881" s="2"/>
      <c r="S881" s="81"/>
    </row>
    <row r="882" spans="10:19" x14ac:dyDescent="0.2">
      <c r="J882" s="2"/>
      <c r="K882" s="2"/>
      <c r="S882" s="81"/>
    </row>
    <row r="883" spans="10:19" x14ac:dyDescent="0.2">
      <c r="J883" s="2"/>
      <c r="K883" s="2"/>
      <c r="S883" s="81"/>
    </row>
    <row r="884" spans="10:19" x14ac:dyDescent="0.2">
      <c r="J884" s="2"/>
      <c r="K884" s="2"/>
      <c r="S884" s="81"/>
    </row>
    <row r="885" spans="10:19" x14ac:dyDescent="0.2">
      <c r="J885" s="2"/>
      <c r="K885" s="2"/>
      <c r="S885" s="81"/>
    </row>
    <row r="886" spans="10:19" x14ac:dyDescent="0.2">
      <c r="J886" s="2"/>
      <c r="K886" s="2"/>
      <c r="S886" s="81"/>
    </row>
    <row r="887" spans="10:19" x14ac:dyDescent="0.2">
      <c r="J887" s="2"/>
      <c r="K887" s="2"/>
      <c r="S887" s="81"/>
    </row>
    <row r="888" spans="10:19" x14ac:dyDescent="0.2">
      <c r="J888" s="2"/>
      <c r="K888" s="2"/>
      <c r="S888" s="81"/>
    </row>
    <row r="889" spans="10:19" x14ac:dyDescent="0.2">
      <c r="J889" s="2"/>
      <c r="K889" s="2"/>
      <c r="S889" s="81"/>
    </row>
    <row r="890" spans="10:19" x14ac:dyDescent="0.2">
      <c r="J890" s="2"/>
      <c r="K890" s="2"/>
      <c r="S890" s="81"/>
    </row>
    <row r="891" spans="10:19" x14ac:dyDescent="0.2">
      <c r="J891" s="2"/>
      <c r="K891" s="2"/>
      <c r="S891" s="81"/>
    </row>
    <row r="892" spans="10:19" x14ac:dyDescent="0.2">
      <c r="J892" s="2"/>
      <c r="K892" s="2"/>
      <c r="S892" s="81"/>
    </row>
    <row r="893" spans="10:19" x14ac:dyDescent="0.2">
      <c r="J893" s="2"/>
      <c r="K893" s="2"/>
      <c r="S893" s="81"/>
    </row>
    <row r="894" spans="10:19" x14ac:dyDescent="0.2">
      <c r="J894" s="2"/>
      <c r="K894" s="2"/>
      <c r="S894" s="81"/>
    </row>
    <row r="895" spans="10:19" x14ac:dyDescent="0.2">
      <c r="J895" s="2"/>
      <c r="K895" s="2"/>
      <c r="S895" s="81"/>
    </row>
    <row r="896" spans="10:19" x14ac:dyDescent="0.2">
      <c r="J896" s="2"/>
      <c r="K896" s="2"/>
      <c r="S896" s="81"/>
    </row>
    <row r="897" spans="10:19" x14ac:dyDescent="0.2">
      <c r="J897" s="2"/>
      <c r="K897" s="2"/>
      <c r="S897" s="81"/>
    </row>
    <row r="898" spans="10:19" x14ac:dyDescent="0.2">
      <c r="J898" s="2"/>
      <c r="K898" s="2"/>
      <c r="S898" s="81"/>
    </row>
    <row r="899" spans="10:19" x14ac:dyDescent="0.2">
      <c r="J899" s="2"/>
      <c r="K899" s="2"/>
      <c r="S899" s="81"/>
    </row>
    <row r="900" spans="10:19" x14ac:dyDescent="0.2">
      <c r="J900" s="2"/>
      <c r="K900" s="2"/>
      <c r="S900" s="81"/>
    </row>
    <row r="901" spans="10:19" x14ac:dyDescent="0.2">
      <c r="J901" s="2"/>
      <c r="K901" s="2"/>
      <c r="S901" s="81"/>
    </row>
    <row r="902" spans="10:19" x14ac:dyDescent="0.2">
      <c r="J902" s="2"/>
      <c r="K902" s="2"/>
      <c r="S902" s="81"/>
    </row>
    <row r="903" spans="10:19" x14ac:dyDescent="0.2">
      <c r="J903" s="2"/>
      <c r="K903" s="2"/>
      <c r="S903" s="81"/>
    </row>
    <row r="904" spans="10:19" x14ac:dyDescent="0.2">
      <c r="J904" s="2"/>
      <c r="K904" s="2"/>
      <c r="S904" s="81"/>
    </row>
    <row r="905" spans="10:19" x14ac:dyDescent="0.2">
      <c r="J905" s="2"/>
      <c r="K905" s="2"/>
      <c r="S905" s="81"/>
    </row>
    <row r="906" spans="10:19" x14ac:dyDescent="0.2">
      <c r="J906" s="2"/>
      <c r="K906" s="2"/>
      <c r="S906" s="81"/>
    </row>
    <row r="907" spans="10:19" x14ac:dyDescent="0.2">
      <c r="J907" s="2"/>
      <c r="K907" s="2"/>
      <c r="S907" s="81"/>
    </row>
    <row r="908" spans="10:19" x14ac:dyDescent="0.2">
      <c r="J908" s="2"/>
      <c r="K908" s="2"/>
      <c r="S908" s="81"/>
    </row>
    <row r="909" spans="10:19" x14ac:dyDescent="0.2">
      <c r="J909" s="2"/>
      <c r="K909" s="2"/>
      <c r="S909" s="81"/>
    </row>
    <row r="910" spans="10:19" x14ac:dyDescent="0.2">
      <c r="J910" s="2"/>
      <c r="K910" s="2"/>
      <c r="S910" s="81"/>
    </row>
    <row r="911" spans="10:19" x14ac:dyDescent="0.2">
      <c r="J911" s="2"/>
      <c r="K911" s="2"/>
      <c r="S911" s="81"/>
    </row>
    <row r="912" spans="10:19" x14ac:dyDescent="0.2">
      <c r="J912" s="2"/>
      <c r="K912" s="2"/>
      <c r="S912" s="81"/>
    </row>
    <row r="913" spans="10:19" x14ac:dyDescent="0.2">
      <c r="J913" s="2"/>
      <c r="K913" s="2"/>
      <c r="S913" s="81"/>
    </row>
    <row r="914" spans="10:19" x14ac:dyDescent="0.2">
      <c r="J914" s="2"/>
      <c r="K914" s="2"/>
      <c r="S914" s="81"/>
    </row>
    <row r="915" spans="10:19" x14ac:dyDescent="0.2">
      <c r="J915" s="2"/>
      <c r="K915" s="2"/>
      <c r="S915" s="81"/>
    </row>
    <row r="916" spans="10:19" x14ac:dyDescent="0.2">
      <c r="J916" s="2"/>
      <c r="K916" s="2"/>
      <c r="S916" s="81"/>
    </row>
    <row r="917" spans="10:19" x14ac:dyDescent="0.2">
      <c r="J917" s="2"/>
      <c r="K917" s="2"/>
      <c r="S917" s="81"/>
    </row>
    <row r="918" spans="10:19" x14ac:dyDescent="0.2">
      <c r="J918" s="2"/>
      <c r="K918" s="2"/>
      <c r="S918" s="81"/>
    </row>
    <row r="919" spans="10:19" x14ac:dyDescent="0.2">
      <c r="J919" s="2"/>
      <c r="K919" s="2"/>
      <c r="S919" s="81"/>
    </row>
    <row r="920" spans="10:19" x14ac:dyDescent="0.2">
      <c r="J920" s="2"/>
      <c r="K920" s="2"/>
      <c r="S920" s="81"/>
    </row>
    <row r="921" spans="10:19" x14ac:dyDescent="0.2">
      <c r="J921" s="2"/>
      <c r="K921" s="2"/>
      <c r="S921" s="81"/>
    </row>
    <row r="922" spans="10:19" x14ac:dyDescent="0.2">
      <c r="J922" s="2"/>
      <c r="K922" s="2"/>
      <c r="S922" s="81"/>
    </row>
    <row r="923" spans="10:19" x14ac:dyDescent="0.2">
      <c r="J923" s="2"/>
      <c r="K923" s="2"/>
      <c r="S923" s="81"/>
    </row>
    <row r="924" spans="10:19" x14ac:dyDescent="0.2">
      <c r="J924" s="2"/>
      <c r="K924" s="2"/>
      <c r="S924" s="81"/>
    </row>
    <row r="925" spans="10:19" x14ac:dyDescent="0.2">
      <c r="J925" s="2"/>
      <c r="K925" s="2"/>
      <c r="S925" s="81"/>
    </row>
    <row r="926" spans="10:19" x14ac:dyDescent="0.2">
      <c r="J926" s="2"/>
      <c r="K926" s="2"/>
      <c r="S926" s="81"/>
    </row>
    <row r="927" spans="10:19" x14ac:dyDescent="0.2">
      <c r="J927" s="2"/>
      <c r="K927" s="2"/>
      <c r="S927" s="81"/>
    </row>
    <row r="928" spans="10:19" x14ac:dyDescent="0.2">
      <c r="J928" s="2"/>
      <c r="K928" s="2"/>
      <c r="S928" s="81"/>
    </row>
    <row r="929" spans="10:19" x14ac:dyDescent="0.2">
      <c r="J929" s="2"/>
      <c r="K929" s="2"/>
      <c r="S929" s="81"/>
    </row>
    <row r="930" spans="10:19" x14ac:dyDescent="0.2">
      <c r="J930" s="2"/>
      <c r="K930" s="2"/>
      <c r="S930" s="81"/>
    </row>
    <row r="931" spans="10:19" x14ac:dyDescent="0.2">
      <c r="J931" s="2"/>
      <c r="K931" s="2"/>
      <c r="S931" s="81"/>
    </row>
    <row r="932" spans="10:19" x14ac:dyDescent="0.2">
      <c r="J932" s="2"/>
      <c r="K932" s="2"/>
      <c r="S932" s="81"/>
    </row>
    <row r="933" spans="10:19" x14ac:dyDescent="0.2">
      <c r="J933" s="2"/>
      <c r="K933" s="2"/>
      <c r="S933" s="81"/>
    </row>
    <row r="934" spans="10:19" x14ac:dyDescent="0.2">
      <c r="J934" s="2"/>
      <c r="K934" s="2"/>
      <c r="S934" s="81"/>
    </row>
    <row r="935" spans="10:19" x14ac:dyDescent="0.2">
      <c r="J935" s="2"/>
      <c r="K935" s="2"/>
      <c r="S935" s="81"/>
    </row>
    <row r="936" spans="10:19" x14ac:dyDescent="0.2">
      <c r="J936" s="2"/>
      <c r="K936" s="2"/>
      <c r="S936" s="81"/>
    </row>
    <row r="937" spans="10:19" x14ac:dyDescent="0.2">
      <c r="J937" s="2"/>
      <c r="K937" s="2"/>
      <c r="S937" s="81"/>
    </row>
    <row r="938" spans="10:19" x14ac:dyDescent="0.2">
      <c r="J938" s="2"/>
      <c r="K938" s="2"/>
      <c r="S938" s="81"/>
    </row>
    <row r="939" spans="10:19" x14ac:dyDescent="0.2">
      <c r="J939" s="2"/>
      <c r="K939" s="2"/>
      <c r="S939" s="81"/>
    </row>
    <row r="940" spans="10:19" x14ac:dyDescent="0.2">
      <c r="J940" s="2"/>
      <c r="K940" s="2"/>
      <c r="S940" s="81"/>
    </row>
    <row r="941" spans="10:19" x14ac:dyDescent="0.2">
      <c r="J941" s="2"/>
      <c r="K941" s="2"/>
      <c r="S941" s="81"/>
    </row>
    <row r="942" spans="10:19" x14ac:dyDescent="0.2">
      <c r="J942" s="2"/>
      <c r="K942" s="2"/>
      <c r="S942" s="81"/>
    </row>
    <row r="943" spans="10:19" x14ac:dyDescent="0.2">
      <c r="J943" s="2"/>
      <c r="K943" s="2"/>
      <c r="S943" s="81"/>
    </row>
    <row r="944" spans="10:19" x14ac:dyDescent="0.2">
      <c r="J944" s="2"/>
      <c r="K944" s="2"/>
      <c r="S944" s="81"/>
    </row>
    <row r="945" spans="10:19" x14ac:dyDescent="0.2">
      <c r="J945" s="2"/>
      <c r="K945" s="2"/>
      <c r="S945" s="81"/>
    </row>
    <row r="946" spans="10:19" x14ac:dyDescent="0.2">
      <c r="J946" s="2"/>
      <c r="K946" s="2"/>
      <c r="S946" s="81"/>
    </row>
    <row r="947" spans="10:19" x14ac:dyDescent="0.2">
      <c r="J947" s="2"/>
      <c r="K947" s="2"/>
      <c r="S947" s="81"/>
    </row>
    <row r="948" spans="10:19" x14ac:dyDescent="0.2">
      <c r="J948" s="2"/>
      <c r="K948" s="2"/>
      <c r="S948" s="81"/>
    </row>
    <row r="949" spans="10:19" x14ac:dyDescent="0.2">
      <c r="J949" s="2"/>
      <c r="K949" s="2"/>
      <c r="S949" s="81"/>
    </row>
    <row r="950" spans="10:19" x14ac:dyDescent="0.2">
      <c r="J950" s="2"/>
      <c r="K950" s="2"/>
      <c r="S950" s="81"/>
    </row>
    <row r="951" spans="10:19" x14ac:dyDescent="0.2">
      <c r="J951" s="2"/>
      <c r="K951" s="2"/>
      <c r="S951" s="81"/>
    </row>
    <row r="952" spans="10:19" x14ac:dyDescent="0.2">
      <c r="J952" s="2"/>
      <c r="K952" s="2"/>
      <c r="S952" s="81"/>
    </row>
    <row r="953" spans="10:19" x14ac:dyDescent="0.2">
      <c r="J953" s="2"/>
      <c r="K953" s="2"/>
      <c r="S953" s="81"/>
    </row>
    <row r="954" spans="10:19" x14ac:dyDescent="0.2">
      <c r="J954" s="2"/>
      <c r="K954" s="2"/>
      <c r="S954" s="81"/>
    </row>
    <row r="955" spans="10:19" x14ac:dyDescent="0.2">
      <c r="J955" s="2"/>
      <c r="K955" s="2"/>
      <c r="S955" s="81"/>
    </row>
    <row r="956" spans="10:19" x14ac:dyDescent="0.2">
      <c r="J956" s="2"/>
      <c r="K956" s="2"/>
      <c r="S956" s="81"/>
    </row>
    <row r="957" spans="10:19" x14ac:dyDescent="0.2">
      <c r="J957" s="2"/>
      <c r="K957" s="2"/>
      <c r="S957" s="81"/>
    </row>
    <row r="958" spans="10:19" x14ac:dyDescent="0.2">
      <c r="J958" s="2"/>
      <c r="K958" s="2"/>
      <c r="S958" s="81"/>
    </row>
    <row r="959" spans="10:19" x14ac:dyDescent="0.2">
      <c r="J959" s="2"/>
      <c r="K959" s="2"/>
      <c r="S959" s="81"/>
    </row>
    <row r="960" spans="10:19" x14ac:dyDescent="0.2">
      <c r="J960" s="2"/>
      <c r="K960" s="2"/>
      <c r="S960" s="81"/>
    </row>
    <row r="961" spans="10:19" x14ac:dyDescent="0.2">
      <c r="J961" s="2"/>
      <c r="K961" s="2"/>
      <c r="S961" s="81"/>
    </row>
    <row r="962" spans="10:19" x14ac:dyDescent="0.2">
      <c r="J962" s="2"/>
      <c r="K962" s="2"/>
      <c r="S962" s="81"/>
    </row>
    <row r="963" spans="10:19" x14ac:dyDescent="0.2">
      <c r="J963" s="2"/>
      <c r="K963" s="2"/>
      <c r="S963" s="81"/>
    </row>
    <row r="964" spans="10:19" x14ac:dyDescent="0.2">
      <c r="J964" s="2"/>
      <c r="K964" s="2"/>
      <c r="S964" s="81"/>
    </row>
    <row r="965" spans="10:19" x14ac:dyDescent="0.2">
      <c r="J965" s="2"/>
      <c r="K965" s="2"/>
      <c r="S965" s="81"/>
    </row>
    <row r="966" spans="10:19" x14ac:dyDescent="0.2">
      <c r="J966" s="2"/>
      <c r="K966" s="2"/>
      <c r="S966" s="81"/>
    </row>
    <row r="967" spans="10:19" x14ac:dyDescent="0.2">
      <c r="J967" s="2"/>
      <c r="K967" s="2"/>
      <c r="S967" s="81"/>
    </row>
    <row r="968" spans="10:19" x14ac:dyDescent="0.2">
      <c r="J968" s="2"/>
      <c r="K968" s="2"/>
      <c r="S968" s="81"/>
    </row>
    <row r="969" spans="10:19" x14ac:dyDescent="0.2">
      <c r="J969" s="2"/>
      <c r="K969" s="2"/>
      <c r="S969" s="81"/>
    </row>
    <row r="970" spans="10:19" x14ac:dyDescent="0.2">
      <c r="J970" s="2"/>
      <c r="K970" s="2"/>
      <c r="S970" s="81"/>
    </row>
    <row r="971" spans="10:19" x14ac:dyDescent="0.2">
      <c r="J971" s="2"/>
      <c r="K971" s="2"/>
      <c r="S971" s="81"/>
    </row>
    <row r="972" spans="10:19" x14ac:dyDescent="0.2">
      <c r="J972" s="2"/>
      <c r="K972" s="2"/>
      <c r="S972" s="81"/>
    </row>
    <row r="973" spans="10:19" x14ac:dyDescent="0.2">
      <c r="J973" s="2"/>
      <c r="K973" s="2"/>
      <c r="S973" s="81"/>
    </row>
    <row r="974" spans="10:19" x14ac:dyDescent="0.2">
      <c r="J974" s="2"/>
      <c r="K974" s="2"/>
      <c r="S974" s="81"/>
    </row>
    <row r="975" spans="10:19" x14ac:dyDescent="0.2">
      <c r="J975" s="2"/>
      <c r="K975" s="2"/>
      <c r="S975" s="81"/>
    </row>
    <row r="976" spans="10:19" x14ac:dyDescent="0.2">
      <c r="J976" s="2"/>
      <c r="K976" s="2"/>
      <c r="S976" s="81"/>
    </row>
    <row r="977" spans="10:19" x14ac:dyDescent="0.2">
      <c r="J977" s="2"/>
      <c r="K977" s="2"/>
      <c r="S977" s="81"/>
    </row>
    <row r="978" spans="10:19" x14ac:dyDescent="0.2">
      <c r="J978" s="2"/>
      <c r="K978" s="2"/>
      <c r="S978" s="81"/>
    </row>
    <row r="979" spans="10:19" x14ac:dyDescent="0.2">
      <c r="J979" s="2"/>
      <c r="K979" s="2"/>
      <c r="S979" s="81"/>
    </row>
    <row r="980" spans="10:19" x14ac:dyDescent="0.2">
      <c r="J980" s="2"/>
      <c r="K980" s="2"/>
      <c r="S980" s="81"/>
    </row>
    <row r="981" spans="10:19" x14ac:dyDescent="0.2">
      <c r="J981" s="2"/>
      <c r="K981" s="2"/>
      <c r="S981" s="81"/>
    </row>
    <row r="982" spans="10:19" x14ac:dyDescent="0.2">
      <c r="J982" s="2"/>
      <c r="K982" s="2"/>
      <c r="S982" s="81"/>
    </row>
    <row r="983" spans="10:19" x14ac:dyDescent="0.2">
      <c r="J983" s="2"/>
      <c r="K983" s="2"/>
      <c r="S983" s="81"/>
    </row>
    <row r="984" spans="10:19" x14ac:dyDescent="0.2">
      <c r="J984" s="2"/>
      <c r="K984" s="2"/>
      <c r="S984" s="81"/>
    </row>
    <row r="985" spans="10:19" x14ac:dyDescent="0.2">
      <c r="J985" s="2"/>
      <c r="K985" s="2"/>
      <c r="S985" s="81"/>
    </row>
    <row r="986" spans="10:19" x14ac:dyDescent="0.2">
      <c r="J986" s="2"/>
      <c r="K986" s="2"/>
      <c r="S986" s="81"/>
    </row>
    <row r="987" spans="10:19" x14ac:dyDescent="0.2">
      <c r="J987" s="2"/>
      <c r="K987" s="2"/>
      <c r="S987" s="81"/>
    </row>
    <row r="988" spans="10:19" x14ac:dyDescent="0.2">
      <c r="J988" s="2"/>
      <c r="K988" s="2"/>
      <c r="S988" s="81"/>
    </row>
    <row r="989" spans="10:19" x14ac:dyDescent="0.2">
      <c r="J989" s="2"/>
      <c r="K989" s="2"/>
      <c r="S989" s="81"/>
    </row>
    <row r="990" spans="10:19" x14ac:dyDescent="0.2">
      <c r="J990" s="2"/>
      <c r="K990" s="2"/>
      <c r="S990" s="81"/>
    </row>
    <row r="991" spans="10:19" x14ac:dyDescent="0.2">
      <c r="J991" s="2"/>
      <c r="K991" s="2"/>
      <c r="S991" s="81"/>
    </row>
    <row r="992" spans="10:19" x14ac:dyDescent="0.2">
      <c r="J992" s="2"/>
      <c r="K992" s="2"/>
      <c r="S992" s="81"/>
    </row>
    <row r="993" spans="10:19" x14ac:dyDescent="0.2">
      <c r="J993" s="2"/>
      <c r="K993" s="2"/>
      <c r="S993" s="81"/>
    </row>
    <row r="994" spans="10:19" x14ac:dyDescent="0.2">
      <c r="J994" s="2"/>
      <c r="K994" s="2"/>
      <c r="S994" s="81"/>
    </row>
    <row r="995" spans="10:19" x14ac:dyDescent="0.2">
      <c r="J995" s="2"/>
      <c r="K995" s="2"/>
      <c r="S995" s="81"/>
    </row>
    <row r="996" spans="10:19" x14ac:dyDescent="0.2">
      <c r="J996" s="2"/>
      <c r="K996" s="2"/>
      <c r="S996" s="81"/>
    </row>
    <row r="997" spans="10:19" x14ac:dyDescent="0.2">
      <c r="J997" s="2"/>
      <c r="K997" s="2"/>
      <c r="S997" s="81"/>
    </row>
    <row r="998" spans="10:19" x14ac:dyDescent="0.2">
      <c r="J998" s="2"/>
      <c r="K998" s="2"/>
      <c r="S998" s="81"/>
    </row>
    <row r="999" spans="10:19" x14ac:dyDescent="0.2">
      <c r="J999" s="2"/>
      <c r="K999" s="2"/>
      <c r="S999" s="81"/>
    </row>
    <row r="1000" spans="10:19" x14ac:dyDescent="0.2">
      <c r="J1000" s="2"/>
      <c r="K1000" s="2"/>
      <c r="S1000" s="81"/>
    </row>
    <row r="1001" spans="10:19" x14ac:dyDescent="0.2">
      <c r="J1001" s="2"/>
      <c r="K1001" s="2"/>
      <c r="S1001" s="81"/>
    </row>
    <row r="1002" spans="10:19" x14ac:dyDescent="0.2">
      <c r="J1002" s="2"/>
      <c r="K1002" s="2"/>
      <c r="S1002" s="81"/>
    </row>
    <row r="1003" spans="10:19" x14ac:dyDescent="0.2">
      <c r="J1003" s="2"/>
      <c r="K1003" s="2"/>
      <c r="S1003" s="81"/>
    </row>
    <row r="1004" spans="10:19" x14ac:dyDescent="0.2">
      <c r="J1004" s="2"/>
      <c r="K1004" s="2"/>
      <c r="S1004" s="81"/>
    </row>
    <row r="1005" spans="10:19" x14ac:dyDescent="0.2">
      <c r="J1005" s="2"/>
      <c r="K1005" s="2"/>
      <c r="S1005" s="81"/>
    </row>
    <row r="1006" spans="10:19" x14ac:dyDescent="0.2">
      <c r="J1006" s="2"/>
      <c r="K1006" s="2"/>
      <c r="S1006" s="81"/>
    </row>
    <row r="1007" spans="10:19" x14ac:dyDescent="0.2">
      <c r="J1007" s="2"/>
      <c r="K1007" s="2"/>
      <c r="S1007" s="81"/>
    </row>
    <row r="1008" spans="10:19" x14ac:dyDescent="0.2">
      <c r="J1008" s="2"/>
      <c r="K1008" s="2"/>
      <c r="S1008" s="81"/>
    </row>
    <row r="1009" spans="10:19" x14ac:dyDescent="0.2">
      <c r="J1009" s="2"/>
      <c r="K1009" s="2"/>
      <c r="S1009" s="81"/>
    </row>
    <row r="1010" spans="10:19" x14ac:dyDescent="0.2">
      <c r="J1010" s="2"/>
      <c r="K1010" s="2"/>
      <c r="S1010" s="81"/>
    </row>
    <row r="1011" spans="10:19" x14ac:dyDescent="0.2">
      <c r="J1011" s="2"/>
      <c r="K1011" s="2"/>
      <c r="S1011" s="81"/>
    </row>
    <row r="1012" spans="10:19" x14ac:dyDescent="0.2">
      <c r="J1012" s="2"/>
      <c r="K1012" s="2"/>
      <c r="S1012" s="81"/>
    </row>
    <row r="1013" spans="10:19" x14ac:dyDescent="0.2">
      <c r="J1013" s="2"/>
      <c r="K1013" s="2"/>
      <c r="S1013" s="81"/>
    </row>
    <row r="1014" spans="10:19" x14ac:dyDescent="0.2">
      <c r="J1014" s="2"/>
      <c r="K1014" s="2"/>
      <c r="S1014" s="81"/>
    </row>
    <row r="1015" spans="10:19" x14ac:dyDescent="0.2">
      <c r="J1015" s="2"/>
      <c r="K1015" s="2"/>
      <c r="S1015" s="81"/>
    </row>
    <row r="1016" spans="10:19" x14ac:dyDescent="0.2">
      <c r="J1016" s="2"/>
      <c r="K1016" s="2"/>
      <c r="S1016" s="81"/>
    </row>
    <row r="1017" spans="10:19" x14ac:dyDescent="0.2">
      <c r="J1017" s="2"/>
      <c r="K1017" s="2"/>
      <c r="S1017" s="81"/>
    </row>
    <row r="1018" spans="10:19" x14ac:dyDescent="0.2">
      <c r="J1018" s="2"/>
      <c r="K1018" s="2"/>
      <c r="S1018" s="81"/>
    </row>
    <row r="1019" spans="10:19" x14ac:dyDescent="0.2">
      <c r="J1019" s="2"/>
      <c r="K1019" s="2"/>
      <c r="S1019" s="81"/>
    </row>
    <row r="1020" spans="10:19" x14ac:dyDescent="0.2">
      <c r="J1020" s="2"/>
      <c r="K1020" s="2"/>
      <c r="S1020" s="81"/>
    </row>
    <row r="1021" spans="10:19" x14ac:dyDescent="0.2">
      <c r="J1021" s="2"/>
      <c r="K1021" s="2"/>
      <c r="S1021" s="81"/>
    </row>
    <row r="1022" spans="10:19" x14ac:dyDescent="0.2">
      <c r="J1022" s="2"/>
      <c r="K1022" s="2"/>
      <c r="S1022" s="81"/>
    </row>
    <row r="1023" spans="10:19" x14ac:dyDescent="0.2">
      <c r="J1023" s="2"/>
      <c r="K1023" s="2"/>
      <c r="S1023" s="81"/>
    </row>
    <row r="1024" spans="10:19" x14ac:dyDescent="0.2">
      <c r="J1024" s="2"/>
      <c r="K1024" s="2"/>
      <c r="S1024" s="81"/>
    </row>
    <row r="1025" spans="10:19" x14ac:dyDescent="0.2">
      <c r="J1025" s="2"/>
      <c r="K1025" s="2"/>
      <c r="S1025" s="81"/>
    </row>
    <row r="1026" spans="10:19" x14ac:dyDescent="0.2">
      <c r="J1026" s="2"/>
      <c r="K1026" s="2"/>
      <c r="S1026" s="81"/>
    </row>
    <row r="1027" spans="10:19" x14ac:dyDescent="0.2">
      <c r="J1027" s="2"/>
      <c r="K1027" s="2"/>
      <c r="S1027" s="81"/>
    </row>
    <row r="1028" spans="10:19" x14ac:dyDescent="0.2">
      <c r="J1028" s="2"/>
      <c r="K1028" s="2"/>
      <c r="S1028" s="81"/>
    </row>
    <row r="1029" spans="10:19" x14ac:dyDescent="0.2">
      <c r="J1029" s="2"/>
      <c r="K1029" s="2"/>
      <c r="S1029" s="81"/>
    </row>
    <row r="1030" spans="10:19" x14ac:dyDescent="0.2">
      <c r="J1030" s="2"/>
      <c r="K1030" s="2"/>
      <c r="S1030" s="81"/>
    </row>
    <row r="1031" spans="10:19" x14ac:dyDescent="0.2">
      <c r="J1031" s="2"/>
      <c r="K1031" s="2"/>
      <c r="S1031" s="81"/>
    </row>
    <row r="1032" spans="10:19" x14ac:dyDescent="0.2">
      <c r="J1032" s="2"/>
      <c r="K1032" s="2"/>
      <c r="S1032" s="81"/>
    </row>
    <row r="1033" spans="10:19" x14ac:dyDescent="0.2">
      <c r="J1033" s="2"/>
      <c r="K1033" s="2"/>
      <c r="S1033" s="81"/>
    </row>
    <row r="1034" spans="10:19" x14ac:dyDescent="0.2">
      <c r="J1034" s="2"/>
      <c r="K1034" s="2"/>
      <c r="S1034" s="81"/>
    </row>
    <row r="1035" spans="10:19" x14ac:dyDescent="0.2">
      <c r="J1035" s="2"/>
      <c r="K1035" s="2"/>
      <c r="S1035" s="81"/>
    </row>
    <row r="1036" spans="10:19" x14ac:dyDescent="0.2">
      <c r="J1036" s="2"/>
      <c r="K1036" s="2"/>
      <c r="S1036" s="81"/>
    </row>
    <row r="1037" spans="10:19" x14ac:dyDescent="0.2">
      <c r="J1037" s="2"/>
      <c r="K1037" s="2"/>
      <c r="S1037" s="81"/>
    </row>
    <row r="1038" spans="10:19" x14ac:dyDescent="0.2">
      <c r="J1038" s="2"/>
      <c r="K1038" s="2"/>
      <c r="S1038" s="81"/>
    </row>
    <row r="1039" spans="10:19" x14ac:dyDescent="0.2">
      <c r="J1039" s="2"/>
      <c r="K1039" s="2"/>
      <c r="S1039" s="81"/>
    </row>
    <row r="1040" spans="10:19" x14ac:dyDescent="0.2">
      <c r="J1040" s="2"/>
      <c r="K1040" s="2"/>
      <c r="S1040" s="81"/>
    </row>
    <row r="1041" spans="10:19" x14ac:dyDescent="0.2">
      <c r="J1041" s="2"/>
      <c r="K1041" s="2"/>
      <c r="S1041" s="81"/>
    </row>
    <row r="1042" spans="10:19" x14ac:dyDescent="0.2">
      <c r="J1042" s="2"/>
      <c r="K1042" s="2"/>
      <c r="S1042" s="81"/>
    </row>
    <row r="1043" spans="10:19" x14ac:dyDescent="0.2">
      <c r="J1043" s="2"/>
      <c r="K1043" s="2"/>
      <c r="S1043" s="81"/>
    </row>
    <row r="1044" spans="10:19" x14ac:dyDescent="0.2">
      <c r="J1044" s="2"/>
      <c r="K1044" s="2"/>
      <c r="S1044" s="81"/>
    </row>
    <row r="1045" spans="10:19" x14ac:dyDescent="0.2">
      <c r="J1045" s="2"/>
      <c r="K1045" s="2"/>
      <c r="S1045" s="81"/>
    </row>
    <row r="1046" spans="10:19" x14ac:dyDescent="0.2">
      <c r="J1046" s="2"/>
      <c r="K1046" s="2"/>
      <c r="S1046" s="81"/>
    </row>
    <row r="1047" spans="10:19" x14ac:dyDescent="0.2">
      <c r="J1047" s="2"/>
      <c r="K1047" s="2"/>
      <c r="S1047" s="81"/>
    </row>
    <row r="1048" spans="10:19" x14ac:dyDescent="0.2">
      <c r="J1048" s="2"/>
      <c r="K1048" s="2"/>
      <c r="S1048" s="81"/>
    </row>
    <row r="1049" spans="10:19" x14ac:dyDescent="0.2">
      <c r="J1049" s="2"/>
      <c r="K1049" s="2"/>
      <c r="S1049" s="81"/>
    </row>
    <row r="1050" spans="10:19" x14ac:dyDescent="0.2">
      <c r="J1050" s="2"/>
      <c r="K1050" s="2"/>
      <c r="S1050" s="81"/>
    </row>
    <row r="1051" spans="10:19" x14ac:dyDescent="0.2">
      <c r="J1051" s="2"/>
      <c r="K1051" s="2"/>
      <c r="S1051" s="81"/>
    </row>
    <row r="1052" spans="10:19" x14ac:dyDescent="0.2">
      <c r="J1052" s="2"/>
      <c r="K1052" s="2"/>
      <c r="S1052" s="81"/>
    </row>
    <row r="1053" spans="10:19" x14ac:dyDescent="0.2">
      <c r="J1053" s="2"/>
      <c r="K1053" s="2"/>
      <c r="S1053" s="81"/>
    </row>
    <row r="1054" spans="10:19" x14ac:dyDescent="0.2">
      <c r="J1054" s="2"/>
      <c r="K1054" s="2"/>
      <c r="S1054" s="81"/>
    </row>
    <row r="1055" spans="10:19" x14ac:dyDescent="0.2">
      <c r="J1055" s="2"/>
      <c r="K1055" s="2"/>
      <c r="S1055" s="81"/>
    </row>
    <row r="1056" spans="10:19" x14ac:dyDescent="0.2">
      <c r="J1056" s="2"/>
      <c r="K1056" s="2"/>
      <c r="S1056" s="81"/>
    </row>
    <row r="1057" spans="10:19" x14ac:dyDescent="0.2">
      <c r="J1057" s="2"/>
      <c r="K1057" s="2"/>
      <c r="S1057" s="81"/>
    </row>
    <row r="1058" spans="10:19" x14ac:dyDescent="0.2">
      <c r="J1058" s="2"/>
      <c r="K1058" s="2"/>
      <c r="S1058" s="81"/>
    </row>
    <row r="1059" spans="10:19" x14ac:dyDescent="0.2">
      <c r="J1059" s="2"/>
      <c r="K1059" s="2"/>
      <c r="S1059" s="81"/>
    </row>
    <row r="1060" spans="10:19" x14ac:dyDescent="0.2">
      <c r="J1060" s="2"/>
      <c r="K1060" s="2"/>
      <c r="S1060" s="81"/>
    </row>
    <row r="1061" spans="10:19" x14ac:dyDescent="0.2">
      <c r="J1061" s="2"/>
      <c r="K1061" s="2"/>
      <c r="S1061" s="81"/>
    </row>
    <row r="1062" spans="10:19" x14ac:dyDescent="0.2">
      <c r="J1062" s="2"/>
      <c r="K1062" s="2"/>
      <c r="S1062" s="81"/>
    </row>
    <row r="1063" spans="10:19" x14ac:dyDescent="0.2">
      <c r="J1063" s="2"/>
      <c r="K1063" s="2"/>
      <c r="S1063" s="81"/>
    </row>
    <row r="1064" spans="10:19" x14ac:dyDescent="0.2">
      <c r="J1064" s="2"/>
      <c r="K1064" s="2"/>
      <c r="S1064" s="81"/>
    </row>
    <row r="1065" spans="10:19" x14ac:dyDescent="0.2">
      <c r="J1065" s="2"/>
      <c r="K1065" s="2"/>
      <c r="S1065" s="81"/>
    </row>
    <row r="1066" spans="10:19" x14ac:dyDescent="0.2">
      <c r="J1066" s="2"/>
      <c r="K1066" s="2"/>
      <c r="S1066" s="81"/>
    </row>
    <row r="1067" spans="10:19" x14ac:dyDescent="0.2">
      <c r="J1067" s="2"/>
      <c r="K1067" s="2"/>
      <c r="S1067" s="81"/>
    </row>
    <row r="1068" spans="10:19" x14ac:dyDescent="0.2">
      <c r="J1068" s="2"/>
      <c r="K1068" s="2"/>
      <c r="S1068" s="81"/>
    </row>
    <row r="1069" spans="10:19" x14ac:dyDescent="0.2">
      <c r="J1069" s="2"/>
      <c r="K1069" s="2"/>
      <c r="S1069" s="81"/>
    </row>
    <row r="1070" spans="10:19" x14ac:dyDescent="0.2">
      <c r="J1070" s="2"/>
      <c r="K1070" s="2"/>
      <c r="S1070" s="81"/>
    </row>
    <row r="1071" spans="10:19" x14ac:dyDescent="0.2">
      <c r="J1071" s="2"/>
      <c r="K1071" s="2"/>
      <c r="S1071" s="81"/>
    </row>
    <row r="1072" spans="10:19" x14ac:dyDescent="0.2">
      <c r="J1072" s="2"/>
      <c r="K1072" s="2"/>
      <c r="S1072" s="81"/>
    </row>
    <row r="1073" spans="10:19" x14ac:dyDescent="0.2">
      <c r="J1073" s="2"/>
      <c r="K1073" s="2"/>
      <c r="S1073" s="81"/>
    </row>
    <row r="1074" spans="10:19" x14ac:dyDescent="0.2">
      <c r="J1074" s="2"/>
      <c r="K1074" s="2"/>
      <c r="S1074" s="81"/>
    </row>
    <row r="1075" spans="10:19" x14ac:dyDescent="0.2">
      <c r="J1075" s="2"/>
      <c r="K1075" s="2"/>
      <c r="S1075" s="81"/>
    </row>
    <row r="1076" spans="10:19" x14ac:dyDescent="0.2">
      <c r="J1076" s="2"/>
      <c r="K1076" s="2"/>
      <c r="S1076" s="81"/>
    </row>
    <row r="1077" spans="10:19" x14ac:dyDescent="0.2">
      <c r="J1077" s="2"/>
      <c r="K1077" s="2"/>
      <c r="S1077" s="81"/>
    </row>
    <row r="1078" spans="10:19" x14ac:dyDescent="0.2">
      <c r="J1078" s="2"/>
      <c r="K1078" s="2"/>
      <c r="S1078" s="81"/>
    </row>
    <row r="1079" spans="10:19" x14ac:dyDescent="0.2">
      <c r="J1079" s="2"/>
      <c r="K1079" s="2"/>
      <c r="S1079" s="81"/>
    </row>
    <row r="1080" spans="10:19" x14ac:dyDescent="0.2">
      <c r="J1080" s="2"/>
      <c r="K1080" s="2"/>
      <c r="S1080" s="81"/>
    </row>
    <row r="1081" spans="10:19" x14ac:dyDescent="0.2">
      <c r="J1081" s="2"/>
      <c r="K1081" s="2"/>
      <c r="S1081" s="81"/>
    </row>
    <row r="1082" spans="10:19" x14ac:dyDescent="0.2">
      <c r="J1082" s="2"/>
      <c r="K1082" s="2"/>
      <c r="S1082" s="81"/>
    </row>
    <row r="1083" spans="10:19" x14ac:dyDescent="0.2">
      <c r="J1083" s="2"/>
      <c r="K1083" s="2"/>
      <c r="S1083" s="81"/>
    </row>
    <row r="1084" spans="10:19" x14ac:dyDescent="0.2">
      <c r="J1084" s="2"/>
      <c r="K1084" s="2"/>
      <c r="S1084" s="81"/>
    </row>
    <row r="1085" spans="10:19" x14ac:dyDescent="0.2">
      <c r="J1085" s="2"/>
      <c r="K1085" s="2"/>
      <c r="S1085" s="81"/>
    </row>
    <row r="1086" spans="10:19" x14ac:dyDescent="0.2">
      <c r="J1086" s="2"/>
      <c r="K1086" s="2"/>
      <c r="S1086" s="81"/>
    </row>
    <row r="1087" spans="10:19" x14ac:dyDescent="0.2">
      <c r="J1087" s="2"/>
      <c r="K1087" s="2"/>
      <c r="S1087" s="81"/>
    </row>
    <row r="1088" spans="10:19" x14ac:dyDescent="0.2">
      <c r="J1088" s="2"/>
      <c r="K1088" s="2"/>
      <c r="S1088" s="81"/>
    </row>
    <row r="1089" spans="10:19" x14ac:dyDescent="0.2">
      <c r="J1089" s="2"/>
      <c r="K1089" s="2"/>
      <c r="S1089" s="81"/>
    </row>
    <row r="1090" spans="10:19" x14ac:dyDescent="0.2">
      <c r="J1090" s="2"/>
      <c r="K1090" s="2"/>
      <c r="S1090" s="81"/>
    </row>
    <row r="1091" spans="10:19" x14ac:dyDescent="0.2">
      <c r="J1091" s="2"/>
      <c r="K1091" s="2"/>
      <c r="S1091" s="81"/>
    </row>
    <row r="1092" spans="10:19" x14ac:dyDescent="0.2">
      <c r="J1092" s="2"/>
      <c r="K1092" s="2"/>
      <c r="S1092" s="81"/>
    </row>
    <row r="1093" spans="10:19" x14ac:dyDescent="0.2">
      <c r="J1093" s="2"/>
      <c r="K1093" s="2"/>
      <c r="S1093" s="81"/>
    </row>
    <row r="1094" spans="10:19" x14ac:dyDescent="0.2">
      <c r="J1094" s="2"/>
      <c r="K1094" s="2"/>
      <c r="S1094" s="81"/>
    </row>
    <row r="1095" spans="10:19" x14ac:dyDescent="0.2">
      <c r="J1095" s="2"/>
      <c r="K1095" s="2"/>
      <c r="S1095" s="81"/>
    </row>
    <row r="1096" spans="10:19" x14ac:dyDescent="0.2">
      <c r="J1096" s="2"/>
      <c r="K1096" s="2"/>
      <c r="S1096" s="81"/>
    </row>
    <row r="1097" spans="10:19" x14ac:dyDescent="0.2">
      <c r="J1097" s="2"/>
      <c r="K1097" s="2"/>
      <c r="S1097" s="81"/>
    </row>
    <row r="1098" spans="10:19" x14ac:dyDescent="0.2">
      <c r="J1098" s="2"/>
      <c r="K1098" s="2"/>
      <c r="S1098" s="81"/>
    </row>
    <row r="1099" spans="10:19" x14ac:dyDescent="0.2">
      <c r="J1099" s="2"/>
      <c r="K1099" s="2"/>
      <c r="S1099" s="81"/>
    </row>
    <row r="1100" spans="10:19" x14ac:dyDescent="0.2">
      <c r="J1100" s="2"/>
      <c r="K1100" s="2"/>
      <c r="S1100" s="81"/>
    </row>
    <row r="1101" spans="10:19" x14ac:dyDescent="0.2">
      <c r="J1101" s="2"/>
      <c r="K1101" s="2"/>
      <c r="S1101" s="81"/>
    </row>
    <row r="1102" spans="10:19" x14ac:dyDescent="0.2">
      <c r="J1102" s="2"/>
      <c r="K1102" s="2"/>
      <c r="S1102" s="81"/>
    </row>
    <row r="1103" spans="10:19" x14ac:dyDescent="0.2">
      <c r="J1103" s="2"/>
      <c r="K1103" s="2"/>
      <c r="S1103" s="81"/>
    </row>
    <row r="1104" spans="10:19" x14ac:dyDescent="0.2">
      <c r="J1104" s="2"/>
      <c r="K1104" s="2"/>
      <c r="S1104" s="81"/>
    </row>
    <row r="1105" spans="10:19" x14ac:dyDescent="0.2">
      <c r="J1105" s="2"/>
      <c r="K1105" s="2"/>
      <c r="S1105" s="81"/>
    </row>
    <row r="1106" spans="10:19" x14ac:dyDescent="0.2">
      <c r="J1106" s="2"/>
      <c r="K1106" s="2"/>
      <c r="S1106" s="81"/>
    </row>
    <row r="1107" spans="10:19" x14ac:dyDescent="0.2">
      <c r="J1107" s="2"/>
      <c r="K1107" s="2"/>
      <c r="S1107" s="81"/>
    </row>
    <row r="1108" spans="10:19" x14ac:dyDescent="0.2">
      <c r="J1108" s="2"/>
      <c r="K1108" s="2"/>
      <c r="S1108" s="81"/>
    </row>
    <row r="1109" spans="10:19" x14ac:dyDescent="0.2">
      <c r="J1109" s="2"/>
      <c r="K1109" s="2"/>
      <c r="S1109" s="81"/>
    </row>
    <row r="1110" spans="10:19" x14ac:dyDescent="0.2">
      <c r="J1110" s="2"/>
      <c r="K1110" s="2"/>
      <c r="S1110" s="81"/>
    </row>
    <row r="1111" spans="10:19" x14ac:dyDescent="0.2">
      <c r="J1111" s="2"/>
      <c r="K1111" s="2"/>
      <c r="S1111" s="81"/>
    </row>
    <row r="1112" spans="10:19" x14ac:dyDescent="0.2">
      <c r="J1112" s="2"/>
      <c r="K1112" s="2"/>
      <c r="S1112" s="81"/>
    </row>
    <row r="1113" spans="10:19" x14ac:dyDescent="0.2">
      <c r="J1113" s="2"/>
      <c r="K1113" s="2"/>
      <c r="S1113" s="81"/>
    </row>
    <row r="1114" spans="10:19" x14ac:dyDescent="0.2">
      <c r="J1114" s="2"/>
      <c r="K1114" s="2"/>
      <c r="S1114" s="81"/>
    </row>
    <row r="1115" spans="10:19" x14ac:dyDescent="0.2">
      <c r="J1115" s="2"/>
      <c r="K1115" s="2"/>
      <c r="S1115" s="81"/>
    </row>
    <row r="1116" spans="10:19" x14ac:dyDescent="0.2">
      <c r="J1116" s="2"/>
      <c r="K1116" s="2"/>
      <c r="S1116" s="81"/>
    </row>
    <row r="1117" spans="10:19" x14ac:dyDescent="0.2">
      <c r="J1117" s="2"/>
      <c r="K1117" s="2"/>
      <c r="S1117" s="81"/>
    </row>
    <row r="1118" spans="10:19" x14ac:dyDescent="0.2">
      <c r="J1118" s="2"/>
      <c r="K1118" s="2"/>
      <c r="S1118" s="81"/>
    </row>
    <row r="1119" spans="10:19" x14ac:dyDescent="0.2">
      <c r="J1119" s="2"/>
      <c r="K1119" s="2"/>
      <c r="S1119" s="81"/>
    </row>
    <row r="1120" spans="10:19" x14ac:dyDescent="0.2">
      <c r="J1120" s="2"/>
      <c r="K1120" s="2"/>
      <c r="S1120" s="81"/>
    </row>
    <row r="1121" spans="10:19" x14ac:dyDescent="0.2">
      <c r="J1121" s="2"/>
      <c r="K1121" s="2"/>
      <c r="S1121" s="81"/>
    </row>
    <row r="1122" spans="10:19" x14ac:dyDescent="0.2">
      <c r="J1122" s="2"/>
      <c r="K1122" s="2"/>
      <c r="S1122" s="81"/>
    </row>
    <row r="1123" spans="10:19" x14ac:dyDescent="0.2">
      <c r="J1123" s="2"/>
      <c r="K1123" s="2"/>
      <c r="S1123" s="81"/>
    </row>
    <row r="1124" spans="10:19" x14ac:dyDescent="0.2">
      <c r="J1124" s="2"/>
      <c r="K1124" s="2"/>
      <c r="S1124" s="81"/>
    </row>
    <row r="1125" spans="10:19" x14ac:dyDescent="0.2">
      <c r="J1125" s="2"/>
      <c r="K1125" s="2"/>
      <c r="S1125" s="81"/>
    </row>
    <row r="1126" spans="10:19" x14ac:dyDescent="0.2">
      <c r="J1126" s="2"/>
      <c r="K1126" s="2"/>
      <c r="S1126" s="81"/>
    </row>
    <row r="1127" spans="10:19" x14ac:dyDescent="0.2">
      <c r="J1127" s="2"/>
      <c r="K1127" s="2"/>
      <c r="S1127" s="81"/>
    </row>
    <row r="1128" spans="10:19" x14ac:dyDescent="0.2">
      <c r="J1128" s="2"/>
      <c r="K1128" s="2"/>
      <c r="S1128" s="81"/>
    </row>
    <row r="1129" spans="10:19" x14ac:dyDescent="0.2">
      <c r="J1129" s="2"/>
      <c r="K1129" s="2"/>
      <c r="S1129" s="81"/>
    </row>
    <row r="1130" spans="10:19" x14ac:dyDescent="0.2">
      <c r="J1130" s="2"/>
      <c r="K1130" s="2"/>
      <c r="S1130" s="81"/>
    </row>
    <row r="1131" spans="10:19" x14ac:dyDescent="0.2">
      <c r="J1131" s="2"/>
      <c r="K1131" s="2"/>
      <c r="S1131" s="81"/>
    </row>
    <row r="1132" spans="10:19" x14ac:dyDescent="0.2">
      <c r="J1132" s="2"/>
      <c r="K1132" s="2"/>
      <c r="S1132" s="81"/>
    </row>
    <row r="1133" spans="10:19" x14ac:dyDescent="0.2">
      <c r="J1133" s="2"/>
      <c r="K1133" s="2"/>
      <c r="S1133" s="81"/>
    </row>
    <row r="1134" spans="10:19" x14ac:dyDescent="0.2">
      <c r="J1134" s="2"/>
      <c r="K1134" s="2"/>
      <c r="S1134" s="81"/>
    </row>
    <row r="1135" spans="10:19" x14ac:dyDescent="0.2">
      <c r="J1135" s="2"/>
      <c r="K1135" s="2"/>
      <c r="S1135" s="81"/>
    </row>
    <row r="1136" spans="10:19" x14ac:dyDescent="0.2">
      <c r="J1136" s="2"/>
      <c r="K1136" s="2"/>
      <c r="S1136" s="81"/>
    </row>
    <row r="1137" spans="10:19" x14ac:dyDescent="0.2">
      <c r="J1137" s="2"/>
      <c r="K1137" s="2"/>
      <c r="S1137" s="81"/>
    </row>
    <row r="1138" spans="10:19" x14ac:dyDescent="0.2">
      <c r="J1138" s="2"/>
      <c r="K1138" s="2"/>
      <c r="S1138" s="81"/>
    </row>
    <row r="1139" spans="10:19" x14ac:dyDescent="0.2">
      <c r="J1139" s="2"/>
      <c r="K1139" s="2"/>
      <c r="S1139" s="81"/>
    </row>
    <row r="1140" spans="10:19" x14ac:dyDescent="0.2">
      <c r="J1140" s="2"/>
      <c r="K1140" s="2"/>
      <c r="S1140" s="81"/>
    </row>
    <row r="1141" spans="10:19" x14ac:dyDescent="0.2">
      <c r="J1141" s="2"/>
      <c r="K1141" s="2"/>
      <c r="S1141" s="81"/>
    </row>
    <row r="1142" spans="10:19" x14ac:dyDescent="0.2">
      <c r="J1142" s="2"/>
      <c r="K1142" s="2"/>
      <c r="S1142" s="81"/>
    </row>
    <row r="1143" spans="10:19" x14ac:dyDescent="0.2">
      <c r="J1143" s="2"/>
      <c r="K1143" s="2"/>
      <c r="S1143" s="81"/>
    </row>
    <row r="1144" spans="10:19" x14ac:dyDescent="0.2">
      <c r="J1144" s="2"/>
      <c r="K1144" s="2"/>
      <c r="S1144" s="81"/>
    </row>
    <row r="1145" spans="10:19" x14ac:dyDescent="0.2">
      <c r="J1145" s="2"/>
      <c r="K1145" s="2"/>
      <c r="S1145" s="81"/>
    </row>
    <row r="1146" spans="10:19" x14ac:dyDescent="0.2">
      <c r="J1146" s="2"/>
      <c r="K1146" s="2"/>
      <c r="S1146" s="81"/>
    </row>
    <row r="1147" spans="10:19" x14ac:dyDescent="0.2">
      <c r="J1147" s="2"/>
      <c r="K1147" s="2"/>
      <c r="S1147" s="81"/>
    </row>
    <row r="1148" spans="10:19" x14ac:dyDescent="0.2">
      <c r="J1148" s="2"/>
      <c r="K1148" s="2"/>
      <c r="S1148" s="81"/>
    </row>
    <row r="1149" spans="10:19" x14ac:dyDescent="0.2">
      <c r="J1149" s="2"/>
      <c r="K1149" s="2"/>
      <c r="S1149" s="81"/>
    </row>
    <row r="1150" spans="10:19" x14ac:dyDescent="0.2">
      <c r="J1150" s="2"/>
      <c r="K1150" s="2"/>
      <c r="S1150" s="81"/>
    </row>
    <row r="1151" spans="10:19" x14ac:dyDescent="0.2">
      <c r="J1151" s="2"/>
      <c r="K1151" s="2"/>
      <c r="S1151" s="81"/>
    </row>
    <row r="1152" spans="10:19" x14ac:dyDescent="0.2">
      <c r="J1152" s="2"/>
      <c r="K1152" s="2"/>
      <c r="S1152" s="81"/>
    </row>
    <row r="1153" spans="10:19" x14ac:dyDescent="0.2">
      <c r="J1153" s="2"/>
      <c r="K1153" s="2"/>
      <c r="S1153" s="81"/>
    </row>
    <row r="1154" spans="10:19" x14ac:dyDescent="0.2">
      <c r="J1154" s="2"/>
      <c r="K1154" s="2"/>
      <c r="S1154" s="81"/>
    </row>
    <row r="1155" spans="10:19" x14ac:dyDescent="0.2">
      <c r="J1155" s="2"/>
      <c r="K1155" s="2"/>
      <c r="S1155" s="81"/>
    </row>
    <row r="1156" spans="10:19" x14ac:dyDescent="0.2">
      <c r="J1156" s="2"/>
      <c r="K1156" s="2"/>
      <c r="S1156" s="81"/>
    </row>
    <row r="1157" spans="10:19" x14ac:dyDescent="0.2">
      <c r="J1157" s="2"/>
      <c r="K1157" s="2"/>
      <c r="S1157" s="81"/>
    </row>
    <row r="1158" spans="10:19" x14ac:dyDescent="0.2">
      <c r="J1158" s="2"/>
      <c r="K1158" s="2"/>
      <c r="S1158" s="81"/>
    </row>
    <row r="1159" spans="10:19" x14ac:dyDescent="0.2">
      <c r="J1159" s="2"/>
      <c r="K1159" s="2"/>
      <c r="S1159" s="81"/>
    </row>
    <row r="1160" spans="10:19" x14ac:dyDescent="0.2">
      <c r="J1160" s="2"/>
      <c r="K1160" s="2"/>
      <c r="S1160" s="81"/>
    </row>
    <row r="1161" spans="10:19" x14ac:dyDescent="0.2">
      <c r="J1161" s="2"/>
      <c r="K1161" s="2"/>
      <c r="S1161" s="81"/>
    </row>
    <row r="1162" spans="10:19" x14ac:dyDescent="0.2">
      <c r="J1162" s="2"/>
      <c r="K1162" s="2"/>
      <c r="S1162" s="81"/>
    </row>
    <row r="1163" spans="10:19" x14ac:dyDescent="0.2">
      <c r="J1163" s="2"/>
      <c r="K1163" s="2"/>
      <c r="S1163" s="81"/>
    </row>
    <row r="1164" spans="10:19" x14ac:dyDescent="0.2">
      <c r="J1164" s="2"/>
      <c r="K1164" s="2"/>
      <c r="S1164" s="81"/>
    </row>
    <row r="1165" spans="10:19" x14ac:dyDescent="0.2">
      <c r="J1165" s="2"/>
      <c r="K1165" s="2"/>
      <c r="S1165" s="81"/>
    </row>
    <row r="1166" spans="10:19" x14ac:dyDescent="0.2">
      <c r="J1166" s="2"/>
      <c r="K1166" s="2"/>
      <c r="S1166" s="81"/>
    </row>
    <row r="1167" spans="10:19" x14ac:dyDescent="0.2">
      <c r="J1167" s="2"/>
      <c r="K1167" s="2"/>
      <c r="S1167" s="81"/>
    </row>
    <row r="1168" spans="10:19" x14ac:dyDescent="0.2">
      <c r="J1168" s="2"/>
      <c r="K1168" s="2"/>
      <c r="S1168" s="81"/>
    </row>
    <row r="1169" spans="10:19" x14ac:dyDescent="0.2">
      <c r="J1169" s="2"/>
      <c r="K1169" s="2"/>
      <c r="S1169" s="81"/>
    </row>
    <row r="1170" spans="10:19" x14ac:dyDescent="0.2">
      <c r="J1170" s="2"/>
      <c r="K1170" s="2"/>
      <c r="S1170" s="81"/>
    </row>
    <row r="1171" spans="10:19" x14ac:dyDescent="0.2">
      <c r="J1171" s="2"/>
      <c r="K1171" s="2"/>
      <c r="S1171" s="81"/>
    </row>
    <row r="1172" spans="10:19" x14ac:dyDescent="0.2">
      <c r="J1172" s="2"/>
      <c r="K1172" s="2"/>
      <c r="S1172" s="81"/>
    </row>
    <row r="1173" spans="10:19" x14ac:dyDescent="0.2">
      <c r="J1173" s="2"/>
      <c r="K1173" s="2"/>
      <c r="S1173" s="81"/>
    </row>
    <row r="1174" spans="10:19" x14ac:dyDescent="0.2">
      <c r="J1174" s="2"/>
      <c r="K1174" s="2"/>
      <c r="S1174" s="81"/>
    </row>
    <row r="1175" spans="10:19" x14ac:dyDescent="0.2">
      <c r="J1175" s="2"/>
      <c r="K1175" s="2"/>
      <c r="S1175" s="81"/>
    </row>
    <row r="1176" spans="10:19" x14ac:dyDescent="0.2">
      <c r="J1176" s="2"/>
      <c r="K1176" s="2"/>
      <c r="S1176" s="81"/>
    </row>
    <row r="1177" spans="10:19" x14ac:dyDescent="0.2">
      <c r="J1177" s="2"/>
      <c r="K1177" s="2"/>
      <c r="S1177" s="81"/>
    </row>
    <row r="1178" spans="10:19" x14ac:dyDescent="0.2">
      <c r="J1178" s="2"/>
      <c r="K1178" s="2"/>
      <c r="S1178" s="81"/>
    </row>
    <row r="1179" spans="10:19" x14ac:dyDescent="0.2">
      <c r="J1179" s="2"/>
      <c r="K1179" s="2"/>
      <c r="S1179" s="81"/>
    </row>
    <row r="1180" spans="10:19" x14ac:dyDescent="0.2">
      <c r="J1180" s="2"/>
      <c r="K1180" s="2"/>
      <c r="S1180" s="81"/>
    </row>
    <row r="1181" spans="10:19" x14ac:dyDescent="0.2">
      <c r="J1181" s="2"/>
      <c r="K1181" s="2"/>
      <c r="S1181" s="81"/>
    </row>
    <row r="1182" spans="10:19" x14ac:dyDescent="0.2">
      <c r="J1182" s="2"/>
      <c r="K1182" s="2"/>
      <c r="S1182" s="81"/>
    </row>
    <row r="1183" spans="10:19" x14ac:dyDescent="0.2">
      <c r="J1183" s="2"/>
      <c r="K1183" s="2"/>
      <c r="S1183" s="81"/>
    </row>
    <row r="1184" spans="10:19" x14ac:dyDescent="0.2">
      <c r="J1184" s="2"/>
      <c r="K1184" s="2"/>
      <c r="S1184" s="81"/>
    </row>
    <row r="1185" spans="10:19" x14ac:dyDescent="0.2">
      <c r="J1185" s="2"/>
      <c r="K1185" s="2"/>
      <c r="S1185" s="81"/>
    </row>
    <row r="1186" spans="10:19" x14ac:dyDescent="0.2">
      <c r="J1186" s="2"/>
      <c r="K1186" s="2"/>
      <c r="S1186" s="81"/>
    </row>
    <row r="1187" spans="10:19" x14ac:dyDescent="0.2">
      <c r="J1187" s="2"/>
      <c r="K1187" s="2"/>
      <c r="S1187" s="81"/>
    </row>
    <row r="1188" spans="10:19" x14ac:dyDescent="0.2">
      <c r="J1188" s="2"/>
      <c r="K1188" s="2"/>
      <c r="S1188" s="81"/>
    </row>
    <row r="1189" spans="10:19" x14ac:dyDescent="0.2">
      <c r="J1189" s="2"/>
      <c r="K1189" s="2"/>
      <c r="S1189" s="81"/>
    </row>
    <row r="1190" spans="10:19" x14ac:dyDescent="0.2">
      <c r="J1190" s="2"/>
      <c r="K1190" s="2"/>
      <c r="S1190" s="81"/>
    </row>
    <row r="1191" spans="10:19" x14ac:dyDescent="0.2">
      <c r="J1191" s="2"/>
      <c r="K1191" s="2"/>
      <c r="S1191" s="81"/>
    </row>
    <row r="1192" spans="10:19" x14ac:dyDescent="0.2">
      <c r="J1192" s="2"/>
      <c r="K1192" s="2"/>
      <c r="S1192" s="81"/>
    </row>
    <row r="1193" spans="10:19" x14ac:dyDescent="0.2">
      <c r="J1193" s="2"/>
      <c r="K1193" s="2"/>
      <c r="S1193" s="81"/>
    </row>
    <row r="1194" spans="10:19" x14ac:dyDescent="0.2">
      <c r="J1194" s="2"/>
      <c r="K1194" s="2"/>
      <c r="S1194" s="81"/>
    </row>
    <row r="1195" spans="10:19" x14ac:dyDescent="0.2">
      <c r="J1195" s="2"/>
      <c r="K1195" s="2"/>
      <c r="S1195" s="81"/>
    </row>
    <row r="1196" spans="10:19" x14ac:dyDescent="0.2">
      <c r="J1196" s="2"/>
      <c r="K1196" s="2"/>
      <c r="S1196" s="81"/>
    </row>
    <row r="1197" spans="10:19" x14ac:dyDescent="0.2">
      <c r="J1197" s="2"/>
      <c r="K1197" s="2"/>
      <c r="S1197" s="81"/>
    </row>
    <row r="1198" spans="10:19" x14ac:dyDescent="0.2">
      <c r="J1198" s="2"/>
      <c r="K1198" s="2"/>
      <c r="S1198" s="81"/>
    </row>
    <row r="1199" spans="10:19" x14ac:dyDescent="0.2">
      <c r="J1199" s="2"/>
      <c r="K1199" s="2"/>
      <c r="S1199" s="81"/>
    </row>
    <row r="1200" spans="10:19" x14ac:dyDescent="0.2">
      <c r="J1200" s="2"/>
      <c r="K1200" s="2"/>
      <c r="S1200" s="81"/>
    </row>
    <row r="1201" spans="10:19" x14ac:dyDescent="0.2">
      <c r="J1201" s="2"/>
      <c r="K1201" s="2"/>
      <c r="S1201" s="81"/>
    </row>
    <row r="1202" spans="10:19" x14ac:dyDescent="0.2">
      <c r="J1202" s="2"/>
      <c r="K1202" s="2"/>
      <c r="S1202" s="81"/>
    </row>
    <row r="1203" spans="10:19" x14ac:dyDescent="0.2">
      <c r="J1203" s="2"/>
      <c r="K1203" s="2"/>
      <c r="S1203" s="81"/>
    </row>
    <row r="1204" spans="10:19" x14ac:dyDescent="0.2">
      <c r="J1204" s="2"/>
      <c r="K1204" s="2"/>
      <c r="S1204" s="81"/>
    </row>
    <row r="1205" spans="10:19" x14ac:dyDescent="0.2">
      <c r="J1205" s="2"/>
      <c r="K1205" s="2"/>
      <c r="S1205" s="81"/>
    </row>
    <row r="1206" spans="10:19" x14ac:dyDescent="0.2">
      <c r="J1206" s="2"/>
      <c r="K1206" s="2"/>
      <c r="S1206" s="81"/>
    </row>
    <row r="1207" spans="10:19" x14ac:dyDescent="0.2">
      <c r="J1207" s="2"/>
      <c r="K1207" s="2"/>
      <c r="S1207" s="81"/>
    </row>
    <row r="1208" spans="10:19" x14ac:dyDescent="0.2">
      <c r="J1208" s="2"/>
      <c r="K1208" s="2"/>
      <c r="S1208" s="81"/>
    </row>
    <row r="1209" spans="10:19" x14ac:dyDescent="0.2">
      <c r="J1209" s="2"/>
      <c r="K1209" s="2"/>
      <c r="S1209" s="81"/>
    </row>
    <row r="1210" spans="10:19" x14ac:dyDescent="0.2">
      <c r="J1210" s="2"/>
      <c r="K1210" s="2"/>
      <c r="S1210" s="81"/>
    </row>
    <row r="1211" spans="10:19" x14ac:dyDescent="0.2">
      <c r="J1211" s="2"/>
      <c r="K1211" s="2"/>
      <c r="S1211" s="81"/>
    </row>
    <row r="1212" spans="10:19" x14ac:dyDescent="0.2">
      <c r="J1212" s="2"/>
      <c r="K1212" s="2"/>
      <c r="S1212" s="81"/>
    </row>
    <row r="1213" spans="10:19" x14ac:dyDescent="0.2">
      <c r="J1213" s="2"/>
      <c r="K1213" s="2"/>
      <c r="S1213" s="81"/>
    </row>
    <row r="1214" spans="10:19" x14ac:dyDescent="0.2">
      <c r="J1214" s="2"/>
      <c r="K1214" s="2"/>
      <c r="S1214" s="81"/>
    </row>
    <row r="1215" spans="10:19" x14ac:dyDescent="0.2">
      <c r="J1215" s="2"/>
      <c r="K1215" s="2"/>
      <c r="S1215" s="81"/>
    </row>
    <row r="1216" spans="10:19" x14ac:dyDescent="0.2">
      <c r="J1216" s="2"/>
      <c r="K1216" s="2"/>
      <c r="S1216" s="81"/>
    </row>
    <row r="1217" spans="10:19" x14ac:dyDescent="0.2">
      <c r="J1217" s="2"/>
      <c r="K1217" s="2"/>
      <c r="S1217" s="81"/>
    </row>
    <row r="1218" spans="10:19" x14ac:dyDescent="0.2">
      <c r="J1218" s="2"/>
      <c r="K1218" s="2"/>
      <c r="S1218" s="81"/>
    </row>
    <row r="1219" spans="10:19" x14ac:dyDescent="0.2">
      <c r="J1219" s="2"/>
      <c r="K1219" s="2"/>
      <c r="S1219" s="81"/>
    </row>
    <row r="1220" spans="10:19" x14ac:dyDescent="0.2">
      <c r="J1220" s="2"/>
      <c r="K1220" s="2"/>
      <c r="S1220" s="81"/>
    </row>
    <row r="1221" spans="10:19" x14ac:dyDescent="0.2">
      <c r="J1221" s="2"/>
      <c r="K1221" s="2"/>
      <c r="S1221" s="81"/>
    </row>
    <row r="1222" spans="10:19" x14ac:dyDescent="0.2">
      <c r="J1222" s="2"/>
      <c r="K1222" s="2"/>
      <c r="S1222" s="81"/>
    </row>
    <row r="1223" spans="10:19" x14ac:dyDescent="0.2">
      <c r="J1223" s="2"/>
      <c r="K1223" s="2"/>
      <c r="S1223" s="81"/>
    </row>
    <row r="1224" spans="10:19" x14ac:dyDescent="0.2">
      <c r="J1224" s="2"/>
      <c r="K1224" s="2"/>
      <c r="S1224" s="81"/>
    </row>
    <row r="1225" spans="10:19" x14ac:dyDescent="0.2">
      <c r="J1225" s="2"/>
      <c r="K1225" s="2"/>
      <c r="S1225" s="81"/>
    </row>
    <row r="1226" spans="10:19" x14ac:dyDescent="0.2">
      <c r="J1226" s="2"/>
      <c r="K1226" s="2"/>
      <c r="S1226" s="81"/>
    </row>
    <row r="1227" spans="10:19" x14ac:dyDescent="0.2">
      <c r="J1227" s="2"/>
      <c r="K1227" s="2"/>
      <c r="S1227" s="81"/>
    </row>
    <row r="1228" spans="10:19" x14ac:dyDescent="0.2">
      <c r="J1228" s="2"/>
      <c r="K1228" s="2"/>
      <c r="S1228" s="81"/>
    </row>
    <row r="1229" spans="10:19" x14ac:dyDescent="0.2">
      <c r="J1229" s="2"/>
      <c r="K1229" s="2"/>
      <c r="S1229" s="81"/>
    </row>
    <row r="1230" spans="10:19" x14ac:dyDescent="0.2">
      <c r="J1230" s="2"/>
      <c r="K1230" s="2"/>
      <c r="S1230" s="81"/>
    </row>
    <row r="1231" spans="10:19" x14ac:dyDescent="0.2">
      <c r="J1231" s="2"/>
      <c r="K1231" s="2"/>
      <c r="S1231" s="81"/>
    </row>
    <row r="1232" spans="10:19" x14ac:dyDescent="0.2">
      <c r="J1232" s="2"/>
      <c r="K1232" s="2"/>
      <c r="S1232" s="81"/>
    </row>
    <row r="1233" spans="10:19" x14ac:dyDescent="0.2">
      <c r="J1233" s="2"/>
      <c r="K1233" s="2"/>
      <c r="S1233" s="81"/>
    </row>
    <row r="1234" spans="10:19" x14ac:dyDescent="0.2">
      <c r="J1234" s="2"/>
      <c r="K1234" s="2"/>
      <c r="S1234" s="81"/>
    </row>
    <row r="1235" spans="10:19" x14ac:dyDescent="0.2">
      <c r="J1235" s="2"/>
      <c r="K1235" s="2"/>
      <c r="S1235" s="81"/>
    </row>
    <row r="1236" spans="10:19" x14ac:dyDescent="0.2">
      <c r="J1236" s="2"/>
      <c r="K1236" s="2"/>
      <c r="S1236" s="81"/>
    </row>
    <row r="1237" spans="10:19" x14ac:dyDescent="0.2">
      <c r="J1237" s="2"/>
      <c r="K1237" s="2"/>
      <c r="S1237" s="81"/>
    </row>
    <row r="1238" spans="10:19" x14ac:dyDescent="0.2">
      <c r="J1238" s="2"/>
      <c r="K1238" s="2"/>
      <c r="S1238" s="81"/>
    </row>
    <row r="1239" spans="10:19" x14ac:dyDescent="0.2">
      <c r="J1239" s="2"/>
      <c r="K1239" s="2"/>
      <c r="S1239" s="81"/>
    </row>
    <row r="1240" spans="10:19" x14ac:dyDescent="0.2">
      <c r="J1240" s="2"/>
      <c r="K1240" s="2"/>
      <c r="S1240" s="81"/>
    </row>
    <row r="1241" spans="10:19" x14ac:dyDescent="0.2">
      <c r="J1241" s="2"/>
      <c r="K1241" s="2"/>
      <c r="S1241" s="81"/>
    </row>
    <row r="1242" spans="10:19" x14ac:dyDescent="0.2">
      <c r="J1242" s="2"/>
      <c r="K1242" s="2"/>
      <c r="S1242" s="81"/>
    </row>
    <row r="1243" spans="10:19" x14ac:dyDescent="0.2">
      <c r="J1243" s="2"/>
      <c r="K1243" s="2"/>
      <c r="S1243" s="81"/>
    </row>
    <row r="1244" spans="10:19" x14ac:dyDescent="0.2">
      <c r="J1244" s="2"/>
      <c r="K1244" s="2"/>
      <c r="S1244" s="81"/>
    </row>
    <row r="1245" spans="10:19" x14ac:dyDescent="0.2">
      <c r="J1245" s="2"/>
      <c r="K1245" s="2"/>
      <c r="S1245" s="81"/>
    </row>
    <row r="1246" spans="10:19" x14ac:dyDescent="0.2">
      <c r="J1246" s="2"/>
      <c r="K1246" s="2"/>
      <c r="S1246" s="81"/>
    </row>
    <row r="1247" spans="10:19" x14ac:dyDescent="0.2">
      <c r="J1247" s="2"/>
      <c r="K1247" s="2"/>
      <c r="S1247" s="81"/>
    </row>
    <row r="1248" spans="10:19" x14ac:dyDescent="0.2">
      <c r="J1248" s="2"/>
      <c r="K1248" s="2"/>
      <c r="S1248" s="81"/>
    </row>
    <row r="1249" spans="10:19" x14ac:dyDescent="0.2">
      <c r="J1249" s="2"/>
      <c r="K1249" s="2"/>
      <c r="S1249" s="81"/>
    </row>
    <row r="1250" spans="10:19" x14ac:dyDescent="0.2">
      <c r="J1250" s="2"/>
      <c r="K1250" s="2"/>
      <c r="S1250" s="81"/>
    </row>
    <row r="1251" spans="10:19" x14ac:dyDescent="0.2">
      <c r="J1251" s="2"/>
      <c r="K1251" s="2"/>
      <c r="S1251" s="81"/>
    </row>
    <row r="1252" spans="10:19" x14ac:dyDescent="0.2">
      <c r="J1252" s="2"/>
      <c r="K1252" s="2"/>
      <c r="S1252" s="81"/>
    </row>
    <row r="1253" spans="10:19" x14ac:dyDescent="0.2">
      <c r="J1253" s="2"/>
      <c r="K1253" s="2"/>
      <c r="S1253" s="81"/>
    </row>
    <row r="1254" spans="10:19" x14ac:dyDescent="0.2">
      <c r="J1254" s="2"/>
      <c r="K1254" s="2"/>
      <c r="S1254" s="81"/>
    </row>
    <row r="1255" spans="10:19" x14ac:dyDescent="0.2">
      <c r="J1255" s="2"/>
      <c r="K1255" s="2"/>
      <c r="S1255" s="81"/>
    </row>
    <row r="1256" spans="10:19" x14ac:dyDescent="0.2">
      <c r="J1256" s="2"/>
      <c r="K1256" s="2"/>
      <c r="S1256" s="81"/>
    </row>
    <row r="1257" spans="10:19" x14ac:dyDescent="0.2">
      <c r="J1257" s="2"/>
      <c r="K1257" s="2"/>
      <c r="S1257" s="81"/>
    </row>
    <row r="1258" spans="10:19" x14ac:dyDescent="0.2">
      <c r="J1258" s="2"/>
      <c r="K1258" s="2"/>
      <c r="S1258" s="81"/>
    </row>
    <row r="1259" spans="10:19" x14ac:dyDescent="0.2">
      <c r="J1259" s="2"/>
      <c r="K1259" s="2"/>
      <c r="S1259" s="81"/>
    </row>
    <row r="1260" spans="10:19" x14ac:dyDescent="0.2">
      <c r="J1260" s="2"/>
      <c r="K1260" s="2"/>
      <c r="S1260" s="81"/>
    </row>
    <row r="1261" spans="10:19" x14ac:dyDescent="0.2">
      <c r="J1261" s="2"/>
      <c r="K1261" s="2"/>
      <c r="S1261" s="81"/>
    </row>
    <row r="1262" spans="10:19" x14ac:dyDescent="0.2">
      <c r="J1262" s="2"/>
      <c r="K1262" s="2"/>
      <c r="S1262" s="81"/>
    </row>
    <row r="1263" spans="10:19" x14ac:dyDescent="0.2">
      <c r="J1263" s="2"/>
      <c r="K1263" s="2"/>
      <c r="S1263" s="81"/>
    </row>
    <row r="1264" spans="10:19" x14ac:dyDescent="0.2">
      <c r="J1264" s="2"/>
      <c r="K1264" s="2"/>
      <c r="S1264" s="81"/>
    </row>
    <row r="1265" spans="10:19" x14ac:dyDescent="0.2">
      <c r="J1265" s="2"/>
      <c r="K1265" s="2"/>
      <c r="S1265" s="81"/>
    </row>
    <row r="1266" spans="10:19" x14ac:dyDescent="0.2">
      <c r="J1266" s="2"/>
      <c r="K1266" s="2"/>
      <c r="S1266" s="81"/>
    </row>
    <row r="1267" spans="10:19" x14ac:dyDescent="0.2">
      <c r="J1267" s="2"/>
      <c r="K1267" s="2"/>
      <c r="S1267" s="81"/>
    </row>
    <row r="1268" spans="10:19" x14ac:dyDescent="0.2">
      <c r="J1268" s="2"/>
      <c r="K1268" s="2"/>
      <c r="S1268" s="81"/>
    </row>
    <row r="1269" spans="10:19" x14ac:dyDescent="0.2">
      <c r="J1269" s="2"/>
      <c r="K1269" s="2"/>
      <c r="S1269" s="81"/>
    </row>
    <row r="1270" spans="10:19" x14ac:dyDescent="0.2">
      <c r="J1270" s="2"/>
      <c r="K1270" s="2"/>
      <c r="S1270" s="81"/>
    </row>
    <row r="1271" spans="10:19" x14ac:dyDescent="0.2">
      <c r="J1271" s="2"/>
      <c r="K1271" s="2"/>
      <c r="S1271" s="81"/>
    </row>
    <row r="1272" spans="10:19" x14ac:dyDescent="0.2">
      <c r="J1272" s="2"/>
      <c r="K1272" s="2"/>
      <c r="S1272" s="81"/>
    </row>
    <row r="1273" spans="10:19" x14ac:dyDescent="0.2">
      <c r="J1273" s="2"/>
      <c r="K1273" s="2"/>
      <c r="S1273" s="81"/>
    </row>
    <row r="1274" spans="10:19" x14ac:dyDescent="0.2">
      <c r="J1274" s="2"/>
      <c r="K1274" s="2"/>
      <c r="S1274" s="81"/>
    </row>
    <row r="1275" spans="10:19" x14ac:dyDescent="0.2">
      <c r="J1275" s="2"/>
      <c r="K1275" s="2"/>
      <c r="S1275" s="81"/>
    </row>
    <row r="1276" spans="10:19" x14ac:dyDescent="0.2">
      <c r="J1276" s="2"/>
      <c r="K1276" s="2"/>
      <c r="S1276" s="81"/>
    </row>
    <row r="1277" spans="10:19" x14ac:dyDescent="0.2">
      <c r="J1277" s="2"/>
      <c r="K1277" s="2"/>
      <c r="S1277" s="81"/>
    </row>
    <row r="1278" spans="10:19" x14ac:dyDescent="0.2">
      <c r="J1278" s="2"/>
      <c r="K1278" s="2"/>
      <c r="S1278" s="81"/>
    </row>
    <row r="1279" spans="10:19" x14ac:dyDescent="0.2">
      <c r="J1279" s="2"/>
      <c r="K1279" s="2"/>
      <c r="S1279" s="81"/>
    </row>
    <row r="1280" spans="10:19" x14ac:dyDescent="0.2">
      <c r="J1280" s="2"/>
      <c r="K1280" s="2"/>
      <c r="S1280" s="81"/>
    </row>
    <row r="1281" spans="10:19" x14ac:dyDescent="0.2">
      <c r="J1281" s="2"/>
      <c r="K1281" s="2"/>
      <c r="S1281" s="81"/>
    </row>
    <row r="1282" spans="10:19" x14ac:dyDescent="0.2">
      <c r="J1282" s="2"/>
      <c r="K1282" s="2"/>
      <c r="S1282" s="81"/>
    </row>
    <row r="1283" spans="10:19" x14ac:dyDescent="0.2">
      <c r="J1283" s="2"/>
      <c r="K1283" s="2"/>
      <c r="S1283" s="81"/>
    </row>
    <row r="1284" spans="10:19" x14ac:dyDescent="0.2">
      <c r="J1284" s="2"/>
      <c r="K1284" s="2"/>
      <c r="S1284" s="81"/>
    </row>
    <row r="1285" spans="10:19" x14ac:dyDescent="0.2">
      <c r="J1285" s="2"/>
      <c r="K1285" s="2"/>
      <c r="S1285" s="81"/>
    </row>
    <row r="1286" spans="10:19" x14ac:dyDescent="0.2">
      <c r="J1286" s="2"/>
      <c r="K1286" s="2"/>
      <c r="S1286" s="81"/>
    </row>
    <row r="1287" spans="10:19" x14ac:dyDescent="0.2">
      <c r="J1287" s="2"/>
      <c r="K1287" s="2"/>
      <c r="S1287" s="81"/>
    </row>
    <row r="1288" spans="10:19" x14ac:dyDescent="0.2">
      <c r="J1288" s="2"/>
      <c r="K1288" s="2"/>
      <c r="S1288" s="81"/>
    </row>
    <row r="1289" spans="10:19" x14ac:dyDescent="0.2">
      <c r="J1289" s="2"/>
      <c r="K1289" s="2"/>
      <c r="S1289" s="81"/>
    </row>
    <row r="1290" spans="10:19" x14ac:dyDescent="0.2">
      <c r="J1290" s="2"/>
      <c r="K1290" s="2"/>
      <c r="S1290" s="81"/>
    </row>
    <row r="1291" spans="10:19" x14ac:dyDescent="0.2">
      <c r="J1291" s="2"/>
      <c r="K1291" s="2"/>
      <c r="S1291" s="81"/>
    </row>
    <row r="1292" spans="10:19" x14ac:dyDescent="0.2">
      <c r="J1292" s="2"/>
      <c r="K1292" s="2"/>
      <c r="S1292" s="81"/>
    </row>
    <row r="1293" spans="10:19" x14ac:dyDescent="0.2">
      <c r="J1293" s="2"/>
      <c r="K1293" s="2"/>
      <c r="S1293" s="81"/>
    </row>
    <row r="1294" spans="10:19" x14ac:dyDescent="0.2">
      <c r="J1294" s="2"/>
      <c r="K1294" s="2"/>
      <c r="S1294" s="81"/>
    </row>
    <row r="1295" spans="10:19" x14ac:dyDescent="0.2">
      <c r="J1295" s="2"/>
      <c r="K1295" s="2"/>
      <c r="S1295" s="81"/>
    </row>
    <row r="1296" spans="10:19" x14ac:dyDescent="0.2">
      <c r="J1296" s="2"/>
      <c r="K1296" s="2"/>
      <c r="S1296" s="81"/>
    </row>
    <row r="1297" spans="10:19" x14ac:dyDescent="0.2">
      <c r="J1297" s="2"/>
      <c r="K1297" s="2"/>
      <c r="S1297" s="81"/>
    </row>
    <row r="1298" spans="10:19" x14ac:dyDescent="0.2">
      <c r="J1298" s="2"/>
      <c r="K1298" s="2"/>
      <c r="S1298" s="81"/>
    </row>
    <row r="1299" spans="10:19" x14ac:dyDescent="0.2">
      <c r="J1299" s="2"/>
      <c r="K1299" s="2"/>
      <c r="S1299" s="81"/>
    </row>
    <row r="1300" spans="10:19" x14ac:dyDescent="0.2">
      <c r="J1300" s="2"/>
      <c r="K1300" s="2"/>
      <c r="S1300" s="81"/>
    </row>
    <row r="1301" spans="10:19" x14ac:dyDescent="0.2">
      <c r="J1301" s="2"/>
      <c r="K1301" s="2"/>
      <c r="S1301" s="81"/>
    </row>
    <row r="1302" spans="10:19" x14ac:dyDescent="0.2">
      <c r="J1302" s="2"/>
      <c r="K1302" s="2"/>
      <c r="S1302" s="81"/>
    </row>
    <row r="1303" spans="10:19" x14ac:dyDescent="0.2">
      <c r="J1303" s="2"/>
      <c r="K1303" s="2"/>
      <c r="S1303" s="81"/>
    </row>
    <row r="1304" spans="10:19" x14ac:dyDescent="0.2">
      <c r="J1304" s="2"/>
      <c r="K1304" s="2"/>
      <c r="S1304" s="81"/>
    </row>
    <row r="1305" spans="10:19" x14ac:dyDescent="0.2">
      <c r="J1305" s="2"/>
      <c r="K1305" s="2"/>
      <c r="S1305" s="81"/>
    </row>
    <row r="1306" spans="10:19" x14ac:dyDescent="0.2">
      <c r="J1306" s="2"/>
      <c r="K1306" s="2"/>
      <c r="S1306" s="81"/>
    </row>
    <row r="1307" spans="10:19" x14ac:dyDescent="0.2">
      <c r="J1307" s="2"/>
      <c r="K1307" s="2"/>
      <c r="S1307" s="81"/>
    </row>
    <row r="1308" spans="10:19" x14ac:dyDescent="0.2">
      <c r="J1308" s="2"/>
      <c r="K1308" s="2"/>
      <c r="S1308" s="81"/>
    </row>
    <row r="1309" spans="10:19" x14ac:dyDescent="0.2">
      <c r="J1309" s="2"/>
      <c r="K1309" s="2"/>
      <c r="S1309" s="81"/>
    </row>
    <row r="1310" spans="10:19" x14ac:dyDescent="0.2">
      <c r="J1310" s="2"/>
      <c r="K1310" s="2"/>
      <c r="S1310" s="81"/>
    </row>
    <row r="1311" spans="10:19" x14ac:dyDescent="0.2">
      <c r="J1311" s="2"/>
      <c r="K1311" s="2"/>
      <c r="S1311" s="81"/>
    </row>
    <row r="1312" spans="10:19" x14ac:dyDescent="0.2">
      <c r="J1312" s="2"/>
      <c r="K1312" s="2"/>
      <c r="S1312" s="81"/>
    </row>
    <row r="1313" spans="10:19" x14ac:dyDescent="0.2">
      <c r="J1313" s="2"/>
      <c r="K1313" s="2"/>
      <c r="S1313" s="81"/>
    </row>
    <row r="1314" spans="10:19" x14ac:dyDescent="0.2">
      <c r="J1314" s="2"/>
      <c r="K1314" s="2"/>
      <c r="S1314" s="81"/>
    </row>
    <row r="1315" spans="10:19" x14ac:dyDescent="0.2">
      <c r="J1315" s="2"/>
      <c r="K1315" s="2"/>
      <c r="S1315" s="81"/>
    </row>
    <row r="1316" spans="10:19" x14ac:dyDescent="0.2">
      <c r="J1316" s="2"/>
      <c r="K1316" s="2"/>
      <c r="S1316" s="81"/>
    </row>
    <row r="1317" spans="10:19" x14ac:dyDescent="0.2">
      <c r="J1317" s="2"/>
      <c r="K1317" s="2"/>
      <c r="S1317" s="81"/>
    </row>
    <row r="1318" spans="10:19" x14ac:dyDescent="0.2">
      <c r="J1318" s="2"/>
      <c r="K1318" s="2"/>
      <c r="S1318" s="81"/>
    </row>
    <row r="1319" spans="10:19" x14ac:dyDescent="0.2">
      <c r="J1319" s="2"/>
      <c r="K1319" s="2"/>
      <c r="S1319" s="81"/>
    </row>
    <row r="1320" spans="10:19" x14ac:dyDescent="0.2">
      <c r="J1320" s="2"/>
      <c r="K1320" s="2"/>
      <c r="S1320" s="81"/>
    </row>
    <row r="1321" spans="10:19" x14ac:dyDescent="0.2">
      <c r="J1321" s="2"/>
      <c r="K1321" s="2"/>
      <c r="S1321" s="81"/>
    </row>
    <row r="1322" spans="10:19" x14ac:dyDescent="0.2">
      <c r="J1322" s="2"/>
      <c r="K1322" s="2"/>
      <c r="S1322" s="81"/>
    </row>
    <row r="1323" spans="10:19" x14ac:dyDescent="0.2">
      <c r="J1323" s="2"/>
      <c r="K1323" s="2"/>
      <c r="S1323" s="81"/>
    </row>
    <row r="1324" spans="10:19" x14ac:dyDescent="0.2">
      <c r="J1324" s="2"/>
      <c r="K1324" s="2"/>
      <c r="S1324" s="81"/>
    </row>
    <row r="1325" spans="10:19" x14ac:dyDescent="0.2">
      <c r="J1325" s="2"/>
      <c r="K1325" s="2"/>
      <c r="S1325" s="81"/>
    </row>
    <row r="1326" spans="10:19" x14ac:dyDescent="0.2">
      <c r="J1326" s="2"/>
      <c r="K1326" s="2"/>
      <c r="S1326" s="81"/>
    </row>
    <row r="1327" spans="10:19" x14ac:dyDescent="0.2">
      <c r="J1327" s="2"/>
      <c r="K1327" s="2"/>
      <c r="S1327" s="81"/>
    </row>
    <row r="1328" spans="10:19" x14ac:dyDescent="0.2">
      <c r="J1328" s="2"/>
      <c r="K1328" s="2"/>
      <c r="S1328" s="81"/>
    </row>
    <row r="1329" spans="10:19" x14ac:dyDescent="0.2">
      <c r="J1329" s="2"/>
      <c r="K1329" s="2"/>
      <c r="S1329" s="81"/>
    </row>
    <row r="1330" spans="10:19" x14ac:dyDescent="0.2">
      <c r="J1330" s="2"/>
      <c r="K1330" s="2"/>
      <c r="S1330" s="81"/>
    </row>
    <row r="1331" spans="10:19" x14ac:dyDescent="0.2">
      <c r="J1331" s="2"/>
      <c r="K1331" s="2"/>
      <c r="S1331" s="81"/>
    </row>
    <row r="1332" spans="10:19" x14ac:dyDescent="0.2">
      <c r="J1332" s="2"/>
      <c r="K1332" s="2"/>
      <c r="S1332" s="81"/>
    </row>
    <row r="1333" spans="10:19" x14ac:dyDescent="0.2">
      <c r="J1333" s="2"/>
      <c r="K1333" s="2"/>
      <c r="S1333" s="81"/>
    </row>
    <row r="1334" spans="10:19" x14ac:dyDescent="0.2">
      <c r="J1334" s="2"/>
      <c r="K1334" s="2"/>
      <c r="S1334" s="81"/>
    </row>
    <row r="1335" spans="10:19" x14ac:dyDescent="0.2">
      <c r="J1335" s="2"/>
      <c r="K1335" s="2"/>
      <c r="S1335" s="81"/>
    </row>
    <row r="1336" spans="10:19" x14ac:dyDescent="0.2">
      <c r="J1336" s="2"/>
      <c r="K1336" s="2"/>
      <c r="S1336" s="81"/>
    </row>
    <row r="1337" spans="10:19" x14ac:dyDescent="0.2">
      <c r="J1337" s="2"/>
      <c r="K1337" s="2"/>
      <c r="S1337" s="81"/>
    </row>
    <row r="1338" spans="10:19" x14ac:dyDescent="0.2">
      <c r="J1338" s="2"/>
      <c r="K1338" s="2"/>
      <c r="S1338" s="81"/>
    </row>
    <row r="1339" spans="10:19" x14ac:dyDescent="0.2">
      <c r="J1339" s="2"/>
      <c r="K1339" s="2"/>
      <c r="S1339" s="81"/>
    </row>
    <row r="1340" spans="10:19" x14ac:dyDescent="0.2">
      <c r="J1340" s="2"/>
      <c r="K1340" s="2"/>
      <c r="S1340" s="81"/>
    </row>
    <row r="1341" spans="10:19" x14ac:dyDescent="0.2">
      <c r="J1341" s="2"/>
      <c r="K1341" s="2"/>
      <c r="S1341" s="81"/>
    </row>
    <row r="1342" spans="10:19" x14ac:dyDescent="0.2">
      <c r="J1342" s="2"/>
      <c r="K1342" s="2"/>
      <c r="S1342" s="81"/>
    </row>
    <row r="1343" spans="10:19" x14ac:dyDescent="0.2">
      <c r="J1343" s="2"/>
      <c r="K1343" s="2"/>
      <c r="S1343" s="81"/>
    </row>
    <row r="1344" spans="10:19" x14ac:dyDescent="0.2">
      <c r="J1344" s="2"/>
      <c r="K1344" s="2"/>
      <c r="S1344" s="81"/>
    </row>
    <row r="1345" spans="10:19" x14ac:dyDescent="0.2">
      <c r="J1345" s="2"/>
      <c r="K1345" s="2"/>
      <c r="S1345" s="81"/>
    </row>
    <row r="1346" spans="10:19" x14ac:dyDescent="0.2">
      <c r="J1346" s="2"/>
      <c r="K1346" s="2"/>
      <c r="S1346" s="81"/>
    </row>
    <row r="1347" spans="10:19" x14ac:dyDescent="0.2">
      <c r="J1347" s="2"/>
      <c r="K1347" s="2"/>
      <c r="S1347" s="81"/>
    </row>
    <row r="1348" spans="10:19" x14ac:dyDescent="0.2">
      <c r="J1348" s="2"/>
      <c r="K1348" s="2"/>
      <c r="S1348" s="81"/>
    </row>
    <row r="1349" spans="10:19" x14ac:dyDescent="0.2">
      <c r="J1349" s="2"/>
      <c r="K1349" s="2"/>
      <c r="S1349" s="81"/>
    </row>
    <row r="1350" spans="10:19" x14ac:dyDescent="0.2">
      <c r="J1350" s="2"/>
      <c r="K1350" s="2"/>
      <c r="S1350" s="81"/>
    </row>
    <row r="1351" spans="10:19" x14ac:dyDescent="0.2">
      <c r="J1351" s="2"/>
      <c r="K1351" s="2"/>
      <c r="S1351" s="81"/>
    </row>
    <row r="1352" spans="10:19" x14ac:dyDescent="0.2">
      <c r="J1352" s="2"/>
      <c r="K1352" s="2"/>
      <c r="S1352" s="81"/>
    </row>
    <row r="1353" spans="10:19" x14ac:dyDescent="0.2">
      <c r="J1353" s="2"/>
      <c r="K1353" s="2"/>
      <c r="S1353" s="81"/>
    </row>
    <row r="1354" spans="10:19" x14ac:dyDescent="0.2">
      <c r="J1354" s="2"/>
      <c r="K1354" s="2"/>
      <c r="S1354" s="81"/>
    </row>
    <row r="1355" spans="10:19" x14ac:dyDescent="0.2">
      <c r="J1355" s="2"/>
      <c r="K1355" s="2"/>
      <c r="S1355" s="81"/>
    </row>
    <row r="1356" spans="10:19" x14ac:dyDescent="0.2">
      <c r="J1356" s="2"/>
      <c r="K1356" s="2"/>
      <c r="S1356" s="81"/>
    </row>
    <row r="1357" spans="10:19" x14ac:dyDescent="0.2">
      <c r="J1357" s="2"/>
      <c r="K1357" s="2"/>
      <c r="S1357" s="81"/>
    </row>
    <row r="1358" spans="10:19" x14ac:dyDescent="0.2">
      <c r="J1358" s="2"/>
      <c r="K1358" s="2"/>
      <c r="S1358" s="81"/>
    </row>
    <row r="1359" spans="10:19" x14ac:dyDescent="0.2">
      <c r="J1359" s="2"/>
      <c r="K1359" s="2"/>
      <c r="S1359" s="81"/>
    </row>
    <row r="1360" spans="10:19" x14ac:dyDescent="0.2">
      <c r="J1360" s="2"/>
      <c r="K1360" s="2"/>
      <c r="S1360" s="81"/>
    </row>
    <row r="1361" spans="10:19" x14ac:dyDescent="0.2">
      <c r="J1361" s="2"/>
      <c r="K1361" s="2"/>
      <c r="S1361" s="81"/>
    </row>
    <row r="1362" spans="10:19" x14ac:dyDescent="0.2">
      <c r="J1362" s="2"/>
      <c r="K1362" s="2"/>
      <c r="S1362" s="81"/>
    </row>
    <row r="1363" spans="10:19" x14ac:dyDescent="0.2">
      <c r="J1363" s="2"/>
      <c r="K1363" s="2"/>
      <c r="S1363" s="81"/>
    </row>
    <row r="1364" spans="10:19" x14ac:dyDescent="0.2">
      <c r="J1364" s="2"/>
      <c r="K1364" s="2"/>
      <c r="S1364" s="81"/>
    </row>
    <row r="1365" spans="10:19" x14ac:dyDescent="0.2">
      <c r="J1365" s="2"/>
      <c r="K1365" s="2"/>
      <c r="S1365" s="81"/>
    </row>
    <row r="1366" spans="10:19" x14ac:dyDescent="0.2">
      <c r="J1366" s="2"/>
      <c r="K1366" s="2"/>
      <c r="S1366" s="81"/>
    </row>
    <row r="1367" spans="10:19" x14ac:dyDescent="0.2">
      <c r="J1367" s="2"/>
      <c r="K1367" s="2"/>
      <c r="S1367" s="81"/>
    </row>
    <row r="1368" spans="10:19" x14ac:dyDescent="0.2">
      <c r="J1368" s="2"/>
      <c r="K1368" s="2"/>
      <c r="S1368" s="81"/>
    </row>
    <row r="1369" spans="10:19" x14ac:dyDescent="0.2">
      <c r="J1369" s="2"/>
      <c r="K1369" s="2"/>
      <c r="S1369" s="81"/>
    </row>
    <row r="1370" spans="10:19" x14ac:dyDescent="0.2">
      <c r="J1370" s="2"/>
      <c r="K1370" s="2"/>
      <c r="S1370" s="81"/>
    </row>
    <row r="1371" spans="10:19" x14ac:dyDescent="0.2">
      <c r="J1371" s="2"/>
      <c r="K1371" s="2"/>
      <c r="S1371" s="81"/>
    </row>
    <row r="1372" spans="10:19" x14ac:dyDescent="0.2">
      <c r="J1372" s="2"/>
      <c r="K1372" s="2"/>
      <c r="S1372" s="81"/>
    </row>
    <row r="1373" spans="10:19" x14ac:dyDescent="0.2">
      <c r="J1373" s="2"/>
      <c r="K1373" s="2"/>
      <c r="S1373" s="81"/>
    </row>
    <row r="1374" spans="10:19" x14ac:dyDescent="0.2">
      <c r="J1374" s="2"/>
      <c r="K1374" s="2"/>
      <c r="S1374" s="81"/>
    </row>
    <row r="1375" spans="10:19" x14ac:dyDescent="0.2">
      <c r="J1375" s="2"/>
      <c r="K1375" s="2"/>
      <c r="S1375" s="81"/>
    </row>
    <row r="1376" spans="10:19" x14ac:dyDescent="0.2">
      <c r="J1376" s="2"/>
      <c r="K1376" s="2"/>
      <c r="S1376" s="81"/>
    </row>
    <row r="1377" spans="10:19" x14ac:dyDescent="0.2">
      <c r="J1377" s="2"/>
      <c r="K1377" s="2"/>
      <c r="S1377" s="81"/>
    </row>
    <row r="1378" spans="10:19" x14ac:dyDescent="0.2">
      <c r="J1378" s="2"/>
      <c r="K1378" s="2"/>
      <c r="S1378" s="81"/>
    </row>
    <row r="1379" spans="10:19" x14ac:dyDescent="0.2">
      <c r="J1379" s="2"/>
      <c r="K1379" s="2"/>
      <c r="S1379" s="81"/>
    </row>
    <row r="1380" spans="10:19" x14ac:dyDescent="0.2">
      <c r="J1380" s="2"/>
      <c r="K1380" s="2"/>
      <c r="S1380" s="81"/>
    </row>
    <row r="1381" spans="10:19" x14ac:dyDescent="0.2">
      <c r="J1381" s="2"/>
      <c r="K1381" s="2"/>
      <c r="S1381" s="81"/>
    </row>
    <row r="1382" spans="10:19" x14ac:dyDescent="0.2">
      <c r="J1382" s="2"/>
      <c r="K1382" s="2"/>
      <c r="S1382" s="81"/>
    </row>
    <row r="1383" spans="10:19" x14ac:dyDescent="0.2">
      <c r="J1383" s="2"/>
      <c r="K1383" s="2"/>
      <c r="S1383" s="81"/>
    </row>
    <row r="1384" spans="10:19" x14ac:dyDescent="0.2">
      <c r="J1384" s="2"/>
      <c r="K1384" s="2"/>
      <c r="S1384" s="81"/>
    </row>
    <row r="1385" spans="10:19" x14ac:dyDescent="0.2">
      <c r="J1385" s="2"/>
      <c r="K1385" s="2"/>
      <c r="S1385" s="81"/>
    </row>
    <row r="1386" spans="10:19" x14ac:dyDescent="0.2">
      <c r="J1386" s="2"/>
      <c r="K1386" s="2"/>
      <c r="S1386" s="81"/>
    </row>
    <row r="1387" spans="10:19" x14ac:dyDescent="0.2">
      <c r="J1387" s="2"/>
      <c r="K1387" s="2"/>
      <c r="S1387" s="81"/>
    </row>
    <row r="1388" spans="10:19" x14ac:dyDescent="0.2">
      <c r="J1388" s="2"/>
      <c r="K1388" s="2"/>
      <c r="S1388" s="81"/>
    </row>
    <row r="1389" spans="10:19" x14ac:dyDescent="0.2">
      <c r="J1389" s="2"/>
      <c r="K1389" s="2"/>
      <c r="S1389" s="81"/>
    </row>
    <row r="1390" spans="10:19" x14ac:dyDescent="0.2">
      <c r="J1390" s="2"/>
      <c r="K1390" s="2"/>
      <c r="S1390" s="81"/>
    </row>
    <row r="1391" spans="10:19" x14ac:dyDescent="0.2">
      <c r="J1391" s="2"/>
      <c r="K1391" s="2"/>
      <c r="S1391" s="81"/>
    </row>
    <row r="1392" spans="10:19" x14ac:dyDescent="0.2">
      <c r="J1392" s="2"/>
      <c r="K1392" s="2"/>
      <c r="S1392" s="81"/>
    </row>
    <row r="1393" spans="10:19" x14ac:dyDescent="0.2">
      <c r="J1393" s="2"/>
      <c r="K1393" s="2"/>
      <c r="S1393" s="81"/>
    </row>
    <row r="1394" spans="10:19" x14ac:dyDescent="0.2">
      <c r="J1394" s="2"/>
      <c r="K1394" s="2"/>
      <c r="S1394" s="81"/>
    </row>
    <row r="1395" spans="10:19" x14ac:dyDescent="0.2">
      <c r="J1395" s="2"/>
      <c r="K1395" s="2"/>
      <c r="S1395" s="81"/>
    </row>
    <row r="1396" spans="10:19" x14ac:dyDescent="0.2">
      <c r="J1396" s="2"/>
      <c r="K1396" s="2"/>
      <c r="S1396" s="81"/>
    </row>
    <row r="1397" spans="10:19" x14ac:dyDescent="0.2">
      <c r="J1397" s="2"/>
      <c r="K1397" s="2"/>
      <c r="S1397" s="81"/>
    </row>
    <row r="1398" spans="10:19" x14ac:dyDescent="0.2">
      <c r="J1398" s="2"/>
      <c r="K1398" s="2"/>
      <c r="S1398" s="81"/>
    </row>
    <row r="1399" spans="10:19" x14ac:dyDescent="0.2">
      <c r="J1399" s="2"/>
      <c r="K1399" s="2"/>
      <c r="S1399" s="81"/>
    </row>
    <row r="1400" spans="10:19" x14ac:dyDescent="0.2">
      <c r="J1400" s="2"/>
      <c r="K1400" s="2"/>
      <c r="S1400" s="81"/>
    </row>
    <row r="1401" spans="10:19" x14ac:dyDescent="0.2">
      <c r="J1401" s="2"/>
      <c r="K1401" s="2"/>
      <c r="S1401" s="81"/>
    </row>
    <row r="1402" spans="10:19" x14ac:dyDescent="0.2">
      <c r="J1402" s="2"/>
      <c r="K1402" s="2"/>
      <c r="S1402" s="81"/>
    </row>
    <row r="1403" spans="10:19" x14ac:dyDescent="0.2">
      <c r="J1403" s="2"/>
      <c r="K1403" s="2"/>
      <c r="S1403" s="81"/>
    </row>
    <row r="1404" spans="10:19" x14ac:dyDescent="0.2">
      <c r="J1404" s="2"/>
      <c r="K1404" s="2"/>
      <c r="S1404" s="81"/>
    </row>
    <row r="1405" spans="10:19" x14ac:dyDescent="0.2">
      <c r="J1405" s="2"/>
      <c r="K1405" s="2"/>
      <c r="S1405" s="81"/>
    </row>
    <row r="1406" spans="10:19" x14ac:dyDescent="0.2">
      <c r="J1406" s="2"/>
      <c r="K1406" s="2"/>
      <c r="S1406" s="81"/>
    </row>
    <row r="1407" spans="10:19" x14ac:dyDescent="0.2">
      <c r="J1407" s="2"/>
      <c r="K1407" s="2"/>
      <c r="S1407" s="81"/>
    </row>
    <row r="1408" spans="10:19" x14ac:dyDescent="0.2">
      <c r="J1408" s="2"/>
      <c r="K1408" s="2"/>
      <c r="S1408" s="81"/>
    </row>
    <row r="1409" spans="10:19" x14ac:dyDescent="0.2">
      <c r="J1409" s="2"/>
      <c r="K1409" s="2"/>
      <c r="S1409" s="81"/>
    </row>
    <row r="1410" spans="10:19" x14ac:dyDescent="0.2">
      <c r="J1410" s="2"/>
      <c r="K1410" s="2"/>
      <c r="S1410" s="81"/>
    </row>
    <row r="1411" spans="10:19" x14ac:dyDescent="0.2">
      <c r="J1411" s="2"/>
      <c r="K1411" s="2"/>
      <c r="S1411" s="81"/>
    </row>
    <row r="1412" spans="10:19" x14ac:dyDescent="0.2">
      <c r="J1412" s="2"/>
      <c r="K1412" s="2"/>
      <c r="S1412" s="81"/>
    </row>
    <row r="1413" spans="10:19" x14ac:dyDescent="0.2">
      <c r="J1413" s="2"/>
      <c r="K1413" s="2"/>
      <c r="S1413" s="81"/>
    </row>
    <row r="1414" spans="10:19" x14ac:dyDescent="0.2">
      <c r="J1414" s="2"/>
      <c r="K1414" s="2"/>
      <c r="S1414" s="81"/>
    </row>
    <row r="1415" spans="10:19" x14ac:dyDescent="0.2">
      <c r="J1415" s="2"/>
      <c r="K1415" s="2"/>
      <c r="S1415" s="81"/>
    </row>
    <row r="1416" spans="10:19" x14ac:dyDescent="0.2">
      <c r="J1416" s="2"/>
      <c r="K1416" s="2"/>
      <c r="S1416" s="81"/>
    </row>
    <row r="1417" spans="10:19" x14ac:dyDescent="0.2">
      <c r="J1417" s="2"/>
      <c r="K1417" s="2"/>
      <c r="S1417" s="81"/>
    </row>
    <row r="1418" spans="10:19" x14ac:dyDescent="0.2">
      <c r="J1418" s="2"/>
      <c r="K1418" s="2"/>
      <c r="S1418" s="81"/>
    </row>
    <row r="1419" spans="10:19" x14ac:dyDescent="0.2">
      <c r="J1419" s="2"/>
      <c r="K1419" s="2"/>
      <c r="S1419" s="81"/>
    </row>
    <row r="1420" spans="10:19" x14ac:dyDescent="0.2">
      <c r="J1420" s="2"/>
      <c r="K1420" s="2"/>
      <c r="S1420" s="81"/>
    </row>
    <row r="1421" spans="10:19" x14ac:dyDescent="0.2">
      <c r="J1421" s="2"/>
      <c r="K1421" s="2"/>
      <c r="S1421" s="81"/>
    </row>
    <row r="1422" spans="10:19" x14ac:dyDescent="0.2">
      <c r="J1422" s="2"/>
      <c r="K1422" s="2"/>
      <c r="S1422" s="81"/>
    </row>
    <row r="1423" spans="10:19" x14ac:dyDescent="0.2">
      <c r="J1423" s="2"/>
      <c r="K1423" s="2"/>
      <c r="S1423" s="81"/>
    </row>
    <row r="1424" spans="10:19" x14ac:dyDescent="0.2">
      <c r="J1424" s="2"/>
      <c r="K1424" s="2"/>
      <c r="S1424" s="81"/>
    </row>
    <row r="1425" spans="10:19" x14ac:dyDescent="0.2">
      <c r="J1425" s="2"/>
      <c r="K1425" s="2"/>
      <c r="S1425" s="81"/>
    </row>
    <row r="1426" spans="10:19" x14ac:dyDescent="0.2">
      <c r="J1426" s="2"/>
      <c r="K1426" s="2"/>
      <c r="S1426" s="81"/>
    </row>
    <row r="1427" spans="10:19" x14ac:dyDescent="0.2">
      <c r="J1427" s="2"/>
      <c r="K1427" s="2"/>
      <c r="S1427" s="81"/>
    </row>
    <row r="1428" spans="10:19" x14ac:dyDescent="0.2">
      <c r="J1428" s="2"/>
      <c r="K1428" s="2"/>
      <c r="S1428" s="81"/>
    </row>
    <row r="1429" spans="10:19" x14ac:dyDescent="0.2">
      <c r="J1429" s="2"/>
      <c r="K1429" s="2"/>
      <c r="S1429" s="81"/>
    </row>
    <row r="1430" spans="10:19" x14ac:dyDescent="0.2">
      <c r="J1430" s="2"/>
      <c r="K1430" s="2"/>
      <c r="S1430" s="81"/>
    </row>
    <row r="1431" spans="10:19" x14ac:dyDescent="0.2">
      <c r="J1431" s="2"/>
      <c r="K1431" s="2"/>
      <c r="S1431" s="81"/>
    </row>
    <row r="1432" spans="10:19" x14ac:dyDescent="0.2">
      <c r="J1432" s="2"/>
      <c r="K1432" s="2"/>
      <c r="S1432" s="81"/>
    </row>
    <row r="1433" spans="10:19" x14ac:dyDescent="0.2">
      <c r="J1433" s="2"/>
      <c r="K1433" s="2"/>
      <c r="S1433" s="81"/>
    </row>
    <row r="1434" spans="10:19" x14ac:dyDescent="0.2">
      <c r="J1434" s="2"/>
      <c r="K1434" s="2"/>
      <c r="S1434" s="81"/>
    </row>
    <row r="1435" spans="10:19" x14ac:dyDescent="0.2">
      <c r="J1435" s="2"/>
      <c r="K1435" s="2"/>
      <c r="S1435" s="81"/>
    </row>
    <row r="1436" spans="10:19" x14ac:dyDescent="0.2">
      <c r="J1436" s="2"/>
      <c r="K1436" s="2"/>
      <c r="S1436" s="81"/>
    </row>
    <row r="1437" spans="10:19" x14ac:dyDescent="0.2">
      <c r="J1437" s="2"/>
      <c r="K1437" s="2"/>
      <c r="S1437" s="81"/>
    </row>
    <row r="1438" spans="10:19" x14ac:dyDescent="0.2">
      <c r="J1438" s="2"/>
      <c r="K1438" s="2"/>
      <c r="S1438" s="81"/>
    </row>
    <row r="1439" spans="10:19" x14ac:dyDescent="0.2">
      <c r="J1439" s="2"/>
      <c r="K1439" s="2"/>
      <c r="S1439" s="81"/>
    </row>
    <row r="1440" spans="10:19" x14ac:dyDescent="0.2">
      <c r="J1440" s="2"/>
      <c r="K1440" s="2"/>
      <c r="S1440" s="81"/>
    </row>
    <row r="1441" spans="10:19" x14ac:dyDescent="0.2">
      <c r="J1441" s="2"/>
      <c r="K1441" s="2"/>
      <c r="S1441" s="81"/>
    </row>
    <row r="1442" spans="10:19" x14ac:dyDescent="0.2">
      <c r="J1442" s="2"/>
      <c r="K1442" s="2"/>
      <c r="S1442" s="81"/>
    </row>
    <row r="1443" spans="10:19" x14ac:dyDescent="0.2">
      <c r="J1443" s="2"/>
      <c r="K1443" s="2"/>
      <c r="S1443" s="81"/>
    </row>
    <row r="1444" spans="10:19" x14ac:dyDescent="0.2">
      <c r="J1444" s="2"/>
      <c r="K1444" s="2"/>
      <c r="S1444" s="81"/>
    </row>
    <row r="1445" spans="10:19" x14ac:dyDescent="0.2">
      <c r="J1445" s="2"/>
      <c r="K1445" s="2"/>
      <c r="S1445" s="81"/>
    </row>
    <row r="1446" spans="10:19" x14ac:dyDescent="0.2">
      <c r="J1446" s="2"/>
      <c r="K1446" s="2"/>
      <c r="S1446" s="81"/>
    </row>
    <row r="1447" spans="10:19" x14ac:dyDescent="0.2">
      <c r="J1447" s="2"/>
      <c r="K1447" s="2"/>
      <c r="S1447" s="81"/>
    </row>
    <row r="1448" spans="10:19" x14ac:dyDescent="0.2">
      <c r="J1448" s="2"/>
      <c r="K1448" s="2"/>
      <c r="S1448" s="81"/>
    </row>
    <row r="1449" spans="10:19" x14ac:dyDescent="0.2">
      <c r="J1449" s="2"/>
      <c r="K1449" s="2"/>
      <c r="S1449" s="81"/>
    </row>
    <row r="1450" spans="10:19" x14ac:dyDescent="0.2">
      <c r="J1450" s="2"/>
      <c r="K1450" s="2"/>
      <c r="S1450" s="81"/>
    </row>
    <row r="1451" spans="10:19" x14ac:dyDescent="0.2">
      <c r="J1451" s="2"/>
      <c r="K1451" s="2"/>
      <c r="S1451" s="81"/>
    </row>
    <row r="1452" spans="10:19" x14ac:dyDescent="0.2">
      <c r="J1452" s="2"/>
      <c r="K1452" s="2"/>
      <c r="S1452" s="81"/>
    </row>
    <row r="1453" spans="10:19" x14ac:dyDescent="0.2">
      <c r="J1453" s="2"/>
      <c r="K1453" s="2"/>
      <c r="S1453" s="81"/>
    </row>
    <row r="1454" spans="10:19" x14ac:dyDescent="0.2">
      <c r="J1454" s="2"/>
      <c r="K1454" s="2"/>
      <c r="S1454" s="81"/>
    </row>
    <row r="1455" spans="10:19" x14ac:dyDescent="0.2">
      <c r="J1455" s="2"/>
      <c r="K1455" s="2"/>
      <c r="S1455" s="81"/>
    </row>
    <row r="1456" spans="10:19" x14ac:dyDescent="0.2">
      <c r="J1456" s="2"/>
      <c r="K1456" s="2"/>
      <c r="S1456" s="81"/>
    </row>
    <row r="1457" spans="10:19" x14ac:dyDescent="0.2">
      <c r="J1457" s="2"/>
      <c r="K1457" s="2"/>
      <c r="S1457" s="81"/>
    </row>
    <row r="1458" spans="10:19" x14ac:dyDescent="0.2">
      <c r="J1458" s="2"/>
      <c r="K1458" s="2"/>
      <c r="S1458" s="81"/>
    </row>
    <row r="1459" spans="10:19" x14ac:dyDescent="0.2">
      <c r="J1459" s="2"/>
      <c r="K1459" s="2"/>
      <c r="S1459" s="81"/>
    </row>
    <row r="1460" spans="10:19" x14ac:dyDescent="0.2">
      <c r="J1460" s="2"/>
      <c r="K1460" s="2"/>
      <c r="S1460" s="81"/>
    </row>
    <row r="1461" spans="10:19" x14ac:dyDescent="0.2">
      <c r="J1461" s="2"/>
      <c r="K1461" s="2"/>
      <c r="S1461" s="81"/>
    </row>
    <row r="1462" spans="10:19" x14ac:dyDescent="0.2">
      <c r="J1462" s="2"/>
      <c r="K1462" s="2"/>
      <c r="S1462" s="81"/>
    </row>
    <row r="1463" spans="10:19" x14ac:dyDescent="0.2">
      <c r="J1463" s="2"/>
      <c r="K1463" s="2"/>
      <c r="S1463" s="81"/>
    </row>
    <row r="1464" spans="10:19" x14ac:dyDescent="0.2">
      <c r="J1464" s="2"/>
      <c r="K1464" s="2"/>
      <c r="S1464" s="81"/>
    </row>
    <row r="1465" spans="10:19" x14ac:dyDescent="0.2">
      <c r="J1465" s="2"/>
      <c r="K1465" s="2"/>
      <c r="S1465" s="81"/>
    </row>
    <row r="1466" spans="10:19" x14ac:dyDescent="0.2">
      <c r="J1466" s="2"/>
      <c r="K1466" s="2"/>
      <c r="S1466" s="81"/>
    </row>
    <row r="1467" spans="10:19" x14ac:dyDescent="0.2">
      <c r="J1467" s="2"/>
      <c r="K1467" s="2"/>
      <c r="S1467" s="81"/>
    </row>
    <row r="1468" spans="10:19" x14ac:dyDescent="0.2">
      <c r="J1468" s="2"/>
      <c r="K1468" s="2"/>
      <c r="S1468" s="81"/>
    </row>
    <row r="1469" spans="10:19" x14ac:dyDescent="0.2">
      <c r="J1469" s="2"/>
      <c r="K1469" s="2"/>
      <c r="S1469" s="81"/>
    </row>
    <row r="1470" spans="10:19" x14ac:dyDescent="0.2">
      <c r="J1470" s="2"/>
      <c r="K1470" s="2"/>
      <c r="S1470" s="81"/>
    </row>
    <row r="1471" spans="10:19" x14ac:dyDescent="0.2">
      <c r="J1471" s="2"/>
      <c r="K1471" s="2"/>
      <c r="S1471" s="81"/>
    </row>
    <row r="1472" spans="10:19" x14ac:dyDescent="0.2">
      <c r="J1472" s="2"/>
      <c r="K1472" s="2"/>
      <c r="S1472" s="81"/>
    </row>
    <row r="1473" spans="10:19" x14ac:dyDescent="0.2">
      <c r="J1473" s="2"/>
      <c r="K1473" s="2"/>
      <c r="S1473" s="81"/>
    </row>
    <row r="1474" spans="10:19" x14ac:dyDescent="0.2">
      <c r="J1474" s="2"/>
      <c r="K1474" s="2"/>
      <c r="S1474" s="81"/>
    </row>
    <row r="1475" spans="10:19" x14ac:dyDescent="0.2">
      <c r="J1475" s="2"/>
      <c r="K1475" s="2"/>
      <c r="S1475" s="81"/>
    </row>
    <row r="1476" spans="10:19" x14ac:dyDescent="0.2">
      <c r="J1476" s="2"/>
      <c r="K1476" s="2"/>
      <c r="S1476" s="81"/>
    </row>
    <row r="1477" spans="10:19" x14ac:dyDescent="0.2">
      <c r="J1477" s="2"/>
      <c r="K1477" s="2"/>
      <c r="S1477" s="81"/>
    </row>
    <row r="1478" spans="10:19" x14ac:dyDescent="0.2">
      <c r="J1478" s="2"/>
      <c r="K1478" s="2"/>
      <c r="S1478" s="81"/>
    </row>
    <row r="1479" spans="10:19" x14ac:dyDescent="0.2">
      <c r="J1479" s="2"/>
      <c r="K1479" s="2"/>
      <c r="S1479" s="81"/>
    </row>
    <row r="1480" spans="10:19" x14ac:dyDescent="0.2">
      <c r="J1480" s="2"/>
      <c r="K1480" s="2"/>
      <c r="S1480" s="81"/>
    </row>
    <row r="1481" spans="10:19" x14ac:dyDescent="0.2">
      <c r="J1481" s="2"/>
      <c r="K1481" s="2"/>
      <c r="S1481" s="81"/>
    </row>
    <row r="1482" spans="10:19" x14ac:dyDescent="0.2">
      <c r="J1482" s="2"/>
      <c r="K1482" s="2"/>
      <c r="S1482" s="81"/>
    </row>
    <row r="1483" spans="10:19" x14ac:dyDescent="0.2">
      <c r="J1483" s="2"/>
      <c r="K1483" s="2"/>
      <c r="S1483" s="81"/>
    </row>
    <row r="1484" spans="10:19" x14ac:dyDescent="0.2">
      <c r="J1484" s="2"/>
      <c r="K1484" s="2"/>
      <c r="S1484" s="81"/>
    </row>
    <row r="1485" spans="10:19" x14ac:dyDescent="0.2">
      <c r="J1485" s="2"/>
      <c r="K1485" s="2"/>
      <c r="S1485" s="81"/>
    </row>
    <row r="1486" spans="10:19" x14ac:dyDescent="0.2">
      <c r="J1486" s="2"/>
      <c r="K1486" s="2"/>
      <c r="S1486" s="81"/>
    </row>
    <row r="1487" spans="10:19" x14ac:dyDescent="0.2">
      <c r="J1487" s="2"/>
      <c r="K1487" s="2"/>
      <c r="S1487" s="81"/>
    </row>
    <row r="1488" spans="10:19" x14ac:dyDescent="0.2">
      <c r="J1488" s="2"/>
      <c r="K1488" s="2"/>
      <c r="S1488" s="81"/>
    </row>
    <row r="1489" spans="10:19" x14ac:dyDescent="0.2">
      <c r="J1489" s="2"/>
      <c r="K1489" s="2"/>
      <c r="S1489" s="81"/>
    </row>
    <row r="1490" spans="10:19" x14ac:dyDescent="0.2">
      <c r="J1490" s="2"/>
      <c r="K1490" s="2"/>
      <c r="S1490" s="81"/>
    </row>
    <row r="1491" spans="10:19" x14ac:dyDescent="0.2">
      <c r="J1491" s="2"/>
      <c r="K1491" s="2"/>
      <c r="S1491" s="81"/>
    </row>
    <row r="1492" spans="10:19" x14ac:dyDescent="0.2">
      <c r="J1492" s="2"/>
      <c r="K1492" s="2"/>
      <c r="S1492" s="81"/>
    </row>
    <row r="1493" spans="10:19" x14ac:dyDescent="0.2">
      <c r="J1493" s="2"/>
      <c r="K1493" s="2"/>
      <c r="S1493" s="81"/>
    </row>
    <row r="1494" spans="10:19" x14ac:dyDescent="0.2">
      <c r="J1494" s="2"/>
      <c r="K1494" s="2"/>
      <c r="S1494" s="81"/>
    </row>
    <row r="1495" spans="10:19" x14ac:dyDescent="0.2">
      <c r="J1495" s="2"/>
      <c r="K1495" s="2"/>
      <c r="S1495" s="81"/>
    </row>
    <row r="1496" spans="10:19" x14ac:dyDescent="0.2">
      <c r="J1496" s="2"/>
      <c r="K1496" s="2"/>
      <c r="S1496" s="81"/>
    </row>
    <row r="1497" spans="10:19" x14ac:dyDescent="0.2">
      <c r="J1497" s="2"/>
      <c r="K1497" s="2"/>
      <c r="S1497" s="81"/>
    </row>
    <row r="1498" spans="10:19" x14ac:dyDescent="0.2">
      <c r="J1498" s="2"/>
      <c r="K1498" s="2"/>
      <c r="S1498" s="81"/>
    </row>
    <row r="1499" spans="10:19" x14ac:dyDescent="0.2">
      <c r="J1499" s="2"/>
      <c r="K1499" s="2"/>
      <c r="S1499" s="81"/>
    </row>
    <row r="1500" spans="10:19" x14ac:dyDescent="0.2">
      <c r="J1500" s="2"/>
      <c r="K1500" s="2"/>
      <c r="S1500" s="81"/>
    </row>
    <row r="1501" spans="10:19" x14ac:dyDescent="0.2">
      <c r="J1501" s="2"/>
      <c r="K1501" s="2"/>
      <c r="S1501" s="81"/>
    </row>
    <row r="1502" spans="10:19" x14ac:dyDescent="0.2">
      <c r="J1502" s="2"/>
      <c r="K1502" s="2"/>
      <c r="S1502" s="81"/>
    </row>
    <row r="1503" spans="10:19" x14ac:dyDescent="0.2">
      <c r="J1503" s="2"/>
      <c r="K1503" s="2"/>
      <c r="S1503" s="81"/>
    </row>
    <row r="1504" spans="10:19" x14ac:dyDescent="0.2">
      <c r="J1504" s="2"/>
      <c r="K1504" s="2"/>
      <c r="S1504" s="81"/>
    </row>
    <row r="1505" spans="10:19" x14ac:dyDescent="0.2">
      <c r="J1505" s="2"/>
      <c r="K1505" s="2"/>
      <c r="S1505" s="81"/>
    </row>
    <row r="1506" spans="10:19" x14ac:dyDescent="0.2">
      <c r="J1506" s="2"/>
      <c r="K1506" s="2"/>
      <c r="S1506" s="81"/>
    </row>
    <row r="1507" spans="10:19" x14ac:dyDescent="0.2">
      <c r="J1507" s="2"/>
      <c r="K1507" s="2"/>
      <c r="S1507" s="81"/>
    </row>
    <row r="1508" spans="10:19" x14ac:dyDescent="0.2">
      <c r="J1508" s="2"/>
      <c r="K1508" s="2"/>
      <c r="S1508" s="81"/>
    </row>
    <row r="1509" spans="10:19" x14ac:dyDescent="0.2">
      <c r="J1509" s="2"/>
      <c r="K1509" s="2"/>
      <c r="S1509" s="81"/>
    </row>
    <row r="1510" spans="10:19" x14ac:dyDescent="0.2">
      <c r="J1510" s="2"/>
      <c r="K1510" s="2"/>
      <c r="S1510" s="81"/>
    </row>
    <row r="1511" spans="10:19" x14ac:dyDescent="0.2">
      <c r="J1511" s="2"/>
      <c r="K1511" s="2"/>
      <c r="S1511" s="81"/>
    </row>
    <row r="1512" spans="10:19" x14ac:dyDescent="0.2">
      <c r="J1512" s="2"/>
      <c r="K1512" s="2"/>
      <c r="S1512" s="81"/>
    </row>
    <row r="1513" spans="10:19" x14ac:dyDescent="0.2">
      <c r="J1513" s="2"/>
      <c r="K1513" s="2"/>
      <c r="S1513" s="81"/>
    </row>
    <row r="1514" spans="10:19" x14ac:dyDescent="0.2">
      <c r="J1514" s="2"/>
      <c r="K1514" s="2"/>
      <c r="S1514" s="81"/>
    </row>
    <row r="1515" spans="10:19" x14ac:dyDescent="0.2">
      <c r="J1515" s="2"/>
      <c r="K1515" s="2"/>
      <c r="S1515" s="81"/>
    </row>
    <row r="1516" spans="10:19" x14ac:dyDescent="0.2">
      <c r="J1516" s="2"/>
      <c r="K1516" s="2"/>
      <c r="S1516" s="81"/>
    </row>
    <row r="1517" spans="10:19" x14ac:dyDescent="0.2">
      <c r="J1517" s="2"/>
      <c r="K1517" s="2"/>
      <c r="S1517" s="81"/>
    </row>
    <row r="1518" spans="10:19" x14ac:dyDescent="0.2">
      <c r="J1518" s="2"/>
      <c r="K1518" s="2"/>
      <c r="S1518" s="81"/>
    </row>
    <row r="1519" spans="10:19" x14ac:dyDescent="0.2">
      <c r="J1519" s="2"/>
      <c r="K1519" s="2"/>
      <c r="S1519" s="81"/>
    </row>
    <row r="1520" spans="10:19" x14ac:dyDescent="0.2">
      <c r="J1520" s="2"/>
      <c r="K1520" s="2"/>
      <c r="S1520" s="81"/>
    </row>
    <row r="1521" spans="10:19" x14ac:dyDescent="0.2">
      <c r="J1521" s="2"/>
      <c r="K1521" s="2"/>
      <c r="S1521" s="81"/>
    </row>
    <row r="1522" spans="10:19" x14ac:dyDescent="0.2">
      <c r="J1522" s="2"/>
      <c r="K1522" s="2"/>
      <c r="S1522" s="81"/>
    </row>
    <row r="1523" spans="10:19" x14ac:dyDescent="0.2">
      <c r="J1523" s="2"/>
      <c r="K1523" s="2"/>
      <c r="S1523" s="81"/>
    </row>
    <row r="1524" spans="10:19" x14ac:dyDescent="0.2">
      <c r="J1524" s="2"/>
      <c r="K1524" s="2"/>
      <c r="S1524" s="81"/>
    </row>
    <row r="1525" spans="10:19" x14ac:dyDescent="0.2">
      <c r="J1525" s="2"/>
      <c r="K1525" s="2"/>
      <c r="S1525" s="81"/>
    </row>
    <row r="1526" spans="10:19" x14ac:dyDescent="0.2">
      <c r="J1526" s="2"/>
      <c r="K1526" s="2"/>
      <c r="S1526" s="81"/>
    </row>
    <row r="1527" spans="10:19" x14ac:dyDescent="0.2">
      <c r="J1527" s="2"/>
      <c r="K1527" s="2"/>
      <c r="S1527" s="81"/>
    </row>
    <row r="1528" spans="10:19" x14ac:dyDescent="0.2">
      <c r="J1528" s="2"/>
      <c r="K1528" s="2"/>
      <c r="S1528" s="81"/>
    </row>
    <row r="1529" spans="10:19" x14ac:dyDescent="0.2">
      <c r="J1529" s="2"/>
      <c r="K1529" s="2"/>
      <c r="S1529" s="81"/>
    </row>
    <row r="1530" spans="10:19" x14ac:dyDescent="0.2">
      <c r="J1530" s="2"/>
      <c r="K1530" s="2"/>
      <c r="S1530" s="81"/>
    </row>
    <row r="1531" spans="10:19" x14ac:dyDescent="0.2">
      <c r="J1531" s="2"/>
      <c r="K1531" s="2"/>
      <c r="S1531" s="81"/>
    </row>
    <row r="1532" spans="10:19" x14ac:dyDescent="0.2">
      <c r="S1532" s="81"/>
    </row>
    <row r="1533" spans="10:19" x14ac:dyDescent="0.2">
      <c r="S1533" s="81"/>
    </row>
    <row r="1534" spans="10:19" x14ac:dyDescent="0.2">
      <c r="S1534" s="81"/>
    </row>
    <row r="1535" spans="10:19" x14ac:dyDescent="0.2">
      <c r="S1535" s="81"/>
    </row>
    <row r="1536" spans="10:19" x14ac:dyDescent="0.2">
      <c r="S1536" s="81"/>
    </row>
    <row r="1537" spans="19:19" x14ac:dyDescent="0.2">
      <c r="S1537" s="81"/>
    </row>
    <row r="1538" spans="19:19" x14ac:dyDescent="0.2">
      <c r="S1538" s="81"/>
    </row>
    <row r="1539" spans="19:19" x14ac:dyDescent="0.2">
      <c r="S1539" s="81"/>
    </row>
    <row r="1540" spans="19:19" x14ac:dyDescent="0.2">
      <c r="S1540" s="81"/>
    </row>
    <row r="1541" spans="19:19" x14ac:dyDescent="0.2">
      <c r="S1541" s="81"/>
    </row>
    <row r="1542" spans="19:19" x14ac:dyDescent="0.2">
      <c r="S1542" s="81"/>
    </row>
    <row r="1543" spans="19:19" x14ac:dyDescent="0.2">
      <c r="S1543" s="81"/>
    </row>
    <row r="1544" spans="19:19" x14ac:dyDescent="0.2">
      <c r="S1544" s="81"/>
    </row>
    <row r="1545" spans="19:19" x14ac:dyDescent="0.2">
      <c r="S1545" s="81"/>
    </row>
    <row r="1546" spans="19:19" x14ac:dyDescent="0.2">
      <c r="S1546" s="81"/>
    </row>
    <row r="1547" spans="19:19" x14ac:dyDescent="0.2">
      <c r="S1547" s="81"/>
    </row>
    <row r="1548" spans="19:19" x14ac:dyDescent="0.2">
      <c r="S1548" s="81"/>
    </row>
    <row r="1549" spans="19:19" x14ac:dyDescent="0.2">
      <c r="S1549" s="81"/>
    </row>
    <row r="1550" spans="19:19" x14ac:dyDescent="0.2">
      <c r="S1550" s="81"/>
    </row>
    <row r="1551" spans="19:19" x14ac:dyDescent="0.2">
      <c r="S1551" s="81"/>
    </row>
    <row r="1552" spans="19:19" x14ac:dyDescent="0.2">
      <c r="S1552" s="81"/>
    </row>
    <row r="1553" spans="19:19" x14ac:dyDescent="0.2">
      <c r="S1553" s="81"/>
    </row>
    <row r="1554" spans="19:19" x14ac:dyDescent="0.2">
      <c r="S1554" s="81"/>
    </row>
    <row r="1555" spans="19:19" x14ac:dyDescent="0.2">
      <c r="S1555" s="81"/>
    </row>
    <row r="1556" spans="19:19" x14ac:dyDescent="0.2">
      <c r="S1556" s="81"/>
    </row>
    <row r="1557" spans="19:19" x14ac:dyDescent="0.2">
      <c r="S1557" s="81"/>
    </row>
    <row r="1558" spans="19:19" x14ac:dyDescent="0.2">
      <c r="S1558" s="81"/>
    </row>
    <row r="1559" spans="19:19" x14ac:dyDescent="0.2">
      <c r="S1559" s="81"/>
    </row>
    <row r="1560" spans="19:19" x14ac:dyDescent="0.2">
      <c r="S1560" s="81"/>
    </row>
    <row r="1561" spans="19:19" x14ac:dyDescent="0.2">
      <c r="S1561" s="81"/>
    </row>
    <row r="1562" spans="19:19" x14ac:dyDescent="0.2">
      <c r="S1562" s="81"/>
    </row>
    <row r="1563" spans="19:19" x14ac:dyDescent="0.2">
      <c r="S1563" s="81"/>
    </row>
    <row r="1564" spans="19:19" x14ac:dyDescent="0.2">
      <c r="S1564" s="81"/>
    </row>
    <row r="1565" spans="19:19" x14ac:dyDescent="0.2">
      <c r="S1565" s="81"/>
    </row>
    <row r="1566" spans="19:19" x14ac:dyDescent="0.2">
      <c r="S1566" s="81"/>
    </row>
    <row r="1567" spans="19:19" x14ac:dyDescent="0.2">
      <c r="S1567" s="81"/>
    </row>
    <row r="1568" spans="19:19" x14ac:dyDescent="0.2">
      <c r="S1568" s="81"/>
    </row>
    <row r="1569" spans="19:19" x14ac:dyDescent="0.2">
      <c r="S1569" s="81"/>
    </row>
    <row r="1570" spans="19:19" x14ac:dyDescent="0.2">
      <c r="S1570" s="81"/>
    </row>
    <row r="1571" spans="19:19" x14ac:dyDescent="0.2">
      <c r="S1571" s="81"/>
    </row>
    <row r="1572" spans="19:19" x14ac:dyDescent="0.2">
      <c r="S1572" s="81"/>
    </row>
    <row r="1573" spans="19:19" x14ac:dyDescent="0.2">
      <c r="S1573" s="81"/>
    </row>
    <row r="1574" spans="19:19" x14ac:dyDescent="0.2">
      <c r="S1574" s="81"/>
    </row>
    <row r="1575" spans="19:19" x14ac:dyDescent="0.2">
      <c r="S1575" s="81"/>
    </row>
    <row r="1576" spans="19:19" x14ac:dyDescent="0.2">
      <c r="S1576" s="81"/>
    </row>
    <row r="1577" spans="19:19" x14ac:dyDescent="0.2">
      <c r="S1577" s="81"/>
    </row>
    <row r="1578" spans="19:19" x14ac:dyDescent="0.2">
      <c r="S1578" s="81"/>
    </row>
    <row r="1579" spans="19:19" x14ac:dyDescent="0.2">
      <c r="S1579" s="81"/>
    </row>
    <row r="1580" spans="19:19" x14ac:dyDescent="0.2">
      <c r="S1580" s="81"/>
    </row>
    <row r="1581" spans="19:19" x14ac:dyDescent="0.2">
      <c r="S1581" s="81"/>
    </row>
    <row r="1582" spans="19:19" x14ac:dyDescent="0.2">
      <c r="S1582" s="81"/>
    </row>
    <row r="1583" spans="19:19" x14ac:dyDescent="0.2">
      <c r="S1583" s="81"/>
    </row>
    <row r="1584" spans="19:19" x14ac:dyDescent="0.2">
      <c r="S1584" s="81"/>
    </row>
    <row r="1585" spans="19:19" x14ac:dyDescent="0.2">
      <c r="S1585" s="81"/>
    </row>
    <row r="1586" spans="19:19" x14ac:dyDescent="0.2">
      <c r="S1586" s="81"/>
    </row>
    <row r="1587" spans="19:19" x14ac:dyDescent="0.2">
      <c r="S1587" s="81"/>
    </row>
    <row r="1588" spans="19:19" x14ac:dyDescent="0.2">
      <c r="S1588" s="81"/>
    </row>
    <row r="1589" spans="19:19" x14ac:dyDescent="0.2">
      <c r="S1589" s="81"/>
    </row>
    <row r="1590" spans="19:19" x14ac:dyDescent="0.2">
      <c r="S1590" s="81"/>
    </row>
    <row r="1591" spans="19:19" x14ac:dyDescent="0.2">
      <c r="S1591" s="81"/>
    </row>
    <row r="1592" spans="19:19" x14ac:dyDescent="0.2">
      <c r="S1592" s="81"/>
    </row>
    <row r="1593" spans="19:19" x14ac:dyDescent="0.2">
      <c r="S1593" s="81"/>
    </row>
    <row r="1594" spans="19:19" x14ac:dyDescent="0.2">
      <c r="S1594" s="81"/>
    </row>
    <row r="1595" spans="19:19" x14ac:dyDescent="0.2">
      <c r="S1595" s="81"/>
    </row>
    <row r="1596" spans="19:19" x14ac:dyDescent="0.2">
      <c r="S1596" s="81"/>
    </row>
    <row r="1597" spans="19:19" x14ac:dyDescent="0.2">
      <c r="S1597" s="81"/>
    </row>
    <row r="1598" spans="19:19" x14ac:dyDescent="0.2">
      <c r="S1598" s="81"/>
    </row>
    <row r="1599" spans="19:19" x14ac:dyDescent="0.2">
      <c r="S1599" s="81"/>
    </row>
    <row r="1600" spans="19:19" x14ac:dyDescent="0.2">
      <c r="S1600" s="81"/>
    </row>
    <row r="1601" spans="19:19" x14ac:dyDescent="0.2">
      <c r="S1601" s="81"/>
    </row>
    <row r="1602" spans="19:19" x14ac:dyDescent="0.2">
      <c r="S1602" s="81"/>
    </row>
    <row r="1603" spans="19:19" x14ac:dyDescent="0.2">
      <c r="S1603" s="81"/>
    </row>
    <row r="1604" spans="19:19" x14ac:dyDescent="0.2">
      <c r="S1604" s="81"/>
    </row>
    <row r="1605" spans="19:19" x14ac:dyDescent="0.2">
      <c r="S1605" s="81"/>
    </row>
    <row r="1606" spans="19:19" x14ac:dyDescent="0.2">
      <c r="S1606" s="81"/>
    </row>
    <row r="1607" spans="19:19" x14ac:dyDescent="0.2">
      <c r="S1607" s="81"/>
    </row>
    <row r="1608" spans="19:19" x14ac:dyDescent="0.2">
      <c r="S1608" s="81"/>
    </row>
    <row r="1609" spans="19:19" x14ac:dyDescent="0.2">
      <c r="S1609" s="81"/>
    </row>
    <row r="1610" spans="19:19" x14ac:dyDescent="0.2">
      <c r="S1610" s="81"/>
    </row>
    <row r="1611" spans="19:19" x14ac:dyDescent="0.2">
      <c r="S1611" s="81"/>
    </row>
    <row r="1612" spans="19:19" x14ac:dyDescent="0.2">
      <c r="S1612" s="81"/>
    </row>
    <row r="1613" spans="19:19" x14ac:dyDescent="0.2">
      <c r="S1613" s="81"/>
    </row>
    <row r="1614" spans="19:19" x14ac:dyDescent="0.2">
      <c r="S1614" s="81"/>
    </row>
    <row r="1615" spans="19:19" x14ac:dyDescent="0.2">
      <c r="S1615" s="81"/>
    </row>
    <row r="1616" spans="19:19" x14ac:dyDescent="0.2">
      <c r="S1616" s="81"/>
    </row>
    <row r="1617" spans="19:19" x14ac:dyDescent="0.2">
      <c r="S1617" s="81"/>
    </row>
    <row r="1618" spans="19:19" x14ac:dyDescent="0.2">
      <c r="S1618" s="81"/>
    </row>
    <row r="1619" spans="19:19" x14ac:dyDescent="0.2">
      <c r="S1619" s="81"/>
    </row>
    <row r="1620" spans="19:19" x14ac:dyDescent="0.2">
      <c r="S1620" s="81"/>
    </row>
    <row r="1621" spans="19:19" x14ac:dyDescent="0.2">
      <c r="S1621" s="81"/>
    </row>
    <row r="1622" spans="19:19" x14ac:dyDescent="0.2">
      <c r="S1622" s="81"/>
    </row>
    <row r="1623" spans="19:19" x14ac:dyDescent="0.2">
      <c r="S1623" s="81"/>
    </row>
    <row r="1624" spans="19:19" x14ac:dyDescent="0.2">
      <c r="S1624" s="81"/>
    </row>
    <row r="1625" spans="19:19" x14ac:dyDescent="0.2">
      <c r="S1625" s="81"/>
    </row>
    <row r="1626" spans="19:19" x14ac:dyDescent="0.2">
      <c r="S1626" s="81"/>
    </row>
    <row r="1627" spans="19:19" x14ac:dyDescent="0.2">
      <c r="S1627" s="81"/>
    </row>
    <row r="1628" spans="19:19" x14ac:dyDescent="0.2">
      <c r="S1628" s="81"/>
    </row>
    <row r="1629" spans="19:19" x14ac:dyDescent="0.2">
      <c r="S1629" s="81"/>
    </row>
    <row r="1630" spans="19:19" x14ac:dyDescent="0.2">
      <c r="S1630" s="81"/>
    </row>
    <row r="1631" spans="19:19" x14ac:dyDescent="0.2">
      <c r="S1631" s="81"/>
    </row>
    <row r="1632" spans="19:19" x14ac:dyDescent="0.2">
      <c r="S1632" s="81"/>
    </row>
    <row r="1633" spans="19:19" x14ac:dyDescent="0.2">
      <c r="S1633" s="81"/>
    </row>
    <row r="1634" spans="19:19" x14ac:dyDescent="0.2">
      <c r="S1634" s="81"/>
    </row>
    <row r="1635" spans="19:19" x14ac:dyDescent="0.2">
      <c r="S1635" s="81"/>
    </row>
    <row r="1636" spans="19:19" x14ac:dyDescent="0.2">
      <c r="S1636" s="81"/>
    </row>
    <row r="1637" spans="19:19" x14ac:dyDescent="0.2">
      <c r="S1637" s="81"/>
    </row>
    <row r="1638" spans="19:19" x14ac:dyDescent="0.2">
      <c r="S1638" s="81"/>
    </row>
    <row r="1639" spans="19:19" x14ac:dyDescent="0.2">
      <c r="S1639" s="81"/>
    </row>
    <row r="1640" spans="19:19" x14ac:dyDescent="0.2">
      <c r="S1640" s="81"/>
    </row>
    <row r="1641" spans="19:19" x14ac:dyDescent="0.2">
      <c r="S1641" s="81"/>
    </row>
    <row r="1642" spans="19:19" x14ac:dyDescent="0.2">
      <c r="S1642" s="81"/>
    </row>
    <row r="1643" spans="19:19" x14ac:dyDescent="0.2">
      <c r="S1643" s="81"/>
    </row>
    <row r="1644" spans="19:19" x14ac:dyDescent="0.2">
      <c r="S1644" s="81"/>
    </row>
    <row r="1645" spans="19:19" x14ac:dyDescent="0.2">
      <c r="S1645" s="81"/>
    </row>
    <row r="1646" spans="19:19" x14ac:dyDescent="0.2">
      <c r="S1646" s="81"/>
    </row>
    <row r="1647" spans="19:19" x14ac:dyDescent="0.2">
      <c r="S1647" s="81"/>
    </row>
    <row r="1648" spans="19:19" x14ac:dyDescent="0.2">
      <c r="S1648" s="81"/>
    </row>
    <row r="1649" spans="19:19" x14ac:dyDescent="0.2">
      <c r="S1649" s="81"/>
    </row>
    <row r="1650" spans="19:19" x14ac:dyDescent="0.2">
      <c r="S1650" s="81"/>
    </row>
    <row r="1651" spans="19:19" x14ac:dyDescent="0.2">
      <c r="S1651" s="81"/>
    </row>
    <row r="1652" spans="19:19" x14ac:dyDescent="0.2">
      <c r="S1652" s="81"/>
    </row>
    <row r="1653" spans="19:19" x14ac:dyDescent="0.2">
      <c r="S1653" s="81"/>
    </row>
    <row r="1654" spans="19:19" x14ac:dyDescent="0.2">
      <c r="S1654" s="81"/>
    </row>
    <row r="1655" spans="19:19" x14ac:dyDescent="0.2">
      <c r="S1655" s="81"/>
    </row>
    <row r="1656" spans="19:19" x14ac:dyDescent="0.2">
      <c r="S1656" s="81"/>
    </row>
    <row r="1657" spans="19:19" x14ac:dyDescent="0.2">
      <c r="S1657" s="81"/>
    </row>
    <row r="1658" spans="19:19" x14ac:dyDescent="0.2">
      <c r="S1658" s="81"/>
    </row>
    <row r="1659" spans="19:19" x14ac:dyDescent="0.2">
      <c r="S1659" s="81"/>
    </row>
    <row r="1660" spans="19:19" x14ac:dyDescent="0.2">
      <c r="S1660" s="81"/>
    </row>
    <row r="1661" spans="19:19" x14ac:dyDescent="0.2">
      <c r="S1661" s="81"/>
    </row>
    <row r="1662" spans="19:19" x14ac:dyDescent="0.2">
      <c r="S1662" s="81"/>
    </row>
    <row r="1663" spans="19:19" x14ac:dyDescent="0.2">
      <c r="S1663" s="81"/>
    </row>
    <row r="1664" spans="19:19" x14ac:dyDescent="0.2">
      <c r="S1664" s="81"/>
    </row>
    <row r="1665" spans="19:19" x14ac:dyDescent="0.2">
      <c r="S1665" s="81"/>
    </row>
    <row r="1666" spans="19:19" x14ac:dyDescent="0.2">
      <c r="S1666" s="81"/>
    </row>
    <row r="1667" spans="19:19" x14ac:dyDescent="0.2">
      <c r="S1667" s="81"/>
    </row>
    <row r="1668" spans="19:19" x14ac:dyDescent="0.2">
      <c r="S1668" s="81"/>
    </row>
    <row r="1669" spans="19:19" x14ac:dyDescent="0.2">
      <c r="S1669" s="81"/>
    </row>
    <row r="1670" spans="19:19" x14ac:dyDescent="0.2">
      <c r="S1670" s="81"/>
    </row>
    <row r="1671" spans="19:19" x14ac:dyDescent="0.2">
      <c r="S1671" s="81"/>
    </row>
    <row r="1672" spans="19:19" x14ac:dyDescent="0.2">
      <c r="S1672" s="81"/>
    </row>
    <row r="1673" spans="19:19" x14ac:dyDescent="0.2">
      <c r="S1673" s="81"/>
    </row>
    <row r="1674" spans="19:19" x14ac:dyDescent="0.2">
      <c r="S1674" s="81"/>
    </row>
    <row r="1675" spans="19:19" x14ac:dyDescent="0.2">
      <c r="S1675" s="81"/>
    </row>
    <row r="1676" spans="19:19" x14ac:dyDescent="0.2">
      <c r="S1676" s="81"/>
    </row>
    <row r="1677" spans="19:19" x14ac:dyDescent="0.2">
      <c r="S1677" s="81"/>
    </row>
    <row r="1678" spans="19:19" x14ac:dyDescent="0.2">
      <c r="S1678" s="81"/>
    </row>
    <row r="1679" spans="19:19" x14ac:dyDescent="0.2">
      <c r="S1679" s="81"/>
    </row>
    <row r="1680" spans="19:19" x14ac:dyDescent="0.2">
      <c r="S1680" s="81"/>
    </row>
    <row r="1681" spans="19:19" x14ac:dyDescent="0.2">
      <c r="S1681" s="81"/>
    </row>
    <row r="1682" spans="19:19" x14ac:dyDescent="0.2">
      <c r="S1682" s="81"/>
    </row>
    <row r="1683" spans="19:19" x14ac:dyDescent="0.2">
      <c r="S1683" s="81"/>
    </row>
    <row r="1684" spans="19:19" x14ac:dyDescent="0.2">
      <c r="S1684" s="81"/>
    </row>
    <row r="1685" spans="19:19" x14ac:dyDescent="0.2">
      <c r="S1685" s="81"/>
    </row>
    <row r="1686" spans="19:19" x14ac:dyDescent="0.2">
      <c r="S1686" s="81"/>
    </row>
    <row r="1687" spans="19:19" x14ac:dyDescent="0.2">
      <c r="S1687" s="81"/>
    </row>
    <row r="1688" spans="19:19" x14ac:dyDescent="0.2">
      <c r="S1688" s="81"/>
    </row>
    <row r="1689" spans="19:19" x14ac:dyDescent="0.2">
      <c r="S1689" s="81"/>
    </row>
    <row r="1690" spans="19:19" x14ac:dyDescent="0.2">
      <c r="S1690" s="81"/>
    </row>
    <row r="1691" spans="19:19" x14ac:dyDescent="0.2">
      <c r="S1691" s="81"/>
    </row>
    <row r="1692" spans="19:19" x14ac:dyDescent="0.2">
      <c r="S1692" s="81"/>
    </row>
    <row r="1693" spans="19:19" x14ac:dyDescent="0.2">
      <c r="S1693" s="81"/>
    </row>
    <row r="1694" spans="19:19" x14ac:dyDescent="0.2">
      <c r="S1694" s="81"/>
    </row>
    <row r="1695" spans="19:19" x14ac:dyDescent="0.2">
      <c r="S1695" s="81"/>
    </row>
    <row r="1696" spans="19:19" x14ac:dyDescent="0.2">
      <c r="S1696" s="81"/>
    </row>
    <row r="1697" spans="19:19" x14ac:dyDescent="0.2">
      <c r="S1697" s="81"/>
    </row>
    <row r="1698" spans="19:19" x14ac:dyDescent="0.2">
      <c r="S1698" s="81"/>
    </row>
    <row r="1699" spans="19:19" x14ac:dyDescent="0.2">
      <c r="S1699" s="81"/>
    </row>
    <row r="1700" spans="19:19" x14ac:dyDescent="0.2">
      <c r="S1700" s="81"/>
    </row>
    <row r="1701" spans="19:19" x14ac:dyDescent="0.2">
      <c r="S1701" s="81"/>
    </row>
    <row r="1702" spans="19:19" x14ac:dyDescent="0.2">
      <c r="S1702" s="81"/>
    </row>
    <row r="1703" spans="19:19" x14ac:dyDescent="0.2">
      <c r="S1703" s="81"/>
    </row>
    <row r="1704" spans="19:19" x14ac:dyDescent="0.2">
      <c r="S1704" s="81"/>
    </row>
    <row r="1705" spans="19:19" x14ac:dyDescent="0.2">
      <c r="S1705" s="81"/>
    </row>
    <row r="1706" spans="19:19" x14ac:dyDescent="0.2">
      <c r="S1706" s="81"/>
    </row>
    <row r="1707" spans="19:19" x14ac:dyDescent="0.2">
      <c r="S1707" s="81"/>
    </row>
    <row r="1708" spans="19:19" x14ac:dyDescent="0.2">
      <c r="S1708" s="81"/>
    </row>
    <row r="1709" spans="19:19" x14ac:dyDescent="0.2">
      <c r="S1709" s="81"/>
    </row>
    <row r="1710" spans="19:19" x14ac:dyDescent="0.2">
      <c r="S1710" s="81"/>
    </row>
    <row r="1711" spans="19:19" x14ac:dyDescent="0.2">
      <c r="S1711" s="81"/>
    </row>
    <row r="1712" spans="19:19" x14ac:dyDescent="0.2">
      <c r="S1712" s="81"/>
    </row>
    <row r="1713" spans="19:19" x14ac:dyDescent="0.2">
      <c r="S1713" s="81"/>
    </row>
    <row r="1714" spans="19:19" x14ac:dyDescent="0.2">
      <c r="S1714" s="81"/>
    </row>
    <row r="1715" spans="19:19" x14ac:dyDescent="0.2">
      <c r="S1715" s="81"/>
    </row>
    <row r="1716" spans="19:19" x14ac:dyDescent="0.2">
      <c r="S1716" s="81"/>
    </row>
    <row r="1717" spans="19:19" x14ac:dyDescent="0.2">
      <c r="S1717" s="81"/>
    </row>
    <row r="1718" spans="19:19" x14ac:dyDescent="0.2">
      <c r="S1718" s="81"/>
    </row>
    <row r="1719" spans="19:19" x14ac:dyDescent="0.2">
      <c r="S1719" s="81"/>
    </row>
    <row r="1720" spans="19:19" x14ac:dyDescent="0.2">
      <c r="S1720" s="81"/>
    </row>
    <row r="1721" spans="19:19" x14ac:dyDescent="0.2">
      <c r="S1721" s="81"/>
    </row>
    <row r="1722" spans="19:19" x14ac:dyDescent="0.2">
      <c r="S1722" s="81"/>
    </row>
    <row r="1723" spans="19:19" x14ac:dyDescent="0.2">
      <c r="S1723" s="81"/>
    </row>
    <row r="1724" spans="19:19" x14ac:dyDescent="0.2">
      <c r="S1724" s="81"/>
    </row>
    <row r="1725" spans="19:19" x14ac:dyDescent="0.2">
      <c r="S1725" s="81"/>
    </row>
    <row r="1726" spans="19:19" x14ac:dyDescent="0.2">
      <c r="S1726" s="81"/>
    </row>
    <row r="1727" spans="19:19" x14ac:dyDescent="0.2">
      <c r="S1727" s="81"/>
    </row>
    <row r="1728" spans="19:19" x14ac:dyDescent="0.2">
      <c r="S1728" s="81"/>
    </row>
    <row r="1729" spans="19:19" x14ac:dyDescent="0.2">
      <c r="S1729" s="81"/>
    </row>
    <row r="1730" spans="19:19" x14ac:dyDescent="0.2">
      <c r="S1730" s="81"/>
    </row>
    <row r="1731" spans="19:19" x14ac:dyDescent="0.2">
      <c r="S1731" s="81"/>
    </row>
    <row r="1732" spans="19:19" x14ac:dyDescent="0.2">
      <c r="S1732" s="81"/>
    </row>
    <row r="1733" spans="19:19" x14ac:dyDescent="0.2">
      <c r="S1733" s="81"/>
    </row>
    <row r="1734" spans="19:19" x14ac:dyDescent="0.2">
      <c r="S1734" s="81"/>
    </row>
    <row r="1735" spans="19:19" x14ac:dyDescent="0.2">
      <c r="S1735" s="81"/>
    </row>
    <row r="1736" spans="19:19" x14ac:dyDescent="0.2">
      <c r="S1736" s="81"/>
    </row>
    <row r="1737" spans="19:19" x14ac:dyDescent="0.2">
      <c r="S1737" s="81"/>
    </row>
    <row r="1738" spans="19:19" x14ac:dyDescent="0.2">
      <c r="S1738" s="81"/>
    </row>
    <row r="1739" spans="19:19" x14ac:dyDescent="0.2">
      <c r="S1739" s="81"/>
    </row>
    <row r="1740" spans="19:19" x14ac:dyDescent="0.2">
      <c r="S1740" s="81"/>
    </row>
    <row r="1741" spans="19:19" x14ac:dyDescent="0.2">
      <c r="S1741" s="81"/>
    </row>
    <row r="1742" spans="19:19" x14ac:dyDescent="0.2">
      <c r="S1742" s="81"/>
    </row>
    <row r="1743" spans="19:19" x14ac:dyDescent="0.2">
      <c r="S1743" s="81"/>
    </row>
    <row r="1744" spans="19:19" x14ac:dyDescent="0.2">
      <c r="S1744" s="81"/>
    </row>
    <row r="1745" spans="19:19" x14ac:dyDescent="0.2">
      <c r="S1745" s="81"/>
    </row>
    <row r="1746" spans="19:19" x14ac:dyDescent="0.2">
      <c r="S1746" s="81"/>
    </row>
    <row r="1747" spans="19:19" x14ac:dyDescent="0.2">
      <c r="S1747" s="81"/>
    </row>
    <row r="1748" spans="19:19" x14ac:dyDescent="0.2">
      <c r="S1748" s="81"/>
    </row>
    <row r="1749" spans="19:19" x14ac:dyDescent="0.2">
      <c r="S1749" s="81"/>
    </row>
    <row r="1750" spans="19:19" x14ac:dyDescent="0.2">
      <c r="S1750" s="81"/>
    </row>
    <row r="1751" spans="19:19" x14ac:dyDescent="0.2">
      <c r="S1751" s="81"/>
    </row>
    <row r="1752" spans="19:19" x14ac:dyDescent="0.2">
      <c r="S1752" s="81"/>
    </row>
    <row r="1753" spans="19:19" x14ac:dyDescent="0.2">
      <c r="S1753" s="81"/>
    </row>
    <row r="1754" spans="19:19" x14ac:dyDescent="0.2">
      <c r="S1754" s="81"/>
    </row>
    <row r="1755" spans="19:19" x14ac:dyDescent="0.2">
      <c r="S1755" s="81"/>
    </row>
    <row r="1756" spans="19:19" x14ac:dyDescent="0.2">
      <c r="S1756" s="81"/>
    </row>
    <row r="1757" spans="19:19" x14ac:dyDescent="0.2">
      <c r="S1757" s="81"/>
    </row>
    <row r="1758" spans="19:19" x14ac:dyDescent="0.2">
      <c r="S1758" s="81"/>
    </row>
    <row r="1759" spans="19:19" x14ac:dyDescent="0.2">
      <c r="S1759" s="81"/>
    </row>
    <row r="1760" spans="19:19" x14ac:dyDescent="0.2">
      <c r="S1760" s="81"/>
    </row>
    <row r="1761" spans="19:19" x14ac:dyDescent="0.2">
      <c r="S1761" s="81"/>
    </row>
    <row r="1762" spans="19:19" x14ac:dyDescent="0.2">
      <c r="S1762" s="81"/>
    </row>
    <row r="1763" spans="19:19" x14ac:dyDescent="0.2">
      <c r="S1763" s="81"/>
    </row>
    <row r="1764" spans="19:19" x14ac:dyDescent="0.2">
      <c r="S1764" s="81"/>
    </row>
    <row r="1765" spans="19:19" x14ac:dyDescent="0.2">
      <c r="S1765" s="81"/>
    </row>
    <row r="1766" spans="19:19" x14ac:dyDescent="0.2">
      <c r="S1766" s="81"/>
    </row>
    <row r="1767" spans="19:19" x14ac:dyDescent="0.2">
      <c r="S1767" s="81"/>
    </row>
    <row r="1768" spans="19:19" x14ac:dyDescent="0.2">
      <c r="S1768" s="81"/>
    </row>
    <row r="1769" spans="19:19" x14ac:dyDescent="0.2">
      <c r="S1769" s="81"/>
    </row>
    <row r="1770" spans="19:19" x14ac:dyDescent="0.2">
      <c r="S1770" s="81"/>
    </row>
    <row r="1771" spans="19:19" x14ac:dyDescent="0.2">
      <c r="S1771" s="81"/>
    </row>
    <row r="1772" spans="19:19" x14ac:dyDescent="0.2">
      <c r="S1772" s="81"/>
    </row>
    <row r="1773" spans="19:19" x14ac:dyDescent="0.2">
      <c r="S1773" s="81"/>
    </row>
    <row r="1774" spans="19:19" x14ac:dyDescent="0.2">
      <c r="S1774" s="81"/>
    </row>
    <row r="1775" spans="19:19" x14ac:dyDescent="0.2">
      <c r="S1775" s="81"/>
    </row>
    <row r="1776" spans="19:19" x14ac:dyDescent="0.2">
      <c r="S1776" s="81"/>
    </row>
    <row r="1777" spans="19:19" x14ac:dyDescent="0.2">
      <c r="S1777" s="81"/>
    </row>
    <row r="1778" spans="19:19" x14ac:dyDescent="0.2">
      <c r="S1778" s="81"/>
    </row>
    <row r="1779" spans="19:19" x14ac:dyDescent="0.2">
      <c r="S1779" s="81"/>
    </row>
    <row r="1780" spans="19:19" x14ac:dyDescent="0.2">
      <c r="S1780" s="81"/>
    </row>
    <row r="1781" spans="19:19" x14ac:dyDescent="0.2">
      <c r="S1781" s="81"/>
    </row>
    <row r="1782" spans="19:19" x14ac:dyDescent="0.2">
      <c r="S1782" s="81"/>
    </row>
    <row r="1783" spans="19:19" x14ac:dyDescent="0.2">
      <c r="S1783" s="81"/>
    </row>
    <row r="1784" spans="19:19" x14ac:dyDescent="0.2">
      <c r="S1784" s="81"/>
    </row>
    <row r="1785" spans="19:19" x14ac:dyDescent="0.2">
      <c r="S1785" s="81"/>
    </row>
    <row r="1786" spans="19:19" x14ac:dyDescent="0.2">
      <c r="S1786" s="81"/>
    </row>
    <row r="1787" spans="19:19" x14ac:dyDescent="0.2">
      <c r="S1787" s="81"/>
    </row>
    <row r="1788" spans="19:19" x14ac:dyDescent="0.2">
      <c r="S1788" s="81"/>
    </row>
    <row r="1789" spans="19:19" x14ac:dyDescent="0.2">
      <c r="S1789" s="81"/>
    </row>
    <row r="1790" spans="19:19" x14ac:dyDescent="0.2">
      <c r="S1790" s="81"/>
    </row>
    <row r="1791" spans="19:19" x14ac:dyDescent="0.2">
      <c r="S1791" s="81"/>
    </row>
    <row r="1792" spans="19:19" x14ac:dyDescent="0.2">
      <c r="S1792" s="81"/>
    </row>
    <row r="1793" spans="19:19" x14ac:dyDescent="0.2">
      <c r="S1793" s="81"/>
    </row>
    <row r="1794" spans="19:19" x14ac:dyDescent="0.2">
      <c r="S1794" s="81"/>
    </row>
    <row r="1795" spans="19:19" x14ac:dyDescent="0.2">
      <c r="S1795" s="81"/>
    </row>
    <row r="1796" spans="19:19" x14ac:dyDescent="0.2">
      <c r="S1796" s="81"/>
    </row>
    <row r="1797" spans="19:19" x14ac:dyDescent="0.2">
      <c r="S1797" s="81"/>
    </row>
    <row r="1798" spans="19:19" x14ac:dyDescent="0.2">
      <c r="S1798" s="81"/>
    </row>
    <row r="1799" spans="19:19" x14ac:dyDescent="0.2">
      <c r="S1799" s="81"/>
    </row>
    <row r="1800" spans="19:19" x14ac:dyDescent="0.2">
      <c r="S1800" s="81"/>
    </row>
    <row r="1801" spans="19:19" x14ac:dyDescent="0.2">
      <c r="S1801" s="81"/>
    </row>
    <row r="1802" spans="19:19" x14ac:dyDescent="0.2">
      <c r="S1802" s="81"/>
    </row>
    <row r="1803" spans="19:19" x14ac:dyDescent="0.2">
      <c r="S1803" s="81"/>
    </row>
    <row r="1804" spans="19:19" x14ac:dyDescent="0.2">
      <c r="S1804" s="81"/>
    </row>
    <row r="1805" spans="19:19" x14ac:dyDescent="0.2">
      <c r="S1805" s="81"/>
    </row>
    <row r="1806" spans="19:19" x14ac:dyDescent="0.2">
      <c r="S1806" s="81"/>
    </row>
    <row r="1807" spans="19:19" x14ac:dyDescent="0.2">
      <c r="S1807" s="81"/>
    </row>
    <row r="1808" spans="19:19" x14ac:dyDescent="0.2">
      <c r="S1808" s="81"/>
    </row>
    <row r="1809" spans="19:19" x14ac:dyDescent="0.2">
      <c r="S1809" s="81"/>
    </row>
    <row r="1810" spans="19:19" x14ac:dyDescent="0.2">
      <c r="S1810" s="81"/>
    </row>
    <row r="1811" spans="19:19" x14ac:dyDescent="0.2">
      <c r="S1811" s="81"/>
    </row>
    <row r="1812" spans="19:19" x14ac:dyDescent="0.2">
      <c r="S1812" s="81"/>
    </row>
    <row r="1813" spans="19:19" x14ac:dyDescent="0.2">
      <c r="S1813" s="81"/>
    </row>
    <row r="1814" spans="19:19" x14ac:dyDescent="0.2">
      <c r="S1814" s="81"/>
    </row>
    <row r="1815" spans="19:19" x14ac:dyDescent="0.2">
      <c r="S1815" s="81"/>
    </row>
    <row r="1816" spans="19:19" x14ac:dyDescent="0.2">
      <c r="S1816" s="81"/>
    </row>
    <row r="1817" spans="19:19" x14ac:dyDescent="0.2">
      <c r="S1817" s="81"/>
    </row>
    <row r="1818" spans="19:19" x14ac:dyDescent="0.2">
      <c r="S1818" s="81"/>
    </row>
    <row r="1819" spans="19:19" x14ac:dyDescent="0.2">
      <c r="S1819" s="81"/>
    </row>
    <row r="1820" spans="19:19" x14ac:dyDescent="0.2">
      <c r="S1820" s="81"/>
    </row>
    <row r="1821" spans="19:19" x14ac:dyDescent="0.2">
      <c r="S1821" s="81"/>
    </row>
    <row r="1822" spans="19:19" x14ac:dyDescent="0.2">
      <c r="S1822" s="81"/>
    </row>
    <row r="1823" spans="19:19" x14ac:dyDescent="0.2">
      <c r="S1823" s="81"/>
    </row>
    <row r="1824" spans="19:19" x14ac:dyDescent="0.2">
      <c r="S1824" s="81"/>
    </row>
    <row r="1825" spans="19:19" x14ac:dyDescent="0.2">
      <c r="S1825" s="81"/>
    </row>
    <row r="1826" spans="19:19" x14ac:dyDescent="0.2">
      <c r="S1826" s="81"/>
    </row>
    <row r="1827" spans="19:19" x14ac:dyDescent="0.2">
      <c r="S1827" s="81"/>
    </row>
    <row r="1828" spans="19:19" x14ac:dyDescent="0.2">
      <c r="S1828" s="81"/>
    </row>
    <row r="1829" spans="19:19" x14ac:dyDescent="0.2">
      <c r="S1829" s="81"/>
    </row>
    <row r="1830" spans="19:19" x14ac:dyDescent="0.2">
      <c r="S1830" s="81"/>
    </row>
    <row r="1831" spans="19:19" x14ac:dyDescent="0.2">
      <c r="S1831" s="81"/>
    </row>
    <row r="1832" spans="19:19" x14ac:dyDescent="0.2">
      <c r="S1832" s="81"/>
    </row>
    <row r="1833" spans="19:19" x14ac:dyDescent="0.2">
      <c r="S1833" s="81"/>
    </row>
    <row r="1834" spans="19:19" x14ac:dyDescent="0.2">
      <c r="S1834" s="81"/>
    </row>
    <row r="1835" spans="19:19" x14ac:dyDescent="0.2">
      <c r="S1835" s="81"/>
    </row>
    <row r="1836" spans="19:19" x14ac:dyDescent="0.2">
      <c r="S1836" s="81"/>
    </row>
    <row r="1837" spans="19:19" x14ac:dyDescent="0.2">
      <c r="S1837" s="81"/>
    </row>
    <row r="1838" spans="19:19" x14ac:dyDescent="0.2">
      <c r="S1838" s="81"/>
    </row>
    <row r="1839" spans="19:19" x14ac:dyDescent="0.2">
      <c r="S1839" s="81"/>
    </row>
    <row r="1840" spans="19:19" x14ac:dyDescent="0.2">
      <c r="S1840" s="81"/>
    </row>
    <row r="1841" spans="19:19" x14ac:dyDescent="0.2">
      <c r="S1841" s="81"/>
    </row>
    <row r="1842" spans="19:19" x14ac:dyDescent="0.2">
      <c r="S1842" s="81"/>
    </row>
    <row r="1843" spans="19:19" x14ac:dyDescent="0.2">
      <c r="S1843" s="81"/>
    </row>
    <row r="1844" spans="19:19" x14ac:dyDescent="0.2">
      <c r="S1844" s="81"/>
    </row>
    <row r="1845" spans="19:19" x14ac:dyDescent="0.2">
      <c r="S1845" s="81"/>
    </row>
    <row r="1846" spans="19:19" x14ac:dyDescent="0.2">
      <c r="S1846" s="81"/>
    </row>
    <row r="1847" spans="19:19" x14ac:dyDescent="0.2">
      <c r="S1847" s="81"/>
    </row>
    <row r="1848" spans="19:19" x14ac:dyDescent="0.2">
      <c r="S1848" s="81"/>
    </row>
    <row r="1849" spans="19:19" x14ac:dyDescent="0.2">
      <c r="S1849" s="81"/>
    </row>
    <row r="1850" spans="19:19" x14ac:dyDescent="0.2">
      <c r="S1850" s="81"/>
    </row>
    <row r="1851" spans="19:19" x14ac:dyDescent="0.2">
      <c r="S1851" s="81"/>
    </row>
    <row r="1852" spans="19:19" x14ac:dyDescent="0.2">
      <c r="S1852" s="81"/>
    </row>
    <row r="1853" spans="19:19" x14ac:dyDescent="0.2">
      <c r="S1853" s="81"/>
    </row>
    <row r="1854" spans="19:19" x14ac:dyDescent="0.2">
      <c r="S1854" s="81"/>
    </row>
    <row r="1855" spans="19:19" x14ac:dyDescent="0.2">
      <c r="S1855" s="81"/>
    </row>
    <row r="1856" spans="19:19" x14ac:dyDescent="0.2">
      <c r="S1856" s="81"/>
    </row>
    <row r="1857" spans="19:19" x14ac:dyDescent="0.2">
      <c r="S1857" s="81"/>
    </row>
    <row r="1858" spans="19:19" x14ac:dyDescent="0.2">
      <c r="S1858" s="81"/>
    </row>
    <row r="1859" spans="19:19" x14ac:dyDescent="0.2">
      <c r="S1859" s="81"/>
    </row>
    <row r="1860" spans="19:19" x14ac:dyDescent="0.2">
      <c r="S1860" s="81"/>
    </row>
    <row r="1861" spans="19:19" x14ac:dyDescent="0.2">
      <c r="S1861" s="81"/>
    </row>
    <row r="1862" spans="19:19" x14ac:dyDescent="0.2">
      <c r="S1862" s="81"/>
    </row>
    <row r="1863" spans="19:19" x14ac:dyDescent="0.2">
      <c r="S1863" s="81"/>
    </row>
    <row r="1864" spans="19:19" x14ac:dyDescent="0.2">
      <c r="S1864" s="81"/>
    </row>
    <row r="1865" spans="19:19" x14ac:dyDescent="0.2">
      <c r="S1865" s="81"/>
    </row>
    <row r="1866" spans="19:19" x14ac:dyDescent="0.2">
      <c r="S1866" s="81"/>
    </row>
    <row r="1867" spans="19:19" x14ac:dyDescent="0.2">
      <c r="S1867" s="81"/>
    </row>
    <row r="1868" spans="19:19" x14ac:dyDescent="0.2">
      <c r="S1868" s="81"/>
    </row>
    <row r="1869" spans="19:19" x14ac:dyDescent="0.2">
      <c r="S1869" s="81"/>
    </row>
    <row r="1870" spans="19:19" x14ac:dyDescent="0.2">
      <c r="S1870" s="81"/>
    </row>
    <row r="1871" spans="19:19" x14ac:dyDescent="0.2">
      <c r="S1871" s="81"/>
    </row>
    <row r="1872" spans="19:19" x14ac:dyDescent="0.2">
      <c r="S1872" s="81"/>
    </row>
    <row r="1873" spans="19:19" x14ac:dyDescent="0.2">
      <c r="S1873" s="81"/>
    </row>
    <row r="1874" spans="19:19" x14ac:dyDescent="0.2">
      <c r="S1874" s="81"/>
    </row>
    <row r="1875" spans="19:19" x14ac:dyDescent="0.2">
      <c r="S1875" s="81"/>
    </row>
    <row r="1876" spans="19:19" x14ac:dyDescent="0.2">
      <c r="S1876" s="81"/>
    </row>
    <row r="1877" spans="19:19" x14ac:dyDescent="0.2">
      <c r="S1877" s="81"/>
    </row>
    <row r="1878" spans="19:19" x14ac:dyDescent="0.2">
      <c r="S1878" s="81"/>
    </row>
    <row r="1879" spans="19:19" x14ac:dyDescent="0.2">
      <c r="S1879" s="81"/>
    </row>
    <row r="1880" spans="19:19" x14ac:dyDescent="0.2">
      <c r="S1880" s="81"/>
    </row>
    <row r="1881" spans="19:19" x14ac:dyDescent="0.2">
      <c r="S1881" s="81"/>
    </row>
    <row r="1882" spans="19:19" x14ac:dyDescent="0.2">
      <c r="S1882" s="81"/>
    </row>
    <row r="1883" spans="19:19" x14ac:dyDescent="0.2">
      <c r="S1883" s="81"/>
    </row>
    <row r="1884" spans="19:19" x14ac:dyDescent="0.2">
      <c r="S1884" s="81"/>
    </row>
    <row r="1885" spans="19:19" x14ac:dyDescent="0.2">
      <c r="S1885" s="81"/>
    </row>
    <row r="1886" spans="19:19" x14ac:dyDescent="0.2">
      <c r="S1886" s="81"/>
    </row>
    <row r="1887" spans="19:19" x14ac:dyDescent="0.2">
      <c r="S1887" s="81"/>
    </row>
    <row r="1888" spans="19:19" x14ac:dyDescent="0.2">
      <c r="S1888" s="81"/>
    </row>
    <row r="1889" spans="19:19" x14ac:dyDescent="0.2">
      <c r="S1889" s="81"/>
    </row>
    <row r="1890" spans="19:19" x14ac:dyDescent="0.2">
      <c r="S1890" s="81"/>
    </row>
    <row r="1891" spans="19:19" x14ac:dyDescent="0.2">
      <c r="S1891" s="81"/>
    </row>
    <row r="1892" spans="19:19" x14ac:dyDescent="0.2">
      <c r="S1892" s="81"/>
    </row>
    <row r="1893" spans="19:19" x14ac:dyDescent="0.2">
      <c r="S1893" s="81"/>
    </row>
    <row r="1894" spans="19:19" x14ac:dyDescent="0.2">
      <c r="S1894" s="81"/>
    </row>
    <row r="1895" spans="19:19" x14ac:dyDescent="0.2">
      <c r="S1895" s="81"/>
    </row>
    <row r="1896" spans="19:19" x14ac:dyDescent="0.2">
      <c r="S1896" s="81"/>
    </row>
    <row r="1897" spans="19:19" x14ac:dyDescent="0.2">
      <c r="S1897" s="81"/>
    </row>
    <row r="1898" spans="19:19" x14ac:dyDescent="0.2">
      <c r="S1898" s="81"/>
    </row>
    <row r="1899" spans="19:19" x14ac:dyDescent="0.2">
      <c r="S1899" s="81"/>
    </row>
    <row r="1900" spans="19:19" x14ac:dyDescent="0.2">
      <c r="S1900" s="81"/>
    </row>
    <row r="1901" spans="19:19" x14ac:dyDescent="0.2">
      <c r="S1901" s="81"/>
    </row>
    <row r="1902" spans="19:19" x14ac:dyDescent="0.2">
      <c r="S1902" s="81"/>
    </row>
    <row r="1903" spans="19:19" x14ac:dyDescent="0.2">
      <c r="S1903" s="81"/>
    </row>
    <row r="1904" spans="19:19" x14ac:dyDescent="0.2">
      <c r="S1904" s="81"/>
    </row>
    <row r="1905" spans="19:19" x14ac:dyDescent="0.2">
      <c r="S1905" s="81"/>
    </row>
    <row r="1906" spans="19:19" x14ac:dyDescent="0.2">
      <c r="S1906" s="81"/>
    </row>
    <row r="1907" spans="19:19" x14ac:dyDescent="0.2">
      <c r="S1907" s="81"/>
    </row>
    <row r="1908" spans="19:19" x14ac:dyDescent="0.2">
      <c r="S1908" s="81"/>
    </row>
    <row r="1909" spans="19:19" x14ac:dyDescent="0.2">
      <c r="S1909" s="81"/>
    </row>
    <row r="1910" spans="19:19" x14ac:dyDescent="0.2">
      <c r="S1910" s="81"/>
    </row>
    <row r="1911" spans="19:19" x14ac:dyDescent="0.2">
      <c r="S1911" s="81"/>
    </row>
    <row r="1912" spans="19:19" x14ac:dyDescent="0.2">
      <c r="S1912" s="81"/>
    </row>
    <row r="1913" spans="19:19" x14ac:dyDescent="0.2">
      <c r="S1913" s="81"/>
    </row>
    <row r="1914" spans="19:19" x14ac:dyDescent="0.2">
      <c r="S1914" s="81"/>
    </row>
    <row r="1915" spans="19:19" x14ac:dyDescent="0.2">
      <c r="S1915" s="81"/>
    </row>
    <row r="1916" spans="19:19" x14ac:dyDescent="0.2">
      <c r="S1916" s="81"/>
    </row>
    <row r="1917" spans="19:19" x14ac:dyDescent="0.2">
      <c r="S1917" s="81"/>
    </row>
    <row r="1918" spans="19:19" x14ac:dyDescent="0.2">
      <c r="S1918" s="81"/>
    </row>
    <row r="1919" spans="19:19" x14ac:dyDescent="0.2">
      <c r="S1919" s="81"/>
    </row>
    <row r="1920" spans="19:19" x14ac:dyDescent="0.2">
      <c r="S1920" s="81"/>
    </row>
    <row r="1921" spans="19:19" x14ac:dyDescent="0.2">
      <c r="S1921" s="81"/>
    </row>
    <row r="1922" spans="19:19" x14ac:dyDescent="0.2">
      <c r="S1922" s="81"/>
    </row>
    <row r="1923" spans="19:19" x14ac:dyDescent="0.2">
      <c r="S1923" s="81"/>
    </row>
    <row r="1924" spans="19:19" x14ac:dyDescent="0.2">
      <c r="S1924" s="81"/>
    </row>
    <row r="1925" spans="19:19" x14ac:dyDescent="0.2">
      <c r="S1925" s="81"/>
    </row>
    <row r="1926" spans="19:19" x14ac:dyDescent="0.2">
      <c r="S1926" s="81"/>
    </row>
    <row r="1927" spans="19:19" x14ac:dyDescent="0.2">
      <c r="S1927" s="81"/>
    </row>
    <row r="1928" spans="19:19" x14ac:dyDescent="0.2">
      <c r="S1928" s="81"/>
    </row>
    <row r="1929" spans="19:19" x14ac:dyDescent="0.2">
      <c r="S1929" s="81"/>
    </row>
    <row r="1930" spans="19:19" x14ac:dyDescent="0.2">
      <c r="S1930" s="81"/>
    </row>
    <row r="1931" spans="19:19" x14ac:dyDescent="0.2">
      <c r="S1931" s="81"/>
    </row>
    <row r="1932" spans="19:19" x14ac:dyDescent="0.2">
      <c r="S1932" s="81"/>
    </row>
    <row r="1933" spans="19:19" x14ac:dyDescent="0.2">
      <c r="S1933" s="81"/>
    </row>
    <row r="1934" spans="19:19" x14ac:dyDescent="0.2">
      <c r="S1934" s="81"/>
    </row>
    <row r="1935" spans="19:19" x14ac:dyDescent="0.2">
      <c r="S1935" s="81"/>
    </row>
    <row r="1936" spans="19:19" x14ac:dyDescent="0.2">
      <c r="S1936" s="81"/>
    </row>
    <row r="1937" spans="19:19" x14ac:dyDescent="0.2">
      <c r="S1937" s="81"/>
    </row>
    <row r="1938" spans="19:19" x14ac:dyDescent="0.2">
      <c r="S1938" s="81"/>
    </row>
    <row r="1939" spans="19:19" x14ac:dyDescent="0.2">
      <c r="S1939" s="81"/>
    </row>
    <row r="1940" spans="19:19" x14ac:dyDescent="0.2">
      <c r="S1940" s="81"/>
    </row>
    <row r="1941" spans="19:19" x14ac:dyDescent="0.2">
      <c r="S1941" s="81"/>
    </row>
    <row r="1942" spans="19:19" x14ac:dyDescent="0.2">
      <c r="S1942" s="81"/>
    </row>
    <row r="1943" spans="19:19" x14ac:dyDescent="0.2">
      <c r="S1943" s="81"/>
    </row>
    <row r="1944" spans="19:19" x14ac:dyDescent="0.2">
      <c r="S1944" s="81"/>
    </row>
    <row r="1945" spans="19:19" x14ac:dyDescent="0.2">
      <c r="S1945" s="81"/>
    </row>
    <row r="1946" spans="19:19" x14ac:dyDescent="0.2">
      <c r="S1946" s="81"/>
    </row>
    <row r="1947" spans="19:19" x14ac:dyDescent="0.2">
      <c r="S1947" s="81"/>
    </row>
    <row r="1948" spans="19:19" x14ac:dyDescent="0.2">
      <c r="S1948" s="81"/>
    </row>
    <row r="1949" spans="19:19" x14ac:dyDescent="0.2">
      <c r="S1949" s="81"/>
    </row>
    <row r="1950" spans="19:19" x14ac:dyDescent="0.2">
      <c r="S1950" s="81"/>
    </row>
    <row r="1951" spans="19:19" x14ac:dyDescent="0.2">
      <c r="S1951" s="81"/>
    </row>
    <row r="1952" spans="19:19" x14ac:dyDescent="0.2">
      <c r="S1952" s="81"/>
    </row>
    <row r="1953" spans="19:19" x14ac:dyDescent="0.2">
      <c r="S1953" s="81"/>
    </row>
    <row r="1954" spans="19:19" x14ac:dyDescent="0.2">
      <c r="S1954" s="81"/>
    </row>
    <row r="1955" spans="19:19" x14ac:dyDescent="0.2">
      <c r="S1955" s="81"/>
    </row>
    <row r="1956" spans="19:19" x14ac:dyDescent="0.2">
      <c r="S1956" s="81"/>
    </row>
    <row r="1957" spans="19:19" x14ac:dyDescent="0.2">
      <c r="S1957" s="81"/>
    </row>
    <row r="1958" spans="19:19" x14ac:dyDescent="0.2">
      <c r="S1958" s="81"/>
    </row>
    <row r="1959" spans="19:19" x14ac:dyDescent="0.2">
      <c r="S1959" s="81"/>
    </row>
    <row r="1960" spans="19:19" x14ac:dyDescent="0.2">
      <c r="S1960" s="81"/>
    </row>
    <row r="1961" spans="19:19" x14ac:dyDescent="0.2">
      <c r="S1961" s="81"/>
    </row>
    <row r="1962" spans="19:19" x14ac:dyDescent="0.2">
      <c r="S1962" s="81"/>
    </row>
    <row r="1963" spans="19:19" x14ac:dyDescent="0.2">
      <c r="S1963" s="81"/>
    </row>
    <row r="1964" spans="19:19" x14ac:dyDescent="0.2">
      <c r="S1964" s="81"/>
    </row>
    <row r="1965" spans="19:19" x14ac:dyDescent="0.2">
      <c r="S1965" s="81"/>
    </row>
    <row r="1966" spans="19:19" x14ac:dyDescent="0.2">
      <c r="S1966" s="81"/>
    </row>
    <row r="1967" spans="19:19" x14ac:dyDescent="0.2">
      <c r="S1967" s="81"/>
    </row>
    <row r="1968" spans="19:19" x14ac:dyDescent="0.2">
      <c r="S1968" s="81"/>
    </row>
    <row r="1969" spans="19:19" x14ac:dyDescent="0.2">
      <c r="S1969" s="81"/>
    </row>
    <row r="1970" spans="19:19" x14ac:dyDescent="0.2">
      <c r="S1970" s="81"/>
    </row>
    <row r="1971" spans="19:19" x14ac:dyDescent="0.2">
      <c r="S1971" s="81"/>
    </row>
    <row r="1972" spans="19:19" x14ac:dyDescent="0.2">
      <c r="S1972" s="81"/>
    </row>
    <row r="1973" spans="19:19" x14ac:dyDescent="0.2">
      <c r="S1973" s="81"/>
    </row>
    <row r="1974" spans="19:19" x14ac:dyDescent="0.2">
      <c r="S1974" s="81"/>
    </row>
    <row r="1975" spans="19:19" x14ac:dyDescent="0.2">
      <c r="S1975" s="81"/>
    </row>
    <row r="1976" spans="19:19" x14ac:dyDescent="0.2">
      <c r="S1976" s="81"/>
    </row>
    <row r="1977" spans="19:19" x14ac:dyDescent="0.2">
      <c r="S1977" s="81"/>
    </row>
    <row r="1978" spans="19:19" x14ac:dyDescent="0.2">
      <c r="S1978" s="81"/>
    </row>
    <row r="1979" spans="19:19" x14ac:dyDescent="0.2">
      <c r="S1979" s="81"/>
    </row>
    <row r="1980" spans="19:19" x14ac:dyDescent="0.2">
      <c r="S1980" s="81"/>
    </row>
    <row r="1981" spans="19:19" x14ac:dyDescent="0.2">
      <c r="S1981" s="81"/>
    </row>
    <row r="1982" spans="19:19" x14ac:dyDescent="0.2">
      <c r="S1982" s="81"/>
    </row>
    <row r="1983" spans="19:19" x14ac:dyDescent="0.2">
      <c r="S1983" s="81"/>
    </row>
    <row r="1984" spans="19:19" x14ac:dyDescent="0.2">
      <c r="S1984" s="81"/>
    </row>
    <row r="1985" spans="19:19" x14ac:dyDescent="0.2">
      <c r="S1985" s="81"/>
    </row>
    <row r="1986" spans="19:19" x14ac:dyDescent="0.2">
      <c r="S1986" s="81"/>
    </row>
    <row r="1987" spans="19:19" x14ac:dyDescent="0.2">
      <c r="S1987" s="81"/>
    </row>
    <row r="1988" spans="19:19" x14ac:dyDescent="0.2">
      <c r="S1988" s="81"/>
    </row>
    <row r="1989" spans="19:19" x14ac:dyDescent="0.2">
      <c r="S1989" s="81"/>
    </row>
    <row r="1990" spans="19:19" x14ac:dyDescent="0.2">
      <c r="S1990" s="81"/>
    </row>
    <row r="1991" spans="19:19" x14ac:dyDescent="0.2">
      <c r="S1991" s="81"/>
    </row>
    <row r="1992" spans="19:19" x14ac:dyDescent="0.2">
      <c r="S1992" s="81"/>
    </row>
    <row r="1993" spans="19:19" x14ac:dyDescent="0.2">
      <c r="S1993" s="81"/>
    </row>
    <row r="1994" spans="19:19" x14ac:dyDescent="0.2">
      <c r="S1994" s="81"/>
    </row>
    <row r="1995" spans="19:19" x14ac:dyDescent="0.2">
      <c r="S1995" s="81"/>
    </row>
    <row r="1996" spans="19:19" x14ac:dyDescent="0.2">
      <c r="S1996" s="81"/>
    </row>
    <row r="1997" spans="19:19" x14ac:dyDescent="0.2">
      <c r="S1997" s="81"/>
    </row>
    <row r="1998" spans="19:19" x14ac:dyDescent="0.2">
      <c r="S1998" s="81"/>
    </row>
    <row r="1999" spans="19:19" x14ac:dyDescent="0.2">
      <c r="S1999" s="81"/>
    </row>
    <row r="2000" spans="19:19" x14ac:dyDescent="0.2">
      <c r="S2000" s="81"/>
    </row>
    <row r="2001" spans="19:19" x14ac:dyDescent="0.2">
      <c r="S2001" s="81"/>
    </row>
    <row r="2002" spans="19:19" x14ac:dyDescent="0.2">
      <c r="S2002" s="81"/>
    </row>
    <row r="2003" spans="19:19" x14ac:dyDescent="0.2">
      <c r="S2003" s="81"/>
    </row>
    <row r="2004" spans="19:19" x14ac:dyDescent="0.2">
      <c r="S2004" s="81"/>
    </row>
    <row r="2005" spans="19:19" x14ac:dyDescent="0.2">
      <c r="S2005" s="81"/>
    </row>
    <row r="2006" spans="19:19" x14ac:dyDescent="0.2">
      <c r="S2006" s="81"/>
    </row>
    <row r="2007" spans="19:19" x14ac:dyDescent="0.2">
      <c r="S2007" s="81"/>
    </row>
    <row r="2008" spans="19:19" x14ac:dyDescent="0.2">
      <c r="S2008" s="81"/>
    </row>
    <row r="2009" spans="19:19" x14ac:dyDescent="0.2">
      <c r="S2009" s="81"/>
    </row>
    <row r="2010" spans="19:19" x14ac:dyDescent="0.2">
      <c r="S2010" s="81"/>
    </row>
    <row r="2011" spans="19:19" x14ac:dyDescent="0.2">
      <c r="S2011" s="81"/>
    </row>
    <row r="2012" spans="19:19" x14ac:dyDescent="0.2">
      <c r="S2012" s="81"/>
    </row>
    <row r="2013" spans="19:19" x14ac:dyDescent="0.2">
      <c r="S2013" s="81"/>
    </row>
    <row r="2014" spans="19:19" x14ac:dyDescent="0.2">
      <c r="S2014" s="81"/>
    </row>
    <row r="2015" spans="19:19" x14ac:dyDescent="0.2">
      <c r="S2015" s="81"/>
    </row>
    <row r="2016" spans="19:19" x14ac:dyDescent="0.2">
      <c r="S2016" s="81"/>
    </row>
    <row r="2017" spans="19:19" x14ac:dyDescent="0.2">
      <c r="S2017" s="81"/>
    </row>
    <row r="2018" spans="19:19" x14ac:dyDescent="0.2">
      <c r="S2018" s="81"/>
    </row>
    <row r="2019" spans="19:19" x14ac:dyDescent="0.2">
      <c r="S2019" s="81"/>
    </row>
    <row r="2020" spans="19:19" x14ac:dyDescent="0.2">
      <c r="S2020" s="81"/>
    </row>
    <row r="2021" spans="19:19" x14ac:dyDescent="0.2">
      <c r="S2021" s="81"/>
    </row>
    <row r="2022" spans="19:19" x14ac:dyDescent="0.2">
      <c r="S2022" s="81"/>
    </row>
    <row r="2023" spans="19:19" x14ac:dyDescent="0.2">
      <c r="S2023" s="81"/>
    </row>
    <row r="2024" spans="19:19" x14ac:dyDescent="0.2">
      <c r="S2024" s="81"/>
    </row>
    <row r="2025" spans="19:19" x14ac:dyDescent="0.2">
      <c r="S2025" s="81"/>
    </row>
    <row r="2026" spans="19:19" x14ac:dyDescent="0.2">
      <c r="S2026" s="81"/>
    </row>
    <row r="2027" spans="19:19" x14ac:dyDescent="0.2">
      <c r="S2027" s="81"/>
    </row>
    <row r="2028" spans="19:19" x14ac:dyDescent="0.2">
      <c r="S2028" s="81"/>
    </row>
    <row r="2029" spans="19:19" x14ac:dyDescent="0.2">
      <c r="S2029" s="81"/>
    </row>
    <row r="2030" spans="19:19" x14ac:dyDescent="0.2">
      <c r="S2030" s="81"/>
    </row>
    <row r="2031" spans="19:19" x14ac:dyDescent="0.2">
      <c r="S2031" s="81"/>
    </row>
    <row r="2032" spans="19:19" x14ac:dyDescent="0.2">
      <c r="S2032" s="81"/>
    </row>
    <row r="2033" spans="19:19" x14ac:dyDescent="0.2">
      <c r="S2033" s="81"/>
    </row>
    <row r="2034" spans="19:19" x14ac:dyDescent="0.2">
      <c r="S2034" s="81"/>
    </row>
    <row r="2035" spans="19:19" x14ac:dyDescent="0.2">
      <c r="S2035" s="81"/>
    </row>
    <row r="2036" spans="19:19" x14ac:dyDescent="0.2">
      <c r="S2036" s="81"/>
    </row>
    <row r="2037" spans="19:19" x14ac:dyDescent="0.2">
      <c r="S2037" s="81"/>
    </row>
    <row r="2038" spans="19:19" x14ac:dyDescent="0.2">
      <c r="S2038" s="81"/>
    </row>
    <row r="2039" spans="19:19" x14ac:dyDescent="0.2">
      <c r="S2039" s="81"/>
    </row>
    <row r="2040" spans="19:19" x14ac:dyDescent="0.2">
      <c r="S2040" s="81"/>
    </row>
    <row r="2041" spans="19:19" x14ac:dyDescent="0.2">
      <c r="S2041" s="81"/>
    </row>
    <row r="2042" spans="19:19" x14ac:dyDescent="0.2">
      <c r="S2042" s="81"/>
    </row>
    <row r="2043" spans="19:19" x14ac:dyDescent="0.2">
      <c r="S2043" s="81"/>
    </row>
    <row r="2044" spans="19:19" x14ac:dyDescent="0.2">
      <c r="S2044" s="81"/>
    </row>
    <row r="2045" spans="19:19" x14ac:dyDescent="0.2">
      <c r="S2045" s="81"/>
    </row>
    <row r="2046" spans="19:19" x14ac:dyDescent="0.2">
      <c r="S2046" s="81"/>
    </row>
    <row r="2047" spans="19:19" x14ac:dyDescent="0.2">
      <c r="S2047" s="81"/>
    </row>
    <row r="2048" spans="19:19" x14ac:dyDescent="0.2">
      <c r="S2048" s="81"/>
    </row>
    <row r="2049" spans="19:19" x14ac:dyDescent="0.2">
      <c r="S2049" s="81"/>
    </row>
    <row r="2050" spans="19:19" x14ac:dyDescent="0.2">
      <c r="S2050" s="81"/>
    </row>
    <row r="2051" spans="19:19" x14ac:dyDescent="0.2">
      <c r="S2051" s="81"/>
    </row>
    <row r="2052" spans="19:19" x14ac:dyDescent="0.2">
      <c r="S2052" s="81"/>
    </row>
    <row r="2053" spans="19:19" x14ac:dyDescent="0.2">
      <c r="S2053" s="81"/>
    </row>
    <row r="2054" spans="19:19" x14ac:dyDescent="0.2">
      <c r="S2054" s="81"/>
    </row>
    <row r="2055" spans="19:19" x14ac:dyDescent="0.2">
      <c r="S2055" s="81"/>
    </row>
    <row r="2056" spans="19:19" x14ac:dyDescent="0.2">
      <c r="S2056" s="81"/>
    </row>
    <row r="2057" spans="19:19" x14ac:dyDescent="0.2">
      <c r="S2057" s="81"/>
    </row>
    <row r="2058" spans="19:19" x14ac:dyDescent="0.2">
      <c r="S2058" s="81"/>
    </row>
    <row r="2059" spans="19:19" x14ac:dyDescent="0.2">
      <c r="S2059" s="81"/>
    </row>
    <row r="2060" spans="19:19" x14ac:dyDescent="0.2">
      <c r="S2060" s="81"/>
    </row>
    <row r="2061" spans="19:19" x14ac:dyDescent="0.2">
      <c r="S2061" s="81"/>
    </row>
    <row r="2062" spans="19:19" x14ac:dyDescent="0.2">
      <c r="S2062" s="81"/>
    </row>
    <row r="2063" spans="19:19" x14ac:dyDescent="0.2">
      <c r="S2063" s="81"/>
    </row>
    <row r="2064" spans="19:19" x14ac:dyDescent="0.2">
      <c r="S2064" s="81"/>
    </row>
    <row r="2065" spans="19:19" x14ac:dyDescent="0.2">
      <c r="S2065" s="81"/>
    </row>
    <row r="2066" spans="19:19" x14ac:dyDescent="0.2">
      <c r="S2066" s="81"/>
    </row>
    <row r="2067" spans="19:19" x14ac:dyDescent="0.2">
      <c r="S2067" s="81"/>
    </row>
    <row r="2068" spans="19:19" x14ac:dyDescent="0.2">
      <c r="S2068" s="81"/>
    </row>
    <row r="2069" spans="19:19" x14ac:dyDescent="0.2">
      <c r="S2069" s="81"/>
    </row>
    <row r="2070" spans="19:19" x14ac:dyDescent="0.2">
      <c r="S2070" s="81"/>
    </row>
    <row r="2071" spans="19:19" x14ac:dyDescent="0.2">
      <c r="S2071" s="81"/>
    </row>
    <row r="2072" spans="19:19" x14ac:dyDescent="0.2">
      <c r="S2072" s="81"/>
    </row>
    <row r="2073" spans="19:19" x14ac:dyDescent="0.2">
      <c r="S2073" s="81"/>
    </row>
    <row r="2074" spans="19:19" x14ac:dyDescent="0.2">
      <c r="S2074" s="81"/>
    </row>
    <row r="2075" spans="19:19" x14ac:dyDescent="0.2">
      <c r="S2075" s="81"/>
    </row>
    <row r="2076" spans="19:19" x14ac:dyDescent="0.2">
      <c r="S2076" s="81"/>
    </row>
    <row r="2077" spans="19:19" x14ac:dyDescent="0.2">
      <c r="S2077" s="81"/>
    </row>
    <row r="2078" spans="19:19" x14ac:dyDescent="0.2">
      <c r="S2078" s="81"/>
    </row>
    <row r="2079" spans="19:19" x14ac:dyDescent="0.2">
      <c r="S2079" s="81"/>
    </row>
    <row r="2080" spans="19:19" x14ac:dyDescent="0.2">
      <c r="S2080" s="81"/>
    </row>
    <row r="2081" spans="19:19" x14ac:dyDescent="0.2">
      <c r="S2081" s="81"/>
    </row>
    <row r="2082" spans="19:19" x14ac:dyDescent="0.2">
      <c r="S2082" s="81"/>
    </row>
    <row r="2083" spans="19:19" x14ac:dyDescent="0.2">
      <c r="S2083" s="81"/>
    </row>
    <row r="2084" spans="19:19" x14ac:dyDescent="0.2">
      <c r="S2084" s="81"/>
    </row>
    <row r="2085" spans="19:19" x14ac:dyDescent="0.2">
      <c r="S2085" s="81"/>
    </row>
    <row r="2086" spans="19:19" x14ac:dyDescent="0.2">
      <c r="S2086" s="81"/>
    </row>
    <row r="2087" spans="19:19" x14ac:dyDescent="0.2">
      <c r="S2087" s="81"/>
    </row>
    <row r="2088" spans="19:19" x14ac:dyDescent="0.2">
      <c r="S2088" s="81"/>
    </row>
    <row r="2089" spans="19:19" x14ac:dyDescent="0.2">
      <c r="S2089" s="81"/>
    </row>
    <row r="2090" spans="19:19" x14ac:dyDescent="0.2">
      <c r="S2090" s="81"/>
    </row>
    <row r="2091" spans="19:19" x14ac:dyDescent="0.2">
      <c r="S2091" s="81"/>
    </row>
    <row r="2092" spans="19:19" x14ac:dyDescent="0.2">
      <c r="S2092" s="81"/>
    </row>
    <row r="2093" spans="19:19" x14ac:dyDescent="0.2">
      <c r="S2093" s="81"/>
    </row>
    <row r="2094" spans="19:19" x14ac:dyDescent="0.2">
      <c r="S2094" s="81"/>
    </row>
    <row r="2095" spans="19:19" x14ac:dyDescent="0.2">
      <c r="S2095" s="81"/>
    </row>
    <row r="2096" spans="19:19" x14ac:dyDescent="0.2">
      <c r="S2096" s="81"/>
    </row>
    <row r="2097" spans="19:19" x14ac:dyDescent="0.2">
      <c r="S2097" s="81"/>
    </row>
    <row r="2098" spans="19:19" x14ac:dyDescent="0.2">
      <c r="S2098" s="81"/>
    </row>
    <row r="2099" spans="19:19" x14ac:dyDescent="0.2">
      <c r="S2099" s="81"/>
    </row>
    <row r="2100" spans="19:19" x14ac:dyDescent="0.2">
      <c r="S2100" s="81"/>
    </row>
    <row r="2101" spans="19:19" x14ac:dyDescent="0.2">
      <c r="S2101" s="81"/>
    </row>
    <row r="2102" spans="19:19" x14ac:dyDescent="0.2">
      <c r="S2102" s="81"/>
    </row>
    <row r="2103" spans="19:19" x14ac:dyDescent="0.2">
      <c r="S2103" s="81"/>
    </row>
    <row r="2104" spans="19:19" x14ac:dyDescent="0.2">
      <c r="S2104" s="81"/>
    </row>
    <row r="2105" spans="19:19" x14ac:dyDescent="0.2">
      <c r="S2105" s="81"/>
    </row>
    <row r="2106" spans="19:19" x14ac:dyDescent="0.2">
      <c r="S2106" s="81"/>
    </row>
    <row r="2107" spans="19:19" x14ac:dyDescent="0.2">
      <c r="S2107" s="81"/>
    </row>
    <row r="2108" spans="19:19" x14ac:dyDescent="0.2">
      <c r="S2108" s="81"/>
    </row>
    <row r="2109" spans="19:19" x14ac:dyDescent="0.2">
      <c r="S2109" s="81"/>
    </row>
    <row r="2110" spans="19:19" x14ac:dyDescent="0.2">
      <c r="S2110" s="81"/>
    </row>
    <row r="2111" spans="19:19" x14ac:dyDescent="0.2">
      <c r="S2111" s="81"/>
    </row>
    <row r="2112" spans="19:19" x14ac:dyDescent="0.2">
      <c r="S2112" s="81"/>
    </row>
    <row r="2113" spans="19:19" x14ac:dyDescent="0.2">
      <c r="S2113" s="81"/>
    </row>
    <row r="2114" spans="19:19" x14ac:dyDescent="0.2">
      <c r="S2114" s="81"/>
    </row>
    <row r="2115" spans="19:19" x14ac:dyDescent="0.2">
      <c r="S2115" s="81"/>
    </row>
    <row r="2116" spans="19:19" x14ac:dyDescent="0.2">
      <c r="S2116" s="81"/>
    </row>
    <row r="2117" spans="19:19" x14ac:dyDescent="0.2">
      <c r="S2117" s="81"/>
    </row>
    <row r="2118" spans="19:19" x14ac:dyDescent="0.2">
      <c r="S2118" s="81"/>
    </row>
    <row r="2119" spans="19:19" x14ac:dyDescent="0.2">
      <c r="S2119" s="81"/>
    </row>
    <row r="2120" spans="19:19" x14ac:dyDescent="0.2">
      <c r="S2120" s="81"/>
    </row>
    <row r="2121" spans="19:19" x14ac:dyDescent="0.2">
      <c r="S2121" s="81"/>
    </row>
    <row r="2122" spans="19:19" x14ac:dyDescent="0.2">
      <c r="S2122" s="81"/>
    </row>
    <row r="2123" spans="19:19" x14ac:dyDescent="0.2">
      <c r="S2123" s="81"/>
    </row>
    <row r="2124" spans="19:19" x14ac:dyDescent="0.2">
      <c r="S2124" s="81"/>
    </row>
    <row r="2125" spans="19:19" x14ac:dyDescent="0.2">
      <c r="S2125" s="81"/>
    </row>
    <row r="2126" spans="19:19" x14ac:dyDescent="0.2">
      <c r="S2126" s="81"/>
    </row>
    <row r="2127" spans="19:19" x14ac:dyDescent="0.2">
      <c r="S2127" s="81"/>
    </row>
    <row r="2128" spans="19:19" x14ac:dyDescent="0.2">
      <c r="S2128" s="81"/>
    </row>
    <row r="2129" spans="19:19" x14ac:dyDescent="0.2">
      <c r="S2129" s="81"/>
    </row>
    <row r="2130" spans="19:19" x14ac:dyDescent="0.2">
      <c r="S2130" s="81"/>
    </row>
    <row r="2131" spans="19:19" x14ac:dyDescent="0.2">
      <c r="S2131" s="81"/>
    </row>
    <row r="2132" spans="19:19" x14ac:dyDescent="0.2">
      <c r="S2132" s="81"/>
    </row>
    <row r="2133" spans="19:19" x14ac:dyDescent="0.2">
      <c r="S2133" s="81"/>
    </row>
    <row r="2134" spans="19:19" x14ac:dyDescent="0.2">
      <c r="S2134" s="81"/>
    </row>
    <row r="2135" spans="19:19" x14ac:dyDescent="0.2">
      <c r="S2135" s="81"/>
    </row>
    <row r="2136" spans="19:19" x14ac:dyDescent="0.2">
      <c r="S2136" s="81"/>
    </row>
    <row r="2137" spans="19:19" x14ac:dyDescent="0.2">
      <c r="S2137" s="81"/>
    </row>
    <row r="2138" spans="19:19" x14ac:dyDescent="0.2">
      <c r="S2138" s="81"/>
    </row>
    <row r="2139" spans="19:19" x14ac:dyDescent="0.2">
      <c r="S2139" s="81"/>
    </row>
    <row r="2140" spans="19:19" x14ac:dyDescent="0.2">
      <c r="S2140" s="81"/>
    </row>
    <row r="2141" spans="19:19" x14ac:dyDescent="0.2">
      <c r="S2141" s="81"/>
    </row>
    <row r="2142" spans="19:19" x14ac:dyDescent="0.2">
      <c r="S2142" s="81"/>
    </row>
    <row r="2143" spans="19:19" x14ac:dyDescent="0.2">
      <c r="S2143" s="81"/>
    </row>
    <row r="2144" spans="19:19" x14ac:dyDescent="0.2">
      <c r="S2144" s="81"/>
    </row>
    <row r="2145" spans="19:19" x14ac:dyDescent="0.2">
      <c r="S2145" s="81"/>
    </row>
    <row r="2146" spans="19:19" x14ac:dyDescent="0.2">
      <c r="S2146" s="81"/>
    </row>
    <row r="2147" spans="19:19" x14ac:dyDescent="0.2">
      <c r="S2147" s="81"/>
    </row>
    <row r="2148" spans="19:19" x14ac:dyDescent="0.2">
      <c r="S2148" s="81"/>
    </row>
    <row r="2149" spans="19:19" x14ac:dyDescent="0.2">
      <c r="S2149" s="81"/>
    </row>
    <row r="2150" spans="19:19" x14ac:dyDescent="0.2">
      <c r="S2150" s="81"/>
    </row>
    <row r="2151" spans="19:19" x14ac:dyDescent="0.2">
      <c r="S2151" s="81"/>
    </row>
    <row r="2152" spans="19:19" x14ac:dyDescent="0.2">
      <c r="S2152" s="81"/>
    </row>
    <row r="2153" spans="19:19" x14ac:dyDescent="0.2">
      <c r="S2153" s="81"/>
    </row>
    <row r="2154" spans="19:19" x14ac:dyDescent="0.2">
      <c r="S2154" s="81"/>
    </row>
    <row r="2155" spans="19:19" x14ac:dyDescent="0.2">
      <c r="S2155" s="81"/>
    </row>
    <row r="2156" spans="19:19" x14ac:dyDescent="0.2">
      <c r="S2156" s="81"/>
    </row>
    <row r="2157" spans="19:19" x14ac:dyDescent="0.2">
      <c r="S2157" s="81"/>
    </row>
    <row r="2158" spans="19:19" x14ac:dyDescent="0.2">
      <c r="S2158" s="81"/>
    </row>
    <row r="2159" spans="19:19" x14ac:dyDescent="0.2">
      <c r="S2159" s="81"/>
    </row>
    <row r="2160" spans="19:19" x14ac:dyDescent="0.2">
      <c r="S2160" s="81"/>
    </row>
    <row r="2161" spans="19:19" x14ac:dyDescent="0.2">
      <c r="S2161" s="81"/>
    </row>
    <row r="2162" spans="19:19" x14ac:dyDescent="0.2">
      <c r="S2162" s="81"/>
    </row>
    <row r="2163" spans="19:19" x14ac:dyDescent="0.2">
      <c r="S2163" s="81"/>
    </row>
    <row r="2164" spans="19:19" x14ac:dyDescent="0.2">
      <c r="S2164" s="81"/>
    </row>
    <row r="2165" spans="19:19" x14ac:dyDescent="0.2">
      <c r="S2165" s="81"/>
    </row>
    <row r="2166" spans="19:19" x14ac:dyDescent="0.2">
      <c r="S2166" s="81"/>
    </row>
    <row r="2167" spans="19:19" x14ac:dyDescent="0.2">
      <c r="S2167" s="81"/>
    </row>
    <row r="2168" spans="19:19" x14ac:dyDescent="0.2">
      <c r="S2168" s="81"/>
    </row>
    <row r="2169" spans="19:19" x14ac:dyDescent="0.2">
      <c r="S2169" s="81"/>
    </row>
    <row r="2170" spans="19:19" x14ac:dyDescent="0.2">
      <c r="S2170" s="81"/>
    </row>
    <row r="2171" spans="19:19" x14ac:dyDescent="0.2">
      <c r="S2171" s="81"/>
    </row>
    <row r="2172" spans="19:19" x14ac:dyDescent="0.2">
      <c r="S2172" s="81"/>
    </row>
    <row r="2173" spans="19:19" x14ac:dyDescent="0.2">
      <c r="S2173" s="81"/>
    </row>
    <row r="2174" spans="19:19" x14ac:dyDescent="0.2">
      <c r="S2174" s="81"/>
    </row>
    <row r="2175" spans="19:19" x14ac:dyDescent="0.2">
      <c r="S2175" s="81"/>
    </row>
    <row r="2176" spans="19:19" x14ac:dyDescent="0.2">
      <c r="S2176" s="81"/>
    </row>
    <row r="2177" spans="19:19" x14ac:dyDescent="0.2">
      <c r="S2177" s="81"/>
    </row>
    <row r="2178" spans="19:19" x14ac:dyDescent="0.2">
      <c r="S2178" s="81"/>
    </row>
    <row r="2179" spans="19:19" x14ac:dyDescent="0.2">
      <c r="S2179" s="81"/>
    </row>
    <row r="2180" spans="19:19" x14ac:dyDescent="0.2">
      <c r="S2180" s="81"/>
    </row>
    <row r="2181" spans="19:19" x14ac:dyDescent="0.2">
      <c r="S2181" s="81"/>
    </row>
    <row r="2182" spans="19:19" x14ac:dyDescent="0.2">
      <c r="S2182" s="81"/>
    </row>
    <row r="2183" spans="19:19" x14ac:dyDescent="0.2">
      <c r="S2183" s="81"/>
    </row>
    <row r="2184" spans="19:19" x14ac:dyDescent="0.2">
      <c r="S2184" s="81"/>
    </row>
    <row r="2185" spans="19:19" x14ac:dyDescent="0.2">
      <c r="S2185" s="81"/>
    </row>
    <row r="2186" spans="19:19" x14ac:dyDescent="0.2">
      <c r="S2186" s="81"/>
    </row>
    <row r="2187" spans="19:19" x14ac:dyDescent="0.2">
      <c r="S2187" s="81"/>
    </row>
    <row r="2188" spans="19:19" x14ac:dyDescent="0.2">
      <c r="S2188" s="81"/>
    </row>
    <row r="2189" spans="19:19" x14ac:dyDescent="0.2">
      <c r="S2189" s="81"/>
    </row>
    <row r="2190" spans="19:19" x14ac:dyDescent="0.2">
      <c r="S2190" s="81"/>
    </row>
    <row r="2191" spans="19:19" x14ac:dyDescent="0.2">
      <c r="S2191" s="81"/>
    </row>
    <row r="2192" spans="19:19" x14ac:dyDescent="0.2">
      <c r="S2192" s="81"/>
    </row>
    <row r="2193" spans="19:19" x14ac:dyDescent="0.2">
      <c r="S2193" s="81"/>
    </row>
    <row r="2194" spans="19:19" x14ac:dyDescent="0.2">
      <c r="S2194" s="81"/>
    </row>
    <row r="2195" spans="19:19" x14ac:dyDescent="0.2">
      <c r="S2195" s="81"/>
    </row>
    <row r="2196" spans="19:19" x14ac:dyDescent="0.2">
      <c r="S2196" s="81"/>
    </row>
    <row r="2197" spans="19:19" x14ac:dyDescent="0.2">
      <c r="S2197" s="81"/>
    </row>
    <row r="2198" spans="19:19" x14ac:dyDescent="0.2">
      <c r="S2198" s="81"/>
    </row>
    <row r="2199" spans="19:19" x14ac:dyDescent="0.2">
      <c r="S2199" s="81"/>
    </row>
    <row r="2200" spans="19:19" x14ac:dyDescent="0.2">
      <c r="S2200" s="81"/>
    </row>
    <row r="2201" spans="19:19" x14ac:dyDescent="0.2">
      <c r="S2201" s="81"/>
    </row>
    <row r="2202" spans="19:19" x14ac:dyDescent="0.2">
      <c r="S2202" s="81"/>
    </row>
    <row r="2203" spans="19:19" x14ac:dyDescent="0.2">
      <c r="S2203" s="81"/>
    </row>
    <row r="2204" spans="19:19" x14ac:dyDescent="0.2">
      <c r="S2204" s="81"/>
    </row>
    <row r="2205" spans="19:19" x14ac:dyDescent="0.2">
      <c r="S2205" s="81"/>
    </row>
    <row r="2206" spans="19:19" x14ac:dyDescent="0.2">
      <c r="S2206" s="81"/>
    </row>
    <row r="2207" spans="19:19" x14ac:dyDescent="0.2">
      <c r="S2207" s="81"/>
    </row>
    <row r="2208" spans="19:19" x14ac:dyDescent="0.2">
      <c r="S2208" s="81"/>
    </row>
    <row r="2209" spans="19:19" x14ac:dyDescent="0.2">
      <c r="S2209" s="81"/>
    </row>
    <row r="2210" spans="19:19" x14ac:dyDescent="0.2">
      <c r="S2210" s="81"/>
    </row>
    <row r="2211" spans="19:19" x14ac:dyDescent="0.2">
      <c r="S2211" s="81"/>
    </row>
    <row r="2212" spans="19:19" x14ac:dyDescent="0.2">
      <c r="S2212" s="81"/>
    </row>
    <row r="2213" spans="19:19" x14ac:dyDescent="0.2">
      <c r="S2213" s="81"/>
    </row>
    <row r="2214" spans="19:19" x14ac:dyDescent="0.2">
      <c r="S2214" s="81"/>
    </row>
    <row r="2215" spans="19:19" x14ac:dyDescent="0.2">
      <c r="S2215" s="81"/>
    </row>
    <row r="2216" spans="19:19" x14ac:dyDescent="0.2">
      <c r="S2216" s="81"/>
    </row>
    <row r="2217" spans="19:19" x14ac:dyDescent="0.2">
      <c r="S2217" s="81"/>
    </row>
    <row r="2218" spans="19:19" x14ac:dyDescent="0.2">
      <c r="S2218" s="81"/>
    </row>
    <row r="2219" spans="19:19" x14ac:dyDescent="0.2">
      <c r="S2219" s="81"/>
    </row>
    <row r="2220" spans="19:19" x14ac:dyDescent="0.2">
      <c r="S2220" s="81"/>
    </row>
    <row r="2221" spans="19:19" x14ac:dyDescent="0.2">
      <c r="S2221" s="81"/>
    </row>
    <row r="2222" spans="19:19" x14ac:dyDescent="0.2">
      <c r="S2222" s="81"/>
    </row>
    <row r="2223" spans="19:19" x14ac:dyDescent="0.2">
      <c r="S2223" s="81"/>
    </row>
    <row r="2224" spans="19:19" x14ac:dyDescent="0.2">
      <c r="S2224" s="81"/>
    </row>
    <row r="2225" spans="19:19" x14ac:dyDescent="0.2">
      <c r="S2225" s="81"/>
    </row>
    <row r="2226" spans="19:19" x14ac:dyDescent="0.2">
      <c r="S2226" s="81"/>
    </row>
    <row r="2227" spans="19:19" x14ac:dyDescent="0.2">
      <c r="S2227" s="81"/>
    </row>
    <row r="2228" spans="19:19" x14ac:dyDescent="0.2">
      <c r="S2228" s="81"/>
    </row>
    <row r="2229" spans="19:19" x14ac:dyDescent="0.2">
      <c r="S2229" s="81"/>
    </row>
    <row r="2230" spans="19:19" x14ac:dyDescent="0.2">
      <c r="S2230" s="81"/>
    </row>
    <row r="2231" spans="19:19" x14ac:dyDescent="0.2">
      <c r="S2231" s="81"/>
    </row>
    <row r="2232" spans="19:19" x14ac:dyDescent="0.2">
      <c r="S2232" s="81"/>
    </row>
    <row r="2233" spans="19:19" x14ac:dyDescent="0.2">
      <c r="S2233" s="81"/>
    </row>
    <row r="2234" spans="19:19" x14ac:dyDescent="0.2">
      <c r="S2234" s="81"/>
    </row>
    <row r="2235" spans="19:19" x14ac:dyDescent="0.2">
      <c r="S2235" s="81"/>
    </row>
    <row r="2236" spans="19:19" x14ac:dyDescent="0.2">
      <c r="S2236" s="81"/>
    </row>
    <row r="2237" spans="19:19" x14ac:dyDescent="0.2">
      <c r="S2237" s="81"/>
    </row>
    <row r="2238" spans="19:19" x14ac:dyDescent="0.2">
      <c r="S2238" s="81"/>
    </row>
    <row r="2239" spans="19:19" x14ac:dyDescent="0.2">
      <c r="S2239" s="81"/>
    </row>
    <row r="2240" spans="19:19" x14ac:dyDescent="0.2">
      <c r="S2240" s="81"/>
    </row>
    <row r="2241" spans="19:19" x14ac:dyDescent="0.2">
      <c r="S2241" s="81"/>
    </row>
    <row r="2242" spans="19:19" x14ac:dyDescent="0.2">
      <c r="S2242" s="81"/>
    </row>
    <row r="2243" spans="19:19" x14ac:dyDescent="0.2">
      <c r="S2243" s="81"/>
    </row>
    <row r="2244" spans="19:19" x14ac:dyDescent="0.2">
      <c r="S2244" s="81"/>
    </row>
    <row r="2245" spans="19:19" x14ac:dyDescent="0.2">
      <c r="S2245" s="81"/>
    </row>
    <row r="2246" spans="19:19" x14ac:dyDescent="0.2">
      <c r="S2246" s="81"/>
    </row>
    <row r="2247" spans="19:19" x14ac:dyDescent="0.2">
      <c r="S2247" s="81"/>
    </row>
    <row r="2248" spans="19:19" x14ac:dyDescent="0.2">
      <c r="S2248" s="81"/>
    </row>
    <row r="2249" spans="19:19" x14ac:dyDescent="0.2">
      <c r="S2249" s="81"/>
    </row>
    <row r="2250" spans="19:19" x14ac:dyDescent="0.2">
      <c r="S2250" s="81"/>
    </row>
    <row r="2251" spans="19:19" x14ac:dyDescent="0.2">
      <c r="S2251" s="81"/>
    </row>
    <row r="2252" spans="19:19" x14ac:dyDescent="0.2">
      <c r="S2252" s="81"/>
    </row>
    <row r="2253" spans="19:19" x14ac:dyDescent="0.2">
      <c r="S2253" s="81"/>
    </row>
    <row r="2254" spans="19:19" x14ac:dyDescent="0.2">
      <c r="S2254" s="81"/>
    </row>
    <row r="2255" spans="19:19" x14ac:dyDescent="0.2">
      <c r="S2255" s="81"/>
    </row>
    <row r="2256" spans="19:19" x14ac:dyDescent="0.2">
      <c r="S2256" s="81"/>
    </row>
    <row r="2257" spans="19:19" x14ac:dyDescent="0.2">
      <c r="S2257" s="81"/>
    </row>
    <row r="2258" spans="19:19" x14ac:dyDescent="0.2">
      <c r="S2258" s="81"/>
    </row>
    <row r="2259" spans="19:19" x14ac:dyDescent="0.2">
      <c r="S2259" s="81"/>
    </row>
    <row r="2260" spans="19:19" x14ac:dyDescent="0.2">
      <c r="S2260" s="81"/>
    </row>
    <row r="2261" spans="19:19" x14ac:dyDescent="0.2">
      <c r="S2261" s="81"/>
    </row>
    <row r="2262" spans="19:19" x14ac:dyDescent="0.2">
      <c r="S2262" s="81"/>
    </row>
    <row r="2263" spans="19:19" x14ac:dyDescent="0.2">
      <c r="S2263" s="81"/>
    </row>
    <row r="2264" spans="19:19" x14ac:dyDescent="0.2">
      <c r="S2264" s="81"/>
    </row>
    <row r="2265" spans="19:19" x14ac:dyDescent="0.2">
      <c r="S2265" s="81"/>
    </row>
    <row r="2266" spans="19:19" x14ac:dyDescent="0.2">
      <c r="S2266" s="81"/>
    </row>
    <row r="2267" spans="19:19" x14ac:dyDescent="0.2">
      <c r="S2267" s="81"/>
    </row>
    <row r="2268" spans="19:19" x14ac:dyDescent="0.2">
      <c r="S2268" s="81"/>
    </row>
    <row r="2269" spans="19:19" x14ac:dyDescent="0.2">
      <c r="S2269" s="81"/>
    </row>
    <row r="2270" spans="19:19" x14ac:dyDescent="0.2">
      <c r="S2270" s="81"/>
    </row>
    <row r="2271" spans="19:19" x14ac:dyDescent="0.2">
      <c r="S2271" s="81"/>
    </row>
    <row r="2272" spans="19:19" x14ac:dyDescent="0.2">
      <c r="S2272" s="81"/>
    </row>
    <row r="2273" spans="19:19" x14ac:dyDescent="0.2">
      <c r="S2273" s="81"/>
    </row>
    <row r="2274" spans="19:19" x14ac:dyDescent="0.2">
      <c r="S2274" s="81"/>
    </row>
    <row r="2275" spans="19:19" x14ac:dyDescent="0.2">
      <c r="S2275" s="81"/>
    </row>
    <row r="2276" spans="19:19" x14ac:dyDescent="0.2">
      <c r="S2276" s="81"/>
    </row>
    <row r="2277" spans="19:19" x14ac:dyDescent="0.2">
      <c r="S2277" s="81"/>
    </row>
    <row r="2278" spans="19:19" x14ac:dyDescent="0.2">
      <c r="S2278" s="81"/>
    </row>
    <row r="2279" spans="19:19" x14ac:dyDescent="0.2">
      <c r="S2279" s="81"/>
    </row>
    <row r="2280" spans="19:19" x14ac:dyDescent="0.2">
      <c r="S2280" s="81"/>
    </row>
    <row r="2281" spans="19:19" x14ac:dyDescent="0.2">
      <c r="S2281" s="81"/>
    </row>
    <row r="2282" spans="19:19" x14ac:dyDescent="0.2">
      <c r="S2282" s="81"/>
    </row>
    <row r="2283" spans="19:19" x14ac:dyDescent="0.2">
      <c r="S2283" s="81"/>
    </row>
    <row r="2284" spans="19:19" x14ac:dyDescent="0.2">
      <c r="S2284" s="81"/>
    </row>
    <row r="2285" spans="19:19" x14ac:dyDescent="0.2">
      <c r="S2285" s="81"/>
    </row>
    <row r="2286" spans="19:19" x14ac:dyDescent="0.2">
      <c r="S2286" s="81"/>
    </row>
    <row r="2287" spans="19:19" x14ac:dyDescent="0.2">
      <c r="S2287" s="81"/>
    </row>
    <row r="2288" spans="19:19" x14ac:dyDescent="0.2">
      <c r="S2288" s="81"/>
    </row>
    <row r="2289" spans="19:19" x14ac:dyDescent="0.2">
      <c r="S2289" s="81"/>
    </row>
    <row r="2290" spans="19:19" x14ac:dyDescent="0.2">
      <c r="S2290" s="81"/>
    </row>
    <row r="2291" spans="19:19" x14ac:dyDescent="0.2">
      <c r="S2291" s="81"/>
    </row>
    <row r="2292" spans="19:19" x14ac:dyDescent="0.2">
      <c r="S2292" s="81"/>
    </row>
    <row r="2293" spans="19:19" x14ac:dyDescent="0.2">
      <c r="S2293" s="81"/>
    </row>
    <row r="2294" spans="19:19" x14ac:dyDescent="0.2">
      <c r="S2294" s="81"/>
    </row>
    <row r="2295" spans="19:19" x14ac:dyDescent="0.2">
      <c r="S2295" s="81"/>
    </row>
    <row r="2296" spans="19:19" x14ac:dyDescent="0.2">
      <c r="S2296" s="81"/>
    </row>
    <row r="2297" spans="19:19" x14ac:dyDescent="0.2">
      <c r="S2297" s="81"/>
    </row>
    <row r="2298" spans="19:19" x14ac:dyDescent="0.2">
      <c r="S2298" s="81"/>
    </row>
    <row r="2299" spans="19:19" x14ac:dyDescent="0.2">
      <c r="S2299" s="81"/>
    </row>
    <row r="2300" spans="19:19" x14ac:dyDescent="0.2">
      <c r="S2300" s="81"/>
    </row>
    <row r="2301" spans="19:19" x14ac:dyDescent="0.2">
      <c r="S2301" s="81"/>
    </row>
    <row r="2302" spans="19:19" x14ac:dyDescent="0.2">
      <c r="S2302" s="81"/>
    </row>
    <row r="2303" spans="19:19" x14ac:dyDescent="0.2">
      <c r="S2303" s="81"/>
    </row>
    <row r="2304" spans="19:19" x14ac:dyDescent="0.2">
      <c r="S2304" s="81"/>
    </row>
    <row r="2305" spans="19:19" x14ac:dyDescent="0.2">
      <c r="S2305" s="81"/>
    </row>
    <row r="2306" spans="19:19" x14ac:dyDescent="0.2">
      <c r="S2306" s="81"/>
    </row>
    <row r="2307" spans="19:19" x14ac:dyDescent="0.2">
      <c r="S2307" s="81"/>
    </row>
    <row r="2308" spans="19:19" x14ac:dyDescent="0.2">
      <c r="S2308" s="81"/>
    </row>
    <row r="2309" spans="19:19" x14ac:dyDescent="0.2">
      <c r="S2309" s="81"/>
    </row>
    <row r="2310" spans="19:19" x14ac:dyDescent="0.2">
      <c r="S2310" s="81"/>
    </row>
    <row r="2311" spans="19:19" x14ac:dyDescent="0.2">
      <c r="S2311" s="81"/>
    </row>
    <row r="2312" spans="19:19" x14ac:dyDescent="0.2">
      <c r="S2312" s="81"/>
    </row>
    <row r="2313" spans="19:19" x14ac:dyDescent="0.2">
      <c r="S2313" s="81"/>
    </row>
    <row r="2314" spans="19:19" x14ac:dyDescent="0.2">
      <c r="S2314" s="81"/>
    </row>
    <row r="2315" spans="19:19" x14ac:dyDescent="0.2">
      <c r="S2315" s="81"/>
    </row>
    <row r="2316" spans="19:19" x14ac:dyDescent="0.2">
      <c r="S2316" s="81"/>
    </row>
    <row r="2317" spans="19:19" x14ac:dyDescent="0.2">
      <c r="S2317" s="81"/>
    </row>
    <row r="2318" spans="19:19" x14ac:dyDescent="0.2">
      <c r="S2318" s="81"/>
    </row>
    <row r="2319" spans="19:19" x14ac:dyDescent="0.2">
      <c r="S2319" s="81"/>
    </row>
    <row r="2320" spans="19:19" x14ac:dyDescent="0.2">
      <c r="S2320" s="81"/>
    </row>
    <row r="2321" spans="19:19" x14ac:dyDescent="0.2">
      <c r="S2321" s="81"/>
    </row>
    <row r="2322" spans="19:19" x14ac:dyDescent="0.2">
      <c r="S2322" s="81"/>
    </row>
    <row r="2323" spans="19:19" x14ac:dyDescent="0.2">
      <c r="S2323" s="81"/>
    </row>
    <row r="2324" spans="19:19" x14ac:dyDescent="0.2">
      <c r="S2324" s="81"/>
    </row>
    <row r="2325" spans="19:19" x14ac:dyDescent="0.2">
      <c r="S2325" s="81"/>
    </row>
    <row r="2326" spans="19:19" x14ac:dyDescent="0.2">
      <c r="S2326" s="81"/>
    </row>
    <row r="2327" spans="19:19" x14ac:dyDescent="0.2">
      <c r="S2327" s="81"/>
    </row>
    <row r="2328" spans="19:19" x14ac:dyDescent="0.2">
      <c r="S2328" s="81"/>
    </row>
    <row r="2329" spans="19:19" x14ac:dyDescent="0.2">
      <c r="S2329" s="81"/>
    </row>
    <row r="2330" spans="19:19" x14ac:dyDescent="0.2">
      <c r="S2330" s="81"/>
    </row>
    <row r="2331" spans="19:19" x14ac:dyDescent="0.2">
      <c r="S2331" s="81"/>
    </row>
    <row r="2332" spans="19:19" x14ac:dyDescent="0.2">
      <c r="S2332" s="81"/>
    </row>
    <row r="2333" spans="19:19" x14ac:dyDescent="0.2">
      <c r="S2333" s="81"/>
    </row>
    <row r="2334" spans="19:19" x14ac:dyDescent="0.2">
      <c r="S2334" s="81"/>
    </row>
    <row r="2335" spans="19:19" x14ac:dyDescent="0.2">
      <c r="S2335" s="81"/>
    </row>
    <row r="2336" spans="19:19" x14ac:dyDescent="0.2">
      <c r="S2336" s="81"/>
    </row>
    <row r="2337" spans="19:19" x14ac:dyDescent="0.2">
      <c r="S2337" s="81"/>
    </row>
    <row r="2338" spans="19:19" x14ac:dyDescent="0.2">
      <c r="S2338" s="81"/>
    </row>
    <row r="2339" spans="19:19" x14ac:dyDescent="0.2">
      <c r="S2339" s="81"/>
    </row>
    <row r="2340" spans="19:19" x14ac:dyDescent="0.2">
      <c r="S2340" s="81"/>
    </row>
    <row r="2341" spans="19:19" x14ac:dyDescent="0.2">
      <c r="S2341" s="81"/>
    </row>
    <row r="2342" spans="19:19" x14ac:dyDescent="0.2">
      <c r="S2342" s="81"/>
    </row>
    <row r="2343" spans="19:19" x14ac:dyDescent="0.2">
      <c r="S2343" s="81"/>
    </row>
    <row r="2344" spans="19:19" x14ac:dyDescent="0.2">
      <c r="S2344" s="81"/>
    </row>
    <row r="2345" spans="19:19" x14ac:dyDescent="0.2">
      <c r="S2345" s="81"/>
    </row>
    <row r="2346" spans="19:19" x14ac:dyDescent="0.2">
      <c r="S2346" s="81"/>
    </row>
    <row r="2347" spans="19:19" x14ac:dyDescent="0.2">
      <c r="S2347" s="81"/>
    </row>
    <row r="2348" spans="19:19" x14ac:dyDescent="0.2">
      <c r="S2348" s="81"/>
    </row>
    <row r="2349" spans="19:19" x14ac:dyDescent="0.2">
      <c r="S2349" s="81"/>
    </row>
    <row r="2350" spans="19:19" x14ac:dyDescent="0.2">
      <c r="S2350" s="81"/>
    </row>
    <row r="2351" spans="19:19" x14ac:dyDescent="0.2">
      <c r="S2351" s="81"/>
    </row>
    <row r="2352" spans="19:19" x14ac:dyDescent="0.2">
      <c r="S2352" s="81"/>
    </row>
    <row r="2353" spans="19:19" x14ac:dyDescent="0.2">
      <c r="S2353" s="81"/>
    </row>
    <row r="2354" spans="19:19" x14ac:dyDescent="0.2">
      <c r="S2354" s="81"/>
    </row>
    <row r="2355" spans="19:19" x14ac:dyDescent="0.2">
      <c r="S2355" s="81"/>
    </row>
    <row r="2356" spans="19:19" x14ac:dyDescent="0.2">
      <c r="S2356" s="81"/>
    </row>
    <row r="2357" spans="19:19" x14ac:dyDescent="0.2">
      <c r="S2357" s="81"/>
    </row>
    <row r="2358" spans="19:19" x14ac:dyDescent="0.2">
      <c r="S2358" s="81"/>
    </row>
    <row r="2359" spans="19:19" x14ac:dyDescent="0.2">
      <c r="S2359" s="81"/>
    </row>
    <row r="2360" spans="19:19" x14ac:dyDescent="0.2">
      <c r="S2360" s="81"/>
    </row>
    <row r="2361" spans="19:19" x14ac:dyDescent="0.2">
      <c r="S2361" s="81"/>
    </row>
    <row r="2362" spans="19:19" x14ac:dyDescent="0.2">
      <c r="S2362" s="81"/>
    </row>
    <row r="2363" spans="19:19" x14ac:dyDescent="0.2">
      <c r="S2363" s="81"/>
    </row>
    <row r="2364" spans="19:19" x14ac:dyDescent="0.2">
      <c r="S2364" s="81"/>
    </row>
    <row r="2365" spans="19:19" x14ac:dyDescent="0.2">
      <c r="S2365" s="81"/>
    </row>
    <row r="2366" spans="19:19" x14ac:dyDescent="0.2">
      <c r="S2366" s="81"/>
    </row>
    <row r="2367" spans="19:19" x14ac:dyDescent="0.2">
      <c r="S2367" s="81"/>
    </row>
    <row r="2368" spans="19:19" x14ac:dyDescent="0.2">
      <c r="S2368" s="81"/>
    </row>
    <row r="2369" spans="19:19" x14ac:dyDescent="0.2">
      <c r="S2369" s="81"/>
    </row>
    <row r="2370" spans="19:19" x14ac:dyDescent="0.2">
      <c r="S2370" s="81"/>
    </row>
    <row r="2371" spans="19:19" x14ac:dyDescent="0.2">
      <c r="S2371" s="81"/>
    </row>
    <row r="2372" spans="19:19" x14ac:dyDescent="0.2">
      <c r="S2372" s="81"/>
    </row>
    <row r="2373" spans="19:19" x14ac:dyDescent="0.2">
      <c r="S2373" s="81"/>
    </row>
    <row r="2374" spans="19:19" x14ac:dyDescent="0.2">
      <c r="S2374" s="81"/>
    </row>
    <row r="2375" spans="19:19" x14ac:dyDescent="0.2">
      <c r="S2375" s="81"/>
    </row>
    <row r="2376" spans="19:19" x14ac:dyDescent="0.2">
      <c r="S2376" s="81"/>
    </row>
    <row r="2377" spans="19:19" x14ac:dyDescent="0.2">
      <c r="S2377" s="81"/>
    </row>
    <row r="2378" spans="19:19" x14ac:dyDescent="0.2">
      <c r="S2378" s="81"/>
    </row>
    <row r="2379" spans="19:19" x14ac:dyDescent="0.2">
      <c r="S2379" s="81"/>
    </row>
    <row r="2380" spans="19:19" x14ac:dyDescent="0.2">
      <c r="S2380" s="81"/>
    </row>
    <row r="2381" spans="19:19" x14ac:dyDescent="0.2">
      <c r="S2381" s="81"/>
    </row>
    <row r="2382" spans="19:19" x14ac:dyDescent="0.2">
      <c r="S2382" s="81"/>
    </row>
    <row r="2383" spans="19:19" x14ac:dyDescent="0.2">
      <c r="S2383" s="81"/>
    </row>
    <row r="2384" spans="19:19" x14ac:dyDescent="0.2">
      <c r="S2384" s="81"/>
    </row>
    <row r="2385" spans="19:19" x14ac:dyDescent="0.2">
      <c r="S2385" s="81"/>
    </row>
    <row r="2386" spans="19:19" x14ac:dyDescent="0.2">
      <c r="S2386" s="81"/>
    </row>
    <row r="2387" spans="19:19" x14ac:dyDescent="0.2">
      <c r="S2387" s="81"/>
    </row>
    <row r="2388" spans="19:19" x14ac:dyDescent="0.2">
      <c r="S2388" s="81"/>
    </row>
    <row r="2389" spans="19:19" x14ac:dyDescent="0.2">
      <c r="S2389" s="81"/>
    </row>
    <row r="2390" spans="19:19" x14ac:dyDescent="0.2">
      <c r="S2390" s="81"/>
    </row>
    <row r="2391" spans="19:19" x14ac:dyDescent="0.2">
      <c r="S2391" s="81"/>
    </row>
    <row r="2392" spans="19:19" x14ac:dyDescent="0.2">
      <c r="S2392" s="81"/>
    </row>
    <row r="2393" spans="19:19" x14ac:dyDescent="0.2">
      <c r="S2393" s="81"/>
    </row>
    <row r="2394" spans="19:19" x14ac:dyDescent="0.2">
      <c r="S2394" s="81"/>
    </row>
    <row r="2395" spans="19:19" x14ac:dyDescent="0.2">
      <c r="S2395" s="81"/>
    </row>
    <row r="2396" spans="19:19" x14ac:dyDescent="0.2">
      <c r="S2396" s="81"/>
    </row>
    <row r="2397" spans="19:19" x14ac:dyDescent="0.2">
      <c r="S2397" s="81"/>
    </row>
    <row r="2398" spans="19:19" x14ac:dyDescent="0.2">
      <c r="S2398" s="81"/>
    </row>
    <row r="2399" spans="19:19" x14ac:dyDescent="0.2">
      <c r="S2399" s="81"/>
    </row>
    <row r="2400" spans="19:19" x14ac:dyDescent="0.2">
      <c r="S2400" s="81"/>
    </row>
    <row r="2401" spans="19:19" x14ac:dyDescent="0.2">
      <c r="S2401" s="81"/>
    </row>
    <row r="2402" spans="19:19" x14ac:dyDescent="0.2">
      <c r="S2402" s="81"/>
    </row>
    <row r="2403" spans="19:19" x14ac:dyDescent="0.2">
      <c r="S2403" s="81"/>
    </row>
    <row r="2404" spans="19:19" x14ac:dyDescent="0.2">
      <c r="S2404" s="81"/>
    </row>
    <row r="2405" spans="19:19" x14ac:dyDescent="0.2">
      <c r="S2405" s="81"/>
    </row>
    <row r="2406" spans="19:19" x14ac:dyDescent="0.2">
      <c r="S2406" s="81"/>
    </row>
    <row r="2407" spans="19:19" x14ac:dyDescent="0.2">
      <c r="S2407" s="81"/>
    </row>
    <row r="2408" spans="19:19" x14ac:dyDescent="0.2">
      <c r="S2408" s="81"/>
    </row>
    <row r="2409" spans="19:19" x14ac:dyDescent="0.2">
      <c r="S2409" s="81"/>
    </row>
    <row r="2410" spans="19:19" x14ac:dyDescent="0.2">
      <c r="S2410" s="81"/>
    </row>
    <row r="2411" spans="19:19" x14ac:dyDescent="0.2">
      <c r="S2411" s="81"/>
    </row>
    <row r="2412" spans="19:19" x14ac:dyDescent="0.2">
      <c r="S2412" s="81"/>
    </row>
    <row r="2413" spans="19:19" x14ac:dyDescent="0.2">
      <c r="S2413" s="81"/>
    </row>
    <row r="2414" spans="19:19" x14ac:dyDescent="0.2">
      <c r="S2414" s="81"/>
    </row>
    <row r="2415" spans="19:19" x14ac:dyDescent="0.2">
      <c r="S2415" s="81"/>
    </row>
    <row r="2416" spans="19:19" x14ac:dyDescent="0.2">
      <c r="S2416" s="81"/>
    </row>
    <row r="2417" spans="19:19" x14ac:dyDescent="0.2">
      <c r="S2417" s="81"/>
    </row>
    <row r="2418" spans="19:19" x14ac:dyDescent="0.2">
      <c r="S2418" s="81"/>
    </row>
    <row r="2419" spans="19:19" x14ac:dyDescent="0.2">
      <c r="S2419" s="81"/>
    </row>
    <row r="2420" spans="19:19" x14ac:dyDescent="0.2">
      <c r="S2420" s="81"/>
    </row>
    <row r="2421" spans="19:19" x14ac:dyDescent="0.2">
      <c r="S2421" s="81"/>
    </row>
    <row r="2422" spans="19:19" x14ac:dyDescent="0.2">
      <c r="S2422" s="81"/>
    </row>
    <row r="2423" spans="19:19" x14ac:dyDescent="0.2">
      <c r="S2423" s="81"/>
    </row>
    <row r="2424" spans="19:19" x14ac:dyDescent="0.2">
      <c r="S2424" s="81"/>
    </row>
    <row r="2425" spans="19:19" x14ac:dyDescent="0.2">
      <c r="S2425" s="81"/>
    </row>
    <row r="2426" spans="19:19" x14ac:dyDescent="0.2">
      <c r="S2426" s="81"/>
    </row>
    <row r="2427" spans="19:19" x14ac:dyDescent="0.2">
      <c r="S2427" s="81"/>
    </row>
    <row r="2428" spans="19:19" x14ac:dyDescent="0.2">
      <c r="S2428" s="81"/>
    </row>
    <row r="2429" spans="19:19" x14ac:dyDescent="0.2">
      <c r="S2429" s="81"/>
    </row>
    <row r="2430" spans="19:19" x14ac:dyDescent="0.2">
      <c r="S2430" s="81"/>
    </row>
    <row r="2431" spans="19:19" x14ac:dyDescent="0.2">
      <c r="S2431" s="81"/>
    </row>
    <row r="2432" spans="19:19" x14ac:dyDescent="0.2">
      <c r="S2432" s="81"/>
    </row>
    <row r="2433" spans="19:19" x14ac:dyDescent="0.2">
      <c r="S2433" s="81"/>
    </row>
    <row r="2434" spans="19:19" x14ac:dyDescent="0.2">
      <c r="S2434" s="81"/>
    </row>
    <row r="2435" spans="19:19" x14ac:dyDescent="0.2">
      <c r="S2435" s="81"/>
    </row>
    <row r="2436" spans="19:19" x14ac:dyDescent="0.2">
      <c r="S2436" s="81"/>
    </row>
    <row r="2437" spans="19:19" x14ac:dyDescent="0.2">
      <c r="S2437" s="81"/>
    </row>
    <row r="2438" spans="19:19" x14ac:dyDescent="0.2">
      <c r="S2438" s="81"/>
    </row>
    <row r="2439" spans="19:19" x14ac:dyDescent="0.2">
      <c r="S2439" s="81"/>
    </row>
    <row r="2440" spans="19:19" x14ac:dyDescent="0.2">
      <c r="S2440" s="81"/>
    </row>
    <row r="2441" spans="19:19" x14ac:dyDescent="0.2">
      <c r="S2441" s="81"/>
    </row>
    <row r="2442" spans="19:19" x14ac:dyDescent="0.2">
      <c r="S2442" s="81"/>
    </row>
    <row r="2443" spans="19:19" x14ac:dyDescent="0.2">
      <c r="S2443" s="81"/>
    </row>
    <row r="2444" spans="19:19" x14ac:dyDescent="0.2">
      <c r="S2444" s="81"/>
    </row>
    <row r="2445" spans="19:19" x14ac:dyDescent="0.2">
      <c r="S2445" s="81"/>
    </row>
    <row r="2446" spans="19:19" x14ac:dyDescent="0.2">
      <c r="S2446" s="81"/>
    </row>
    <row r="2447" spans="19:19" x14ac:dyDescent="0.2">
      <c r="S2447" s="81"/>
    </row>
    <row r="2448" spans="19:19" x14ac:dyDescent="0.2">
      <c r="S2448" s="81"/>
    </row>
    <row r="2449" spans="19:19" x14ac:dyDescent="0.2">
      <c r="S2449" s="81"/>
    </row>
    <row r="2450" spans="19:19" x14ac:dyDescent="0.2">
      <c r="S2450" s="81"/>
    </row>
    <row r="2451" spans="19:19" x14ac:dyDescent="0.2">
      <c r="S2451" s="81"/>
    </row>
    <row r="2452" spans="19:19" x14ac:dyDescent="0.2">
      <c r="S2452" s="81"/>
    </row>
    <row r="2453" spans="19:19" x14ac:dyDescent="0.2">
      <c r="S2453" s="81"/>
    </row>
    <row r="2454" spans="19:19" x14ac:dyDescent="0.2">
      <c r="S2454" s="81"/>
    </row>
    <row r="2455" spans="19:19" x14ac:dyDescent="0.2">
      <c r="S2455" s="81"/>
    </row>
    <row r="2456" spans="19:19" x14ac:dyDescent="0.2">
      <c r="S2456" s="81"/>
    </row>
    <row r="2457" spans="19:19" x14ac:dyDescent="0.2">
      <c r="S2457" s="81"/>
    </row>
    <row r="2458" spans="19:19" x14ac:dyDescent="0.2">
      <c r="S2458" s="81"/>
    </row>
    <row r="2459" spans="19:19" x14ac:dyDescent="0.2">
      <c r="S2459" s="81"/>
    </row>
    <row r="2460" spans="19:19" x14ac:dyDescent="0.2">
      <c r="S2460" s="81"/>
    </row>
    <row r="2461" spans="19:19" x14ac:dyDescent="0.2">
      <c r="S2461" s="81"/>
    </row>
    <row r="2462" spans="19:19" x14ac:dyDescent="0.2">
      <c r="S2462" s="81"/>
    </row>
    <row r="2463" spans="19:19" x14ac:dyDescent="0.2">
      <c r="S2463" s="81"/>
    </row>
    <row r="2464" spans="19:19" x14ac:dyDescent="0.2">
      <c r="S2464" s="81"/>
    </row>
    <row r="2465" spans="19:19" x14ac:dyDescent="0.2">
      <c r="S2465" s="81"/>
    </row>
    <row r="2466" spans="19:19" x14ac:dyDescent="0.2">
      <c r="S2466" s="81"/>
    </row>
    <row r="2467" spans="19:19" x14ac:dyDescent="0.2">
      <c r="S2467" s="81"/>
    </row>
    <row r="2468" spans="19:19" x14ac:dyDescent="0.2">
      <c r="S2468" s="81"/>
    </row>
    <row r="2469" spans="19:19" x14ac:dyDescent="0.2">
      <c r="S2469" s="81"/>
    </row>
    <row r="2470" spans="19:19" x14ac:dyDescent="0.2">
      <c r="S2470" s="81"/>
    </row>
    <row r="2471" spans="19:19" x14ac:dyDescent="0.2">
      <c r="S2471" s="81"/>
    </row>
    <row r="2472" spans="19:19" x14ac:dyDescent="0.2">
      <c r="S2472" s="81"/>
    </row>
    <row r="2473" spans="19:19" x14ac:dyDescent="0.2">
      <c r="S2473" s="81"/>
    </row>
    <row r="2474" spans="19:19" x14ac:dyDescent="0.2">
      <c r="S2474" s="81"/>
    </row>
    <row r="2475" spans="19:19" x14ac:dyDescent="0.2">
      <c r="S2475" s="81"/>
    </row>
    <row r="2476" spans="19:19" x14ac:dyDescent="0.2">
      <c r="S2476" s="81"/>
    </row>
    <row r="2477" spans="19:19" x14ac:dyDescent="0.2">
      <c r="S2477" s="81"/>
    </row>
    <row r="2478" spans="19:19" x14ac:dyDescent="0.2">
      <c r="S2478" s="81"/>
    </row>
    <row r="2479" spans="19:19" x14ac:dyDescent="0.2">
      <c r="S2479" s="81"/>
    </row>
    <row r="2480" spans="19:19" x14ac:dyDescent="0.2">
      <c r="S2480" s="81"/>
    </row>
    <row r="2481" spans="19:19" x14ac:dyDescent="0.2">
      <c r="S2481" s="81"/>
    </row>
    <row r="2482" spans="19:19" x14ac:dyDescent="0.2">
      <c r="S2482" s="81"/>
    </row>
    <row r="2483" spans="19:19" x14ac:dyDescent="0.2">
      <c r="S2483" s="81"/>
    </row>
    <row r="2484" spans="19:19" x14ac:dyDescent="0.2">
      <c r="S2484" s="81"/>
    </row>
    <row r="2485" spans="19:19" x14ac:dyDescent="0.2">
      <c r="S2485" s="81"/>
    </row>
    <row r="2486" spans="19:19" x14ac:dyDescent="0.2">
      <c r="S2486" s="81"/>
    </row>
    <row r="2487" spans="19:19" x14ac:dyDescent="0.2">
      <c r="S2487" s="81"/>
    </row>
    <row r="2488" spans="19:19" x14ac:dyDescent="0.2">
      <c r="S2488" s="81"/>
    </row>
    <row r="2489" spans="19:19" x14ac:dyDescent="0.2">
      <c r="S2489" s="81"/>
    </row>
    <row r="2490" spans="19:19" x14ac:dyDescent="0.2">
      <c r="S2490" s="81"/>
    </row>
    <row r="2491" spans="19:19" x14ac:dyDescent="0.2">
      <c r="S2491" s="81"/>
    </row>
    <row r="2492" spans="19:19" x14ac:dyDescent="0.2">
      <c r="S2492" s="81"/>
    </row>
    <row r="2493" spans="19:19" x14ac:dyDescent="0.2">
      <c r="S2493" s="81"/>
    </row>
    <row r="2494" spans="19:19" x14ac:dyDescent="0.2">
      <c r="S2494" s="81"/>
    </row>
    <row r="2495" spans="19:19" x14ac:dyDescent="0.2">
      <c r="S2495" s="81"/>
    </row>
    <row r="2496" spans="19:19" x14ac:dyDescent="0.2">
      <c r="S2496" s="81"/>
    </row>
    <row r="2497" spans="19:19" x14ac:dyDescent="0.2">
      <c r="S2497" s="81"/>
    </row>
    <row r="2498" spans="19:19" x14ac:dyDescent="0.2">
      <c r="S2498" s="81"/>
    </row>
    <row r="2499" spans="19:19" x14ac:dyDescent="0.2">
      <c r="S2499" s="81"/>
    </row>
    <row r="2500" spans="19:19" x14ac:dyDescent="0.2">
      <c r="S2500" s="81"/>
    </row>
    <row r="2501" spans="19:19" x14ac:dyDescent="0.2">
      <c r="S2501" s="81"/>
    </row>
    <row r="2502" spans="19:19" x14ac:dyDescent="0.2">
      <c r="S2502" s="81"/>
    </row>
    <row r="2503" spans="19:19" x14ac:dyDescent="0.2">
      <c r="S2503" s="81"/>
    </row>
    <row r="2504" spans="19:19" x14ac:dyDescent="0.2">
      <c r="S2504" s="81"/>
    </row>
    <row r="2505" spans="19:19" x14ac:dyDescent="0.2">
      <c r="S2505" s="81"/>
    </row>
    <row r="2506" spans="19:19" x14ac:dyDescent="0.2">
      <c r="S2506" s="81"/>
    </row>
    <row r="2507" spans="19:19" x14ac:dyDescent="0.2">
      <c r="S2507" s="81"/>
    </row>
    <row r="2508" spans="19:19" x14ac:dyDescent="0.2">
      <c r="S2508" s="81"/>
    </row>
    <row r="2509" spans="19:19" x14ac:dyDescent="0.2">
      <c r="S2509" s="81"/>
    </row>
    <row r="2510" spans="19:19" x14ac:dyDescent="0.2">
      <c r="S2510" s="81"/>
    </row>
    <row r="2511" spans="19:19" x14ac:dyDescent="0.2">
      <c r="S2511" s="81"/>
    </row>
    <row r="2512" spans="19:19" x14ac:dyDescent="0.2">
      <c r="S2512" s="81"/>
    </row>
    <row r="2513" spans="19:19" x14ac:dyDescent="0.2">
      <c r="S2513" s="81"/>
    </row>
    <row r="2514" spans="19:19" x14ac:dyDescent="0.2">
      <c r="S2514" s="81"/>
    </row>
    <row r="2515" spans="19:19" x14ac:dyDescent="0.2">
      <c r="S2515" s="81"/>
    </row>
    <row r="2516" spans="19:19" x14ac:dyDescent="0.2">
      <c r="S2516" s="81"/>
    </row>
    <row r="2517" spans="19:19" x14ac:dyDescent="0.2">
      <c r="S2517" s="81"/>
    </row>
    <row r="2518" spans="19:19" x14ac:dyDescent="0.2">
      <c r="S2518" s="81"/>
    </row>
    <row r="2519" spans="19:19" x14ac:dyDescent="0.2">
      <c r="S2519" s="81"/>
    </row>
    <row r="2520" spans="19:19" x14ac:dyDescent="0.2">
      <c r="S2520" s="81"/>
    </row>
    <row r="2521" spans="19:19" x14ac:dyDescent="0.2">
      <c r="S2521" s="81"/>
    </row>
    <row r="2522" spans="19:19" x14ac:dyDescent="0.2">
      <c r="S2522" s="81"/>
    </row>
    <row r="2523" spans="19:19" x14ac:dyDescent="0.2">
      <c r="S2523" s="81"/>
    </row>
    <row r="2524" spans="19:19" x14ac:dyDescent="0.2">
      <c r="S2524" s="81"/>
    </row>
    <row r="2525" spans="19:19" x14ac:dyDescent="0.2">
      <c r="S2525" s="81"/>
    </row>
    <row r="2526" spans="19:19" x14ac:dyDescent="0.2">
      <c r="S2526" s="81"/>
    </row>
    <row r="2527" spans="19:19" x14ac:dyDescent="0.2">
      <c r="S2527" s="81"/>
    </row>
    <row r="2528" spans="19:19" x14ac:dyDescent="0.2">
      <c r="S2528" s="81"/>
    </row>
    <row r="2529" spans="19:19" x14ac:dyDescent="0.2">
      <c r="S2529" s="81"/>
    </row>
    <row r="2530" spans="19:19" x14ac:dyDescent="0.2">
      <c r="S2530" s="81"/>
    </row>
    <row r="2531" spans="19:19" x14ac:dyDescent="0.2">
      <c r="S2531" s="81"/>
    </row>
    <row r="2532" spans="19:19" x14ac:dyDescent="0.2">
      <c r="S2532" s="81"/>
    </row>
    <row r="2533" spans="19:19" x14ac:dyDescent="0.2">
      <c r="S2533" s="81"/>
    </row>
    <row r="2534" spans="19:19" x14ac:dyDescent="0.2">
      <c r="S2534" s="81"/>
    </row>
    <row r="2535" spans="19:19" x14ac:dyDescent="0.2">
      <c r="S2535" s="81"/>
    </row>
    <row r="2536" spans="19:19" x14ac:dyDescent="0.2">
      <c r="S2536" s="81"/>
    </row>
    <row r="2537" spans="19:19" x14ac:dyDescent="0.2">
      <c r="S2537" s="81"/>
    </row>
    <row r="2538" spans="19:19" x14ac:dyDescent="0.2">
      <c r="S2538" s="81"/>
    </row>
    <row r="2539" spans="19:19" x14ac:dyDescent="0.2">
      <c r="S2539" s="81"/>
    </row>
    <row r="2540" spans="19:19" x14ac:dyDescent="0.2">
      <c r="S2540" s="81"/>
    </row>
    <row r="2541" spans="19:19" x14ac:dyDescent="0.2">
      <c r="S2541" s="81"/>
    </row>
    <row r="2542" spans="19:19" x14ac:dyDescent="0.2">
      <c r="S2542" s="81"/>
    </row>
    <row r="2543" spans="19:19" x14ac:dyDescent="0.2">
      <c r="S2543" s="81"/>
    </row>
    <row r="2544" spans="19:19" x14ac:dyDescent="0.2">
      <c r="S2544" s="81"/>
    </row>
    <row r="2545" spans="19:19" x14ac:dyDescent="0.2">
      <c r="S2545" s="81"/>
    </row>
    <row r="2546" spans="19:19" x14ac:dyDescent="0.2">
      <c r="S2546" s="81"/>
    </row>
    <row r="2547" spans="19:19" x14ac:dyDescent="0.2">
      <c r="S2547" s="81"/>
    </row>
    <row r="2548" spans="19:19" x14ac:dyDescent="0.2">
      <c r="S2548" s="81"/>
    </row>
    <row r="2549" spans="19:19" x14ac:dyDescent="0.2">
      <c r="S2549" s="81"/>
    </row>
    <row r="2550" spans="19:19" x14ac:dyDescent="0.2">
      <c r="S2550" s="81"/>
    </row>
    <row r="2551" spans="19:19" x14ac:dyDescent="0.2">
      <c r="S2551" s="81"/>
    </row>
    <row r="2552" spans="19:19" x14ac:dyDescent="0.2">
      <c r="S2552" s="81"/>
    </row>
    <row r="2553" spans="19:19" x14ac:dyDescent="0.2">
      <c r="S2553" s="81"/>
    </row>
    <row r="2554" spans="19:19" x14ac:dyDescent="0.2">
      <c r="S2554" s="81"/>
    </row>
    <row r="2555" spans="19:19" x14ac:dyDescent="0.2">
      <c r="S2555" s="81"/>
    </row>
    <row r="2556" spans="19:19" x14ac:dyDescent="0.2">
      <c r="S2556" s="81"/>
    </row>
    <row r="2557" spans="19:19" x14ac:dyDescent="0.2">
      <c r="S2557" s="81"/>
    </row>
    <row r="2558" spans="19:19" x14ac:dyDescent="0.2">
      <c r="S2558" s="81"/>
    </row>
    <row r="2559" spans="19:19" x14ac:dyDescent="0.2">
      <c r="S2559" s="81"/>
    </row>
    <row r="2560" spans="19:19" x14ac:dyDescent="0.2">
      <c r="S2560" s="81"/>
    </row>
    <row r="2561" spans="19:19" x14ac:dyDescent="0.2">
      <c r="S2561" s="81"/>
    </row>
    <row r="2562" spans="19:19" x14ac:dyDescent="0.2">
      <c r="S2562" s="81"/>
    </row>
    <row r="2563" spans="19:19" x14ac:dyDescent="0.2">
      <c r="S2563" s="81"/>
    </row>
    <row r="2564" spans="19:19" x14ac:dyDescent="0.2">
      <c r="S2564" s="81"/>
    </row>
    <row r="2565" spans="19:19" x14ac:dyDescent="0.2">
      <c r="S2565" s="81"/>
    </row>
    <row r="2566" spans="19:19" x14ac:dyDescent="0.2">
      <c r="S2566" s="81"/>
    </row>
    <row r="2567" spans="19:19" x14ac:dyDescent="0.2">
      <c r="S2567" s="81"/>
    </row>
    <row r="2568" spans="19:19" x14ac:dyDescent="0.2">
      <c r="S2568" s="81"/>
    </row>
    <row r="2569" spans="19:19" x14ac:dyDescent="0.2">
      <c r="S2569" s="81"/>
    </row>
    <row r="2570" spans="19:19" x14ac:dyDescent="0.2">
      <c r="S2570" s="81"/>
    </row>
    <row r="2571" spans="19:19" x14ac:dyDescent="0.2">
      <c r="S2571" s="81"/>
    </row>
    <row r="2572" spans="19:19" x14ac:dyDescent="0.2">
      <c r="S2572" s="81"/>
    </row>
    <row r="2573" spans="19:19" x14ac:dyDescent="0.2">
      <c r="S2573" s="81"/>
    </row>
    <row r="2574" spans="19:19" x14ac:dyDescent="0.2">
      <c r="S2574" s="81"/>
    </row>
    <row r="2575" spans="19:19" x14ac:dyDescent="0.2">
      <c r="S2575" s="81"/>
    </row>
    <row r="2576" spans="19:19" x14ac:dyDescent="0.2">
      <c r="S2576" s="81"/>
    </row>
    <row r="2577" spans="19:19" x14ac:dyDescent="0.2">
      <c r="S2577" s="81"/>
    </row>
    <row r="2578" spans="19:19" x14ac:dyDescent="0.2">
      <c r="S2578" s="81"/>
    </row>
    <row r="2579" spans="19:19" x14ac:dyDescent="0.2">
      <c r="S2579" s="81"/>
    </row>
    <row r="2580" spans="19:19" x14ac:dyDescent="0.2">
      <c r="S2580" s="81"/>
    </row>
    <row r="2581" spans="19:19" x14ac:dyDescent="0.2">
      <c r="S2581" s="81"/>
    </row>
    <row r="2582" spans="19:19" x14ac:dyDescent="0.2">
      <c r="S2582" s="81"/>
    </row>
    <row r="2583" spans="19:19" x14ac:dyDescent="0.2">
      <c r="S2583" s="81"/>
    </row>
    <row r="2584" spans="19:19" x14ac:dyDescent="0.2">
      <c r="S2584" s="81"/>
    </row>
    <row r="2585" spans="19:19" x14ac:dyDescent="0.2">
      <c r="S2585" s="81"/>
    </row>
    <row r="2586" spans="19:19" x14ac:dyDescent="0.2">
      <c r="S2586" s="81"/>
    </row>
    <row r="2587" spans="19:19" x14ac:dyDescent="0.2">
      <c r="S2587" s="81"/>
    </row>
    <row r="2588" spans="19:19" x14ac:dyDescent="0.2">
      <c r="S2588" s="81"/>
    </row>
    <row r="2589" spans="19:19" x14ac:dyDescent="0.2">
      <c r="S2589" s="81"/>
    </row>
    <row r="2590" spans="19:19" x14ac:dyDescent="0.2">
      <c r="S2590" s="81"/>
    </row>
    <row r="2591" spans="19:19" x14ac:dyDescent="0.2">
      <c r="S2591" s="81"/>
    </row>
    <row r="2592" spans="19:19" x14ac:dyDescent="0.2">
      <c r="S2592" s="81"/>
    </row>
    <row r="2593" spans="19:19" x14ac:dyDescent="0.2">
      <c r="S2593" s="81"/>
    </row>
    <row r="2594" spans="19:19" x14ac:dyDescent="0.2">
      <c r="S2594" s="81"/>
    </row>
    <row r="2595" spans="19:19" x14ac:dyDescent="0.2">
      <c r="S2595" s="81"/>
    </row>
    <row r="2596" spans="19:19" x14ac:dyDescent="0.2">
      <c r="S2596" s="81"/>
    </row>
    <row r="2597" spans="19:19" x14ac:dyDescent="0.2">
      <c r="S2597" s="81"/>
    </row>
    <row r="2598" spans="19:19" x14ac:dyDescent="0.2">
      <c r="S2598" s="81"/>
    </row>
    <row r="2599" spans="19:19" x14ac:dyDescent="0.2">
      <c r="S2599" s="81"/>
    </row>
    <row r="2600" spans="19:19" x14ac:dyDescent="0.2">
      <c r="S2600" s="81"/>
    </row>
    <row r="2601" spans="19:19" x14ac:dyDescent="0.2">
      <c r="S2601" s="81"/>
    </row>
    <row r="2602" spans="19:19" x14ac:dyDescent="0.2">
      <c r="S2602" s="81"/>
    </row>
    <row r="2603" spans="19:19" x14ac:dyDescent="0.2">
      <c r="S2603" s="81"/>
    </row>
    <row r="2604" spans="19:19" x14ac:dyDescent="0.2">
      <c r="S2604" s="81"/>
    </row>
    <row r="2605" spans="19:19" x14ac:dyDescent="0.2">
      <c r="S2605" s="81"/>
    </row>
    <row r="2606" spans="19:19" x14ac:dyDescent="0.2">
      <c r="S2606" s="81"/>
    </row>
    <row r="2607" spans="19:19" x14ac:dyDescent="0.2">
      <c r="S2607" s="81"/>
    </row>
    <row r="2608" spans="19:19" x14ac:dyDescent="0.2">
      <c r="S2608" s="81"/>
    </row>
    <row r="2609" spans="19:19" x14ac:dyDescent="0.2">
      <c r="S2609" s="81"/>
    </row>
    <row r="2610" spans="19:19" x14ac:dyDescent="0.2">
      <c r="S2610" s="81"/>
    </row>
    <row r="2611" spans="19:19" x14ac:dyDescent="0.2">
      <c r="S2611" s="81"/>
    </row>
    <row r="2612" spans="19:19" x14ac:dyDescent="0.2">
      <c r="S2612" s="81"/>
    </row>
    <row r="2613" spans="19:19" x14ac:dyDescent="0.2">
      <c r="S2613" s="81"/>
    </row>
    <row r="2614" spans="19:19" x14ac:dyDescent="0.2">
      <c r="S2614" s="81"/>
    </row>
    <row r="2615" spans="19:19" x14ac:dyDescent="0.2">
      <c r="S2615" s="81"/>
    </row>
    <row r="2616" spans="19:19" x14ac:dyDescent="0.2">
      <c r="S2616" s="81"/>
    </row>
    <row r="2617" spans="19:19" x14ac:dyDescent="0.2">
      <c r="S2617" s="81"/>
    </row>
    <row r="2618" spans="19:19" x14ac:dyDescent="0.2">
      <c r="S2618" s="81"/>
    </row>
    <row r="2619" spans="19:19" x14ac:dyDescent="0.2">
      <c r="S2619" s="81"/>
    </row>
    <row r="2620" spans="19:19" x14ac:dyDescent="0.2">
      <c r="S2620" s="81"/>
    </row>
    <row r="2621" spans="19:19" x14ac:dyDescent="0.2">
      <c r="S2621" s="81"/>
    </row>
    <row r="2622" spans="19:19" x14ac:dyDescent="0.2">
      <c r="S2622" s="81"/>
    </row>
    <row r="2623" spans="19:19" x14ac:dyDescent="0.2">
      <c r="S2623" s="81"/>
    </row>
    <row r="2624" spans="19:19" x14ac:dyDescent="0.2">
      <c r="S2624" s="81"/>
    </row>
    <row r="2625" spans="19:19" x14ac:dyDescent="0.2">
      <c r="S2625" s="81"/>
    </row>
    <row r="2626" spans="19:19" x14ac:dyDescent="0.2">
      <c r="S2626" s="81"/>
    </row>
    <row r="2627" spans="19:19" x14ac:dyDescent="0.2">
      <c r="S2627" s="81"/>
    </row>
    <row r="2628" spans="19:19" x14ac:dyDescent="0.2">
      <c r="S2628" s="81"/>
    </row>
    <row r="2629" spans="19:19" x14ac:dyDescent="0.2">
      <c r="S2629" s="81"/>
    </row>
    <row r="2630" spans="19:19" x14ac:dyDescent="0.2">
      <c r="S2630" s="81"/>
    </row>
    <row r="2631" spans="19:19" x14ac:dyDescent="0.2">
      <c r="S2631" s="81"/>
    </row>
    <row r="2632" spans="19:19" x14ac:dyDescent="0.2">
      <c r="S2632" s="81"/>
    </row>
    <row r="2633" spans="19:19" x14ac:dyDescent="0.2">
      <c r="S2633" s="81"/>
    </row>
    <row r="2634" spans="19:19" x14ac:dyDescent="0.2">
      <c r="S2634" s="81"/>
    </row>
    <row r="2635" spans="19:19" x14ac:dyDescent="0.2">
      <c r="S2635" s="81"/>
    </row>
    <row r="2636" spans="19:19" x14ac:dyDescent="0.2">
      <c r="S2636" s="81"/>
    </row>
    <row r="2637" spans="19:19" x14ac:dyDescent="0.2">
      <c r="S2637" s="81"/>
    </row>
    <row r="2638" spans="19:19" x14ac:dyDescent="0.2">
      <c r="S2638" s="81"/>
    </row>
    <row r="2639" spans="19:19" x14ac:dyDescent="0.2">
      <c r="S2639" s="81"/>
    </row>
    <row r="2640" spans="19:19" x14ac:dyDescent="0.2">
      <c r="S2640" s="81"/>
    </row>
    <row r="2641" spans="19:19" x14ac:dyDescent="0.2">
      <c r="S2641" s="81"/>
    </row>
    <row r="2642" spans="19:19" x14ac:dyDescent="0.2">
      <c r="S2642" s="81"/>
    </row>
    <row r="2643" spans="19:19" x14ac:dyDescent="0.2">
      <c r="S2643" s="81"/>
    </row>
    <row r="2644" spans="19:19" x14ac:dyDescent="0.2">
      <c r="S2644" s="81"/>
    </row>
    <row r="2645" spans="19:19" x14ac:dyDescent="0.2">
      <c r="S2645" s="81"/>
    </row>
    <row r="2646" spans="19:19" x14ac:dyDescent="0.2">
      <c r="S2646" s="81"/>
    </row>
    <row r="2647" spans="19:19" x14ac:dyDescent="0.2">
      <c r="S2647" s="81"/>
    </row>
    <row r="2648" spans="19:19" x14ac:dyDescent="0.2">
      <c r="S2648" s="81"/>
    </row>
    <row r="2649" spans="19:19" x14ac:dyDescent="0.2">
      <c r="S2649" s="81"/>
    </row>
    <row r="2650" spans="19:19" x14ac:dyDescent="0.2">
      <c r="S2650" s="81"/>
    </row>
    <row r="2651" spans="19:19" x14ac:dyDescent="0.2">
      <c r="S2651" s="81"/>
    </row>
    <row r="2652" spans="19:19" x14ac:dyDescent="0.2">
      <c r="S2652" s="81"/>
    </row>
    <row r="2653" spans="19:19" x14ac:dyDescent="0.2">
      <c r="S2653" s="81"/>
    </row>
    <row r="2654" spans="19:19" x14ac:dyDescent="0.2">
      <c r="S2654" s="81"/>
    </row>
    <row r="2655" spans="19:19" x14ac:dyDescent="0.2">
      <c r="S2655" s="81"/>
    </row>
    <row r="2656" spans="19:19" x14ac:dyDescent="0.2">
      <c r="S2656" s="81"/>
    </row>
    <row r="2657" spans="19:19" x14ac:dyDescent="0.2">
      <c r="S2657" s="81"/>
    </row>
    <row r="2658" spans="19:19" x14ac:dyDescent="0.2">
      <c r="S2658" s="81"/>
    </row>
    <row r="2659" spans="19:19" x14ac:dyDescent="0.2">
      <c r="S2659" s="81"/>
    </row>
    <row r="2660" spans="19:19" x14ac:dyDescent="0.2">
      <c r="S2660" s="81"/>
    </row>
    <row r="2661" spans="19:19" x14ac:dyDescent="0.2">
      <c r="S2661" s="81"/>
    </row>
    <row r="2662" spans="19:19" x14ac:dyDescent="0.2">
      <c r="S2662" s="81"/>
    </row>
    <row r="2663" spans="19:19" x14ac:dyDescent="0.2">
      <c r="S2663" s="81"/>
    </row>
    <row r="2664" spans="19:19" x14ac:dyDescent="0.2">
      <c r="S2664" s="81"/>
    </row>
    <row r="2665" spans="19:19" x14ac:dyDescent="0.2">
      <c r="S2665" s="81"/>
    </row>
    <row r="2666" spans="19:19" x14ac:dyDescent="0.2">
      <c r="S2666" s="81"/>
    </row>
    <row r="2667" spans="19:19" x14ac:dyDescent="0.2">
      <c r="S2667" s="81"/>
    </row>
    <row r="2668" spans="19:19" x14ac:dyDescent="0.2">
      <c r="S2668" s="81"/>
    </row>
    <row r="2669" spans="19:19" x14ac:dyDescent="0.2">
      <c r="S2669" s="81"/>
    </row>
    <row r="2670" spans="19:19" x14ac:dyDescent="0.2">
      <c r="S2670" s="81"/>
    </row>
    <row r="2671" spans="19:19" x14ac:dyDescent="0.2">
      <c r="S2671" s="81"/>
    </row>
    <row r="2672" spans="19:19" x14ac:dyDescent="0.2">
      <c r="S2672" s="81"/>
    </row>
    <row r="2673" spans="19:19" x14ac:dyDescent="0.2">
      <c r="S2673" s="81"/>
    </row>
    <row r="2674" spans="19:19" x14ac:dyDescent="0.2">
      <c r="S2674" s="81"/>
    </row>
    <row r="2675" spans="19:19" x14ac:dyDescent="0.2">
      <c r="S2675" s="81"/>
    </row>
    <row r="2676" spans="19:19" x14ac:dyDescent="0.2">
      <c r="S2676" s="81"/>
    </row>
    <row r="2677" spans="19:19" x14ac:dyDescent="0.2">
      <c r="S2677" s="81"/>
    </row>
    <row r="2678" spans="19:19" x14ac:dyDescent="0.2">
      <c r="S2678" s="81"/>
    </row>
    <row r="2679" spans="19:19" x14ac:dyDescent="0.2">
      <c r="S2679" s="81"/>
    </row>
    <row r="2680" spans="19:19" x14ac:dyDescent="0.2">
      <c r="S2680" s="81"/>
    </row>
    <row r="2681" spans="19:19" x14ac:dyDescent="0.2">
      <c r="S2681" s="81"/>
    </row>
    <row r="2682" spans="19:19" x14ac:dyDescent="0.2">
      <c r="S2682" s="81"/>
    </row>
    <row r="2683" spans="19:19" x14ac:dyDescent="0.2">
      <c r="S2683" s="81"/>
    </row>
    <row r="2684" spans="19:19" x14ac:dyDescent="0.2">
      <c r="S2684" s="81"/>
    </row>
    <row r="2685" spans="19:19" x14ac:dyDescent="0.2">
      <c r="S2685" s="81"/>
    </row>
    <row r="2686" spans="19:19" x14ac:dyDescent="0.2">
      <c r="S2686" s="81"/>
    </row>
    <row r="2687" spans="19:19" x14ac:dyDescent="0.2">
      <c r="S2687" s="81"/>
    </row>
    <row r="2688" spans="19:19" x14ac:dyDescent="0.2">
      <c r="S2688" s="81"/>
    </row>
    <row r="2689" spans="19:19" x14ac:dyDescent="0.2">
      <c r="S2689" s="81"/>
    </row>
    <row r="2690" spans="19:19" x14ac:dyDescent="0.2">
      <c r="S2690" s="81"/>
    </row>
    <row r="2691" spans="19:19" x14ac:dyDescent="0.2">
      <c r="S2691" s="81"/>
    </row>
    <row r="2692" spans="19:19" x14ac:dyDescent="0.2">
      <c r="S2692" s="81"/>
    </row>
    <row r="2693" spans="19:19" x14ac:dyDescent="0.2">
      <c r="S2693" s="81"/>
    </row>
    <row r="2694" spans="19:19" x14ac:dyDescent="0.2">
      <c r="S2694" s="81"/>
    </row>
    <row r="2695" spans="19:19" x14ac:dyDescent="0.2">
      <c r="S2695" s="81"/>
    </row>
    <row r="2696" spans="19:19" x14ac:dyDescent="0.2">
      <c r="S2696" s="81"/>
    </row>
    <row r="2697" spans="19:19" x14ac:dyDescent="0.2">
      <c r="S2697" s="81"/>
    </row>
    <row r="2698" spans="19:19" x14ac:dyDescent="0.2">
      <c r="S2698" s="81"/>
    </row>
    <row r="2699" spans="19:19" x14ac:dyDescent="0.2">
      <c r="S2699" s="81"/>
    </row>
    <row r="2700" spans="19:19" x14ac:dyDescent="0.2">
      <c r="S2700" s="81"/>
    </row>
    <row r="2701" spans="19:19" x14ac:dyDescent="0.2">
      <c r="S2701" s="81"/>
    </row>
    <row r="2702" spans="19:19" x14ac:dyDescent="0.2">
      <c r="S2702" s="81"/>
    </row>
    <row r="2703" spans="19:19" x14ac:dyDescent="0.2">
      <c r="S2703" s="81"/>
    </row>
    <row r="2704" spans="19:19" x14ac:dyDescent="0.2">
      <c r="S2704" s="81"/>
    </row>
    <row r="2705" spans="19:19" x14ac:dyDescent="0.2">
      <c r="S2705" s="81"/>
    </row>
    <row r="2706" spans="19:19" x14ac:dyDescent="0.2">
      <c r="S2706" s="81"/>
    </row>
    <row r="2707" spans="19:19" x14ac:dyDescent="0.2">
      <c r="S2707" s="81"/>
    </row>
    <row r="2708" spans="19:19" x14ac:dyDescent="0.2">
      <c r="S2708" s="81"/>
    </row>
    <row r="2709" spans="19:19" x14ac:dyDescent="0.2">
      <c r="S2709" s="81"/>
    </row>
    <row r="2710" spans="19:19" x14ac:dyDescent="0.2">
      <c r="S2710" s="81"/>
    </row>
    <row r="2711" spans="19:19" x14ac:dyDescent="0.2">
      <c r="S2711" s="81"/>
    </row>
    <row r="2712" spans="19:19" x14ac:dyDescent="0.2">
      <c r="S2712" s="81"/>
    </row>
    <row r="2713" spans="19:19" x14ac:dyDescent="0.2">
      <c r="S2713" s="81"/>
    </row>
    <row r="2714" spans="19:19" x14ac:dyDescent="0.2">
      <c r="S2714" s="81"/>
    </row>
    <row r="2715" spans="19:19" x14ac:dyDescent="0.2">
      <c r="S2715" s="81"/>
    </row>
    <row r="2716" spans="19:19" x14ac:dyDescent="0.2">
      <c r="S2716" s="81"/>
    </row>
    <row r="2717" spans="19:19" x14ac:dyDescent="0.2">
      <c r="S2717" s="81"/>
    </row>
    <row r="2718" spans="19:19" x14ac:dyDescent="0.2">
      <c r="S2718" s="81"/>
    </row>
    <row r="2719" spans="19:19" x14ac:dyDescent="0.2">
      <c r="S2719" s="81"/>
    </row>
    <row r="2720" spans="19:19" x14ac:dyDescent="0.2">
      <c r="S2720" s="81"/>
    </row>
    <row r="2721" spans="19:19" x14ac:dyDescent="0.2">
      <c r="S2721" s="81"/>
    </row>
    <row r="2722" spans="19:19" x14ac:dyDescent="0.2">
      <c r="S2722" s="81"/>
    </row>
    <row r="2723" spans="19:19" x14ac:dyDescent="0.2">
      <c r="S2723" s="81"/>
    </row>
    <row r="2724" spans="19:19" x14ac:dyDescent="0.2">
      <c r="S2724" s="81"/>
    </row>
    <row r="2725" spans="19:19" x14ac:dyDescent="0.2">
      <c r="S2725" s="81"/>
    </row>
    <row r="2726" spans="19:19" x14ac:dyDescent="0.2">
      <c r="S2726" s="81"/>
    </row>
    <row r="2727" spans="19:19" x14ac:dyDescent="0.2">
      <c r="S2727" s="81"/>
    </row>
    <row r="2728" spans="19:19" x14ac:dyDescent="0.2">
      <c r="S2728" s="81"/>
    </row>
    <row r="2729" spans="19:19" x14ac:dyDescent="0.2">
      <c r="S2729" s="81"/>
    </row>
    <row r="2730" spans="19:19" x14ac:dyDescent="0.2">
      <c r="S2730" s="81"/>
    </row>
    <row r="2731" spans="19:19" x14ac:dyDescent="0.2">
      <c r="S2731" s="81"/>
    </row>
    <row r="2732" spans="19:19" x14ac:dyDescent="0.2">
      <c r="S2732" s="81"/>
    </row>
    <row r="2733" spans="19:19" x14ac:dyDescent="0.2">
      <c r="S2733" s="81"/>
    </row>
    <row r="2734" spans="19:19" x14ac:dyDescent="0.2">
      <c r="S2734" s="81"/>
    </row>
    <row r="2735" spans="19:19" x14ac:dyDescent="0.2">
      <c r="S2735" s="81"/>
    </row>
    <row r="2736" spans="19:19" x14ac:dyDescent="0.2">
      <c r="S2736" s="81"/>
    </row>
    <row r="2737" spans="19:19" x14ac:dyDescent="0.2">
      <c r="S2737" s="81"/>
    </row>
    <row r="2738" spans="19:19" x14ac:dyDescent="0.2">
      <c r="S2738" s="81"/>
    </row>
    <row r="2739" spans="19:19" x14ac:dyDescent="0.2">
      <c r="S2739" s="81"/>
    </row>
    <row r="2740" spans="19:19" x14ac:dyDescent="0.2">
      <c r="S2740" s="81"/>
    </row>
    <row r="2741" spans="19:19" x14ac:dyDescent="0.2">
      <c r="S2741" s="81"/>
    </row>
    <row r="2742" spans="19:19" x14ac:dyDescent="0.2">
      <c r="S2742" s="81"/>
    </row>
    <row r="2743" spans="19:19" x14ac:dyDescent="0.2">
      <c r="S2743" s="81"/>
    </row>
    <row r="2744" spans="19:19" x14ac:dyDescent="0.2">
      <c r="S2744" s="81"/>
    </row>
    <row r="2745" spans="19:19" x14ac:dyDescent="0.2">
      <c r="S2745" s="81"/>
    </row>
    <row r="2746" spans="19:19" x14ac:dyDescent="0.2">
      <c r="S2746" s="81"/>
    </row>
    <row r="2747" spans="19:19" x14ac:dyDescent="0.2">
      <c r="S2747" s="81"/>
    </row>
    <row r="2748" spans="19:19" x14ac:dyDescent="0.2">
      <c r="S2748" s="81"/>
    </row>
    <row r="2749" spans="19:19" x14ac:dyDescent="0.2">
      <c r="S2749" s="81"/>
    </row>
    <row r="2750" spans="19:19" x14ac:dyDescent="0.2">
      <c r="S2750" s="81"/>
    </row>
    <row r="2751" spans="19:19" x14ac:dyDescent="0.2">
      <c r="S2751" s="81"/>
    </row>
    <row r="2752" spans="19:19" x14ac:dyDescent="0.2">
      <c r="S2752" s="81"/>
    </row>
    <row r="2753" spans="19:19" x14ac:dyDescent="0.2">
      <c r="S2753" s="81"/>
    </row>
    <row r="2754" spans="19:19" x14ac:dyDescent="0.2">
      <c r="S2754" s="81"/>
    </row>
    <row r="2755" spans="19:19" x14ac:dyDescent="0.2">
      <c r="S2755" s="81"/>
    </row>
    <row r="2756" spans="19:19" x14ac:dyDescent="0.2">
      <c r="S2756" s="81"/>
    </row>
    <row r="2757" spans="19:19" x14ac:dyDescent="0.2">
      <c r="S2757" s="81"/>
    </row>
    <row r="2758" spans="19:19" x14ac:dyDescent="0.2">
      <c r="S2758" s="81"/>
    </row>
    <row r="2759" spans="19:19" x14ac:dyDescent="0.2">
      <c r="S2759" s="81"/>
    </row>
    <row r="2760" spans="19:19" x14ac:dyDescent="0.2">
      <c r="S2760" s="81"/>
    </row>
    <row r="2761" spans="19:19" x14ac:dyDescent="0.2">
      <c r="S2761" s="81"/>
    </row>
    <row r="2762" spans="19:19" x14ac:dyDescent="0.2">
      <c r="S2762" s="81"/>
    </row>
    <row r="2763" spans="19:19" x14ac:dyDescent="0.2">
      <c r="S2763" s="81"/>
    </row>
    <row r="2764" spans="19:19" x14ac:dyDescent="0.2">
      <c r="S2764" s="81"/>
    </row>
    <row r="2765" spans="19:19" x14ac:dyDescent="0.2">
      <c r="S2765" s="81"/>
    </row>
    <row r="2766" spans="19:19" x14ac:dyDescent="0.2">
      <c r="S2766" s="81"/>
    </row>
    <row r="2767" spans="19:19" x14ac:dyDescent="0.2">
      <c r="S2767" s="81"/>
    </row>
    <row r="2768" spans="19:19" x14ac:dyDescent="0.2">
      <c r="S2768" s="81"/>
    </row>
    <row r="2769" spans="19:19" x14ac:dyDescent="0.2">
      <c r="S2769" s="81"/>
    </row>
    <row r="2770" spans="19:19" x14ac:dyDescent="0.2">
      <c r="S2770" s="81"/>
    </row>
    <row r="2771" spans="19:19" x14ac:dyDescent="0.2">
      <c r="S2771" s="81"/>
    </row>
    <row r="2772" spans="19:19" x14ac:dyDescent="0.2">
      <c r="S2772" s="81"/>
    </row>
    <row r="2773" spans="19:19" x14ac:dyDescent="0.2">
      <c r="S2773" s="81"/>
    </row>
    <row r="2774" spans="19:19" x14ac:dyDescent="0.2">
      <c r="S2774" s="81"/>
    </row>
    <row r="2775" spans="19:19" x14ac:dyDescent="0.2">
      <c r="S2775" s="81"/>
    </row>
    <row r="2776" spans="19:19" x14ac:dyDescent="0.2">
      <c r="S2776" s="81"/>
    </row>
    <row r="2777" spans="19:19" x14ac:dyDescent="0.2">
      <c r="S2777" s="81"/>
    </row>
    <row r="2778" spans="19:19" x14ac:dyDescent="0.2">
      <c r="S2778" s="81"/>
    </row>
    <row r="2779" spans="19:19" x14ac:dyDescent="0.2">
      <c r="S2779" s="81"/>
    </row>
    <row r="2780" spans="19:19" x14ac:dyDescent="0.2">
      <c r="S2780" s="81"/>
    </row>
    <row r="2781" spans="19:19" x14ac:dyDescent="0.2">
      <c r="S2781" s="81"/>
    </row>
    <row r="2782" spans="19:19" x14ac:dyDescent="0.2">
      <c r="S2782" s="81"/>
    </row>
    <row r="2783" spans="19:19" x14ac:dyDescent="0.2">
      <c r="S2783" s="81"/>
    </row>
    <row r="2784" spans="19:19" x14ac:dyDescent="0.2">
      <c r="S2784" s="81"/>
    </row>
    <row r="2785" spans="19:19" x14ac:dyDescent="0.2">
      <c r="S2785" s="81"/>
    </row>
    <row r="2786" spans="19:19" x14ac:dyDescent="0.2">
      <c r="S2786" s="81"/>
    </row>
    <row r="2787" spans="19:19" x14ac:dyDescent="0.2">
      <c r="S2787" s="81"/>
    </row>
    <row r="2788" spans="19:19" x14ac:dyDescent="0.2">
      <c r="S2788" s="81"/>
    </row>
    <row r="2789" spans="19:19" x14ac:dyDescent="0.2">
      <c r="S2789" s="81"/>
    </row>
    <row r="2790" spans="19:19" x14ac:dyDescent="0.2">
      <c r="S2790" s="81"/>
    </row>
    <row r="2791" spans="19:19" x14ac:dyDescent="0.2">
      <c r="S2791" s="81"/>
    </row>
    <row r="2792" spans="19:19" x14ac:dyDescent="0.2">
      <c r="S2792" s="81"/>
    </row>
    <row r="2793" spans="19:19" x14ac:dyDescent="0.2">
      <c r="S2793" s="81"/>
    </row>
    <row r="2794" spans="19:19" x14ac:dyDescent="0.2">
      <c r="S2794" s="81"/>
    </row>
    <row r="2795" spans="19:19" x14ac:dyDescent="0.2">
      <c r="S2795" s="81"/>
    </row>
    <row r="2796" spans="19:19" x14ac:dyDescent="0.2">
      <c r="S2796" s="81"/>
    </row>
    <row r="2797" spans="19:19" x14ac:dyDescent="0.2">
      <c r="S2797" s="81"/>
    </row>
    <row r="2798" spans="19:19" x14ac:dyDescent="0.2">
      <c r="S2798" s="81"/>
    </row>
    <row r="2799" spans="19:19" x14ac:dyDescent="0.2">
      <c r="S2799" s="81"/>
    </row>
    <row r="2800" spans="19:19" x14ac:dyDescent="0.2">
      <c r="S2800" s="81"/>
    </row>
    <row r="2801" spans="19:19" x14ac:dyDescent="0.2">
      <c r="S2801" s="81"/>
    </row>
    <row r="2802" spans="19:19" x14ac:dyDescent="0.2">
      <c r="S2802" s="81"/>
    </row>
    <row r="2803" spans="19:19" x14ac:dyDescent="0.2">
      <c r="S2803" s="81"/>
    </row>
    <row r="2804" spans="19:19" x14ac:dyDescent="0.2">
      <c r="S2804" s="81"/>
    </row>
    <row r="2805" spans="19:19" x14ac:dyDescent="0.2">
      <c r="S2805" s="81"/>
    </row>
    <row r="2806" spans="19:19" x14ac:dyDescent="0.2">
      <c r="S2806" s="81"/>
    </row>
    <row r="2807" spans="19:19" x14ac:dyDescent="0.2">
      <c r="S2807" s="81"/>
    </row>
    <row r="2808" spans="19:19" x14ac:dyDescent="0.2">
      <c r="S2808" s="81"/>
    </row>
    <row r="2809" spans="19:19" x14ac:dyDescent="0.2">
      <c r="S2809" s="81"/>
    </row>
    <row r="2810" spans="19:19" x14ac:dyDescent="0.2">
      <c r="S2810" s="81"/>
    </row>
    <row r="2811" spans="19:19" x14ac:dyDescent="0.2">
      <c r="S2811" s="81"/>
    </row>
    <row r="2812" spans="19:19" x14ac:dyDescent="0.2">
      <c r="S2812" s="81"/>
    </row>
    <row r="2813" spans="19:19" x14ac:dyDescent="0.2">
      <c r="S2813" s="81"/>
    </row>
    <row r="2814" spans="19:19" x14ac:dyDescent="0.2">
      <c r="S2814" s="81"/>
    </row>
    <row r="2815" spans="19:19" x14ac:dyDescent="0.2">
      <c r="S2815" s="81"/>
    </row>
    <row r="2816" spans="19:19" x14ac:dyDescent="0.2">
      <c r="S2816" s="81"/>
    </row>
    <row r="2817" spans="19:19" x14ac:dyDescent="0.2">
      <c r="S2817" s="81"/>
    </row>
    <row r="2818" spans="19:19" x14ac:dyDescent="0.2">
      <c r="S2818" s="81"/>
    </row>
    <row r="2819" spans="19:19" x14ac:dyDescent="0.2">
      <c r="S2819" s="81"/>
    </row>
    <row r="2820" spans="19:19" x14ac:dyDescent="0.2">
      <c r="S2820" s="81"/>
    </row>
    <row r="2821" spans="19:19" x14ac:dyDescent="0.2">
      <c r="S2821" s="81"/>
    </row>
    <row r="2822" spans="19:19" x14ac:dyDescent="0.2">
      <c r="S2822" s="81"/>
    </row>
    <row r="2823" spans="19:19" x14ac:dyDescent="0.2">
      <c r="S2823" s="81"/>
    </row>
    <row r="2824" spans="19:19" x14ac:dyDescent="0.2">
      <c r="S2824" s="81"/>
    </row>
    <row r="2825" spans="19:19" x14ac:dyDescent="0.2">
      <c r="S2825" s="81"/>
    </row>
    <row r="2826" spans="19:19" x14ac:dyDescent="0.2">
      <c r="S2826" s="81"/>
    </row>
    <row r="2827" spans="19:19" x14ac:dyDescent="0.2">
      <c r="S2827" s="81"/>
    </row>
    <row r="2828" spans="19:19" x14ac:dyDescent="0.2">
      <c r="S2828" s="81"/>
    </row>
    <row r="2829" spans="19:19" x14ac:dyDescent="0.2">
      <c r="S2829" s="81"/>
    </row>
    <row r="2830" spans="19:19" x14ac:dyDescent="0.2">
      <c r="S2830" s="81"/>
    </row>
    <row r="2831" spans="19:19" x14ac:dyDescent="0.2">
      <c r="S2831" s="81"/>
    </row>
    <row r="2832" spans="19:19" x14ac:dyDescent="0.2">
      <c r="S2832" s="81"/>
    </row>
    <row r="2833" spans="19:19" x14ac:dyDescent="0.2">
      <c r="S2833" s="81"/>
    </row>
    <row r="2834" spans="19:19" x14ac:dyDescent="0.2">
      <c r="S2834" s="81"/>
    </row>
    <row r="2835" spans="19:19" x14ac:dyDescent="0.2">
      <c r="S2835" s="81"/>
    </row>
    <row r="2836" spans="19:19" x14ac:dyDescent="0.2">
      <c r="S2836" s="81"/>
    </row>
    <row r="2837" spans="19:19" x14ac:dyDescent="0.2">
      <c r="S2837" s="81"/>
    </row>
    <row r="2838" spans="19:19" x14ac:dyDescent="0.2">
      <c r="S2838" s="81"/>
    </row>
    <row r="2839" spans="19:19" x14ac:dyDescent="0.2">
      <c r="S2839" s="81"/>
    </row>
    <row r="2840" spans="19:19" x14ac:dyDescent="0.2">
      <c r="S2840" s="81"/>
    </row>
    <row r="2841" spans="19:19" x14ac:dyDescent="0.2">
      <c r="S2841" s="81"/>
    </row>
    <row r="2842" spans="19:19" x14ac:dyDescent="0.2">
      <c r="S2842" s="81"/>
    </row>
    <row r="2843" spans="19:19" x14ac:dyDescent="0.2">
      <c r="S2843" s="81"/>
    </row>
    <row r="2844" spans="19:19" x14ac:dyDescent="0.2">
      <c r="S2844" s="81"/>
    </row>
    <row r="2845" spans="19:19" x14ac:dyDescent="0.2">
      <c r="S2845" s="81"/>
    </row>
    <row r="2846" spans="19:19" x14ac:dyDescent="0.2">
      <c r="S2846" s="81"/>
    </row>
    <row r="2847" spans="19:19" x14ac:dyDescent="0.2">
      <c r="S2847" s="81"/>
    </row>
    <row r="2848" spans="19:19" x14ac:dyDescent="0.2">
      <c r="S2848" s="81"/>
    </row>
    <row r="2849" spans="19:19" x14ac:dyDescent="0.2">
      <c r="S2849" s="81"/>
    </row>
    <row r="2850" spans="19:19" x14ac:dyDescent="0.2">
      <c r="S2850" s="81"/>
    </row>
    <row r="2851" spans="19:19" x14ac:dyDescent="0.2">
      <c r="S2851" s="81"/>
    </row>
    <row r="2852" spans="19:19" x14ac:dyDescent="0.2">
      <c r="S2852" s="81"/>
    </row>
    <row r="2853" spans="19:19" x14ac:dyDescent="0.2">
      <c r="S2853" s="81"/>
    </row>
    <row r="2854" spans="19:19" x14ac:dyDescent="0.2">
      <c r="S2854" s="81"/>
    </row>
    <row r="2855" spans="19:19" x14ac:dyDescent="0.2">
      <c r="S2855" s="81"/>
    </row>
    <row r="2856" spans="19:19" x14ac:dyDescent="0.2">
      <c r="S2856" s="81"/>
    </row>
    <row r="2857" spans="19:19" x14ac:dyDescent="0.2">
      <c r="S2857" s="81"/>
    </row>
    <row r="2858" spans="19:19" x14ac:dyDescent="0.2">
      <c r="S2858" s="81"/>
    </row>
    <row r="2859" spans="19:19" x14ac:dyDescent="0.2">
      <c r="S2859" s="81"/>
    </row>
    <row r="2860" spans="19:19" x14ac:dyDescent="0.2">
      <c r="S2860" s="81"/>
    </row>
    <row r="2861" spans="19:19" x14ac:dyDescent="0.2">
      <c r="S2861" s="81"/>
    </row>
    <row r="2862" spans="19:19" x14ac:dyDescent="0.2">
      <c r="S2862" s="81"/>
    </row>
    <row r="2863" spans="19:19" x14ac:dyDescent="0.2">
      <c r="S2863" s="81"/>
    </row>
    <row r="2864" spans="19:19" x14ac:dyDescent="0.2">
      <c r="S2864" s="81"/>
    </row>
    <row r="2865" spans="19:19" x14ac:dyDescent="0.2">
      <c r="S2865" s="81"/>
    </row>
    <row r="2866" spans="19:19" x14ac:dyDescent="0.2">
      <c r="S2866" s="81"/>
    </row>
    <row r="2867" spans="19:19" x14ac:dyDescent="0.2">
      <c r="S2867" s="81"/>
    </row>
    <row r="2868" spans="19:19" x14ac:dyDescent="0.2">
      <c r="S2868" s="81"/>
    </row>
    <row r="2869" spans="19:19" x14ac:dyDescent="0.2">
      <c r="S2869" s="81"/>
    </row>
    <row r="2870" spans="19:19" x14ac:dyDescent="0.2">
      <c r="S2870" s="81"/>
    </row>
    <row r="2871" spans="19:19" x14ac:dyDescent="0.2">
      <c r="S2871" s="81"/>
    </row>
    <row r="2872" spans="19:19" x14ac:dyDescent="0.2">
      <c r="S2872" s="81"/>
    </row>
    <row r="2873" spans="19:19" x14ac:dyDescent="0.2">
      <c r="S2873" s="81"/>
    </row>
    <row r="2874" spans="19:19" x14ac:dyDescent="0.2">
      <c r="S2874" s="81"/>
    </row>
    <row r="2875" spans="19:19" x14ac:dyDescent="0.2">
      <c r="S2875" s="81"/>
    </row>
    <row r="2876" spans="19:19" x14ac:dyDescent="0.2">
      <c r="S2876" s="81"/>
    </row>
    <row r="2877" spans="19:19" x14ac:dyDescent="0.2">
      <c r="S2877" s="81"/>
    </row>
    <row r="2878" spans="19:19" x14ac:dyDescent="0.2">
      <c r="S2878" s="81"/>
    </row>
    <row r="2879" spans="19:19" x14ac:dyDescent="0.2">
      <c r="S2879" s="81"/>
    </row>
    <row r="2880" spans="19:19" x14ac:dyDescent="0.2">
      <c r="S2880" s="81"/>
    </row>
    <row r="2881" spans="19:19" x14ac:dyDescent="0.2">
      <c r="S2881" s="81"/>
    </row>
    <row r="2882" spans="19:19" x14ac:dyDescent="0.2">
      <c r="S2882" s="81"/>
    </row>
    <row r="2883" spans="19:19" x14ac:dyDescent="0.2">
      <c r="S2883" s="81"/>
    </row>
    <row r="2884" spans="19:19" x14ac:dyDescent="0.2">
      <c r="S2884" s="81"/>
    </row>
    <row r="2885" spans="19:19" x14ac:dyDescent="0.2">
      <c r="S2885" s="81"/>
    </row>
    <row r="2886" spans="19:19" x14ac:dyDescent="0.2">
      <c r="S2886" s="81"/>
    </row>
    <row r="2887" spans="19:19" x14ac:dyDescent="0.2">
      <c r="S2887" s="81"/>
    </row>
    <row r="2888" spans="19:19" x14ac:dyDescent="0.2">
      <c r="S2888" s="81"/>
    </row>
    <row r="2889" spans="19:19" x14ac:dyDescent="0.2">
      <c r="S2889" s="81"/>
    </row>
    <row r="2890" spans="19:19" x14ac:dyDescent="0.2">
      <c r="S2890" s="81"/>
    </row>
    <row r="2891" spans="19:19" x14ac:dyDescent="0.2">
      <c r="S2891" s="81"/>
    </row>
    <row r="2892" spans="19:19" x14ac:dyDescent="0.2">
      <c r="S2892" s="81"/>
    </row>
    <row r="2893" spans="19:19" x14ac:dyDescent="0.2">
      <c r="S2893" s="81"/>
    </row>
    <row r="2894" spans="19:19" x14ac:dyDescent="0.2">
      <c r="S2894" s="81"/>
    </row>
    <row r="2895" spans="19:19" x14ac:dyDescent="0.2">
      <c r="S2895" s="81"/>
    </row>
    <row r="2896" spans="19:19" x14ac:dyDescent="0.2">
      <c r="S2896" s="81"/>
    </row>
    <row r="2897" spans="19:19" x14ac:dyDescent="0.2">
      <c r="S2897" s="81"/>
    </row>
    <row r="2898" spans="19:19" x14ac:dyDescent="0.2">
      <c r="S2898" s="81"/>
    </row>
    <row r="2899" spans="19:19" x14ac:dyDescent="0.2">
      <c r="S2899" s="81"/>
    </row>
    <row r="2900" spans="19:19" x14ac:dyDescent="0.2">
      <c r="S2900" s="81"/>
    </row>
    <row r="2901" spans="19:19" x14ac:dyDescent="0.2">
      <c r="S2901" s="81"/>
    </row>
    <row r="2902" spans="19:19" x14ac:dyDescent="0.2">
      <c r="S2902" s="81"/>
    </row>
    <row r="2903" spans="19:19" x14ac:dyDescent="0.2">
      <c r="S2903" s="81"/>
    </row>
    <row r="2904" spans="19:19" x14ac:dyDescent="0.2">
      <c r="S2904" s="81"/>
    </row>
    <row r="2905" spans="19:19" x14ac:dyDescent="0.2">
      <c r="S2905" s="81"/>
    </row>
    <row r="2906" spans="19:19" x14ac:dyDescent="0.2">
      <c r="S2906" s="81"/>
    </row>
    <row r="2907" spans="19:19" x14ac:dyDescent="0.2">
      <c r="S2907" s="81"/>
    </row>
    <row r="2908" spans="19:19" x14ac:dyDescent="0.2">
      <c r="S2908" s="81"/>
    </row>
    <row r="2909" spans="19:19" x14ac:dyDescent="0.2">
      <c r="S2909" s="81"/>
    </row>
    <row r="2910" spans="19:19" x14ac:dyDescent="0.2">
      <c r="S2910" s="81"/>
    </row>
    <row r="2911" spans="19:19" x14ac:dyDescent="0.2">
      <c r="S2911" s="81"/>
    </row>
    <row r="2912" spans="19:19" x14ac:dyDescent="0.2">
      <c r="S2912" s="81"/>
    </row>
    <row r="2913" spans="19:19" x14ac:dyDescent="0.2">
      <c r="S2913" s="81"/>
    </row>
    <row r="2914" spans="19:19" x14ac:dyDescent="0.2">
      <c r="S2914" s="81"/>
    </row>
    <row r="2915" spans="19:19" x14ac:dyDescent="0.2">
      <c r="S2915" s="81"/>
    </row>
    <row r="2916" spans="19:19" x14ac:dyDescent="0.2">
      <c r="S2916" s="81"/>
    </row>
    <row r="2917" spans="19:19" x14ac:dyDescent="0.2">
      <c r="S2917" s="81"/>
    </row>
    <row r="2918" spans="19:19" x14ac:dyDescent="0.2">
      <c r="S2918" s="81"/>
    </row>
    <row r="2919" spans="19:19" x14ac:dyDescent="0.2">
      <c r="S2919" s="81"/>
    </row>
    <row r="2920" spans="19:19" x14ac:dyDescent="0.2">
      <c r="S2920" s="81"/>
    </row>
    <row r="2921" spans="19:19" x14ac:dyDescent="0.2">
      <c r="S2921" s="81"/>
    </row>
    <row r="2922" spans="19:19" x14ac:dyDescent="0.2">
      <c r="S2922" s="81"/>
    </row>
    <row r="2923" spans="19:19" x14ac:dyDescent="0.2">
      <c r="S2923" s="81"/>
    </row>
    <row r="2924" spans="19:19" x14ac:dyDescent="0.2">
      <c r="S2924" s="81"/>
    </row>
    <row r="2925" spans="19:19" x14ac:dyDescent="0.2">
      <c r="S2925" s="81"/>
    </row>
    <row r="2926" spans="19:19" x14ac:dyDescent="0.2">
      <c r="S2926" s="81"/>
    </row>
    <row r="2927" spans="19:19" x14ac:dyDescent="0.2">
      <c r="S2927" s="81"/>
    </row>
    <row r="2928" spans="19:19" x14ac:dyDescent="0.2">
      <c r="S2928" s="81"/>
    </row>
    <row r="2929" spans="19:19" x14ac:dyDescent="0.2">
      <c r="S2929" s="81"/>
    </row>
    <row r="2930" spans="19:19" x14ac:dyDescent="0.2">
      <c r="S2930" s="81"/>
    </row>
    <row r="2931" spans="19:19" x14ac:dyDescent="0.2">
      <c r="S2931" s="81"/>
    </row>
    <row r="2932" spans="19:19" x14ac:dyDescent="0.2">
      <c r="S2932" s="81"/>
    </row>
    <row r="2933" spans="19:19" x14ac:dyDescent="0.2">
      <c r="S2933" s="81"/>
    </row>
    <row r="2934" spans="19:19" x14ac:dyDescent="0.2">
      <c r="S2934" s="81"/>
    </row>
    <row r="2935" spans="19:19" x14ac:dyDescent="0.2">
      <c r="S2935" s="81"/>
    </row>
    <row r="2936" spans="19:19" x14ac:dyDescent="0.2">
      <c r="S2936" s="81"/>
    </row>
    <row r="2937" spans="19:19" x14ac:dyDescent="0.2">
      <c r="S2937" s="81"/>
    </row>
    <row r="2938" spans="19:19" x14ac:dyDescent="0.2">
      <c r="S2938" s="81"/>
    </row>
    <row r="2939" spans="19:19" x14ac:dyDescent="0.2">
      <c r="S2939" s="81"/>
    </row>
    <row r="2940" spans="19:19" x14ac:dyDescent="0.2">
      <c r="S2940" s="81"/>
    </row>
    <row r="2941" spans="19:19" x14ac:dyDescent="0.2">
      <c r="S2941" s="81"/>
    </row>
    <row r="2942" spans="19:19" x14ac:dyDescent="0.2">
      <c r="S2942" s="81"/>
    </row>
    <row r="2943" spans="19:19" x14ac:dyDescent="0.2">
      <c r="S2943" s="81"/>
    </row>
    <row r="2944" spans="19:19" x14ac:dyDescent="0.2">
      <c r="S2944" s="81"/>
    </row>
    <row r="2945" spans="19:19" x14ac:dyDescent="0.2">
      <c r="S2945" s="81"/>
    </row>
    <row r="2946" spans="19:19" x14ac:dyDescent="0.2">
      <c r="S2946" s="81"/>
    </row>
  </sheetData>
  <mergeCells count="2">
    <mergeCell ref="W2:Y2"/>
    <mergeCell ref="W3:AC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1511"/>
  <sheetViews>
    <sheetView workbookViewId="0">
      <selection activeCell="L16" sqref="L16"/>
    </sheetView>
  </sheetViews>
  <sheetFormatPr defaultRowHeight="15.75" x14ac:dyDescent="0.25"/>
  <cols>
    <col min="1" max="1" width="9.140625" style="1"/>
    <col min="2" max="3" width="15" style="1" customWidth="1"/>
    <col min="4" max="4" width="11" style="1" customWidth="1"/>
    <col min="5" max="5" width="15" style="1" customWidth="1"/>
    <col min="6" max="6" width="15.28515625" style="1" customWidth="1"/>
    <col min="7" max="7" width="14.85546875" style="1" customWidth="1"/>
    <col min="8" max="8" width="12.140625" style="1" customWidth="1"/>
    <col min="9" max="10" width="13.140625" style="1" bestFit="1" customWidth="1"/>
    <col min="11" max="11" width="11.42578125" style="131" bestFit="1" customWidth="1"/>
    <col min="12" max="12" width="13" style="1" customWidth="1"/>
    <col min="13" max="14" width="9.42578125" style="1" bestFit="1" customWidth="1"/>
    <col min="15" max="15" width="10.28515625" style="1" bestFit="1" customWidth="1"/>
    <col min="16" max="16" width="10.7109375" style="1" bestFit="1" customWidth="1"/>
    <col min="17" max="17" width="12.42578125" style="1" bestFit="1" customWidth="1"/>
    <col min="18" max="18" width="9.42578125" style="1" bestFit="1" customWidth="1"/>
    <col min="19" max="20" width="13.7109375" style="1" bestFit="1" customWidth="1"/>
    <col min="21" max="32" width="9.140625" style="1"/>
    <col min="33" max="33" width="9.28515625" style="1" bestFit="1" customWidth="1"/>
    <col min="34" max="34" width="12.42578125" style="1" bestFit="1" customWidth="1"/>
    <col min="35" max="35" width="11.42578125" style="1" bestFit="1" customWidth="1"/>
    <col min="36" max="36" width="12.42578125" style="1" bestFit="1" customWidth="1"/>
    <col min="37" max="40" width="12.42578125" style="1" customWidth="1"/>
    <col min="41" max="41" width="9.28515625" style="1" bestFit="1" customWidth="1"/>
    <col min="42" max="42" width="11.5703125" style="1" bestFit="1" customWidth="1"/>
    <col min="43" max="43" width="12" style="1" bestFit="1" customWidth="1"/>
    <col min="44" max="44" width="11.42578125" style="1" bestFit="1" customWidth="1"/>
    <col min="45" max="45" width="14.42578125" style="1" bestFit="1" customWidth="1"/>
    <col min="46" max="46" width="12.5703125" style="1" bestFit="1" customWidth="1"/>
    <col min="47" max="48" width="11.42578125" style="1" bestFit="1" customWidth="1"/>
    <col min="49" max="50" width="12" style="1" bestFit="1" customWidth="1"/>
    <col min="51" max="51" width="14.42578125" style="1" bestFit="1" customWidth="1"/>
    <col min="52" max="53" width="11.5703125" style="1" bestFit="1" customWidth="1"/>
    <col min="54" max="58" width="9.140625" style="1"/>
    <col min="59" max="59" width="12.28515625" style="1" bestFit="1" customWidth="1"/>
    <col min="60" max="61" width="12.85546875" style="1" bestFit="1" customWidth="1"/>
    <col min="62" max="62" width="11.140625" style="1" bestFit="1" customWidth="1"/>
    <col min="63" max="63" width="11.28515625" style="1" bestFit="1" customWidth="1"/>
    <col min="64" max="16384" width="9.140625" style="1"/>
  </cols>
  <sheetData>
    <row r="1" spans="1:79" x14ac:dyDescent="0.25">
      <c r="A1" s="4"/>
      <c r="B1" s="32" t="s">
        <v>20</v>
      </c>
      <c r="C1" s="33"/>
      <c r="D1" s="4"/>
      <c r="E1" s="4"/>
      <c r="F1" s="4"/>
      <c r="G1" s="4"/>
      <c r="H1" s="4"/>
      <c r="I1" s="4"/>
      <c r="J1" s="4"/>
      <c r="K1" s="139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 t="s">
        <v>0</v>
      </c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</row>
    <row r="2" spans="1:79" x14ac:dyDescent="0.25">
      <c r="A2" s="4"/>
      <c r="B2" s="36" t="s">
        <v>21</v>
      </c>
      <c r="C2" s="4"/>
      <c r="D2" s="4"/>
      <c r="E2" s="4"/>
      <c r="F2" s="4"/>
      <c r="G2" s="4"/>
      <c r="H2" s="4"/>
      <c r="I2" s="4"/>
      <c r="J2" s="4"/>
      <c r="K2" s="139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</row>
    <row r="3" spans="1:79" x14ac:dyDescent="0.25">
      <c r="A3" s="4"/>
      <c r="B3" s="4"/>
      <c r="C3" s="4"/>
      <c r="D3" s="4"/>
      <c r="E3" s="4"/>
      <c r="F3" s="4"/>
      <c r="G3" s="4"/>
      <c r="H3" s="4"/>
      <c r="I3" s="4"/>
      <c r="J3" s="17"/>
      <c r="K3" s="139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18"/>
      <c r="AO3" s="18"/>
      <c r="AP3" s="18"/>
      <c r="AQ3" s="18"/>
      <c r="AR3" s="18"/>
      <c r="AS3" s="18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</row>
    <row r="4" spans="1:79" x14ac:dyDescent="0.25">
      <c r="A4" s="4"/>
      <c r="B4" s="3" t="s">
        <v>3</v>
      </c>
      <c r="C4" s="4"/>
      <c r="D4" s="4"/>
      <c r="E4" s="4"/>
      <c r="F4" s="4"/>
      <c r="G4" s="4"/>
      <c r="H4" s="4"/>
      <c r="I4" s="4"/>
      <c r="J4" s="4"/>
      <c r="K4" s="139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18"/>
      <c r="AO4" s="18"/>
      <c r="AP4" s="18"/>
      <c r="AQ4" s="18"/>
      <c r="AR4" s="18"/>
      <c r="AS4" s="18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</row>
    <row r="5" spans="1:79" x14ac:dyDescent="0.25">
      <c r="A5" s="4"/>
      <c r="B5" s="5" t="s">
        <v>71</v>
      </c>
      <c r="C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18"/>
      <c r="AO5" s="18"/>
      <c r="AP5" s="18"/>
      <c r="AQ5" s="18"/>
      <c r="AR5" s="18"/>
      <c r="AS5" s="1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</row>
    <row r="6" spans="1:79" x14ac:dyDescent="0.25">
      <c r="A6" s="4"/>
      <c r="B6" s="34" t="s">
        <v>15</v>
      </c>
      <c r="C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18"/>
      <c r="AO6" s="18"/>
      <c r="AP6" s="18"/>
      <c r="AQ6" s="18"/>
      <c r="AR6" s="18"/>
      <c r="AS6" s="18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</row>
    <row r="7" spans="1:79" x14ac:dyDescent="0.25">
      <c r="A7" s="4"/>
      <c r="B7" s="5" t="s">
        <v>107</v>
      </c>
      <c r="C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8"/>
      <c r="AO7" s="18"/>
      <c r="AP7" s="18"/>
      <c r="AQ7" s="18"/>
      <c r="AR7" s="18"/>
      <c r="AS7" s="18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</row>
    <row r="8" spans="1:79" x14ac:dyDescent="0.25">
      <c r="A8" s="4"/>
      <c r="B8" s="5" t="s">
        <v>117</v>
      </c>
      <c r="C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18"/>
      <c r="AO8" s="18"/>
      <c r="AP8" s="18"/>
      <c r="AQ8" s="18"/>
      <c r="AR8" s="18"/>
      <c r="AS8" s="18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</row>
    <row r="9" spans="1:79" x14ac:dyDescent="0.25">
      <c r="A9" s="4"/>
      <c r="B9" s="5" t="s">
        <v>118</v>
      </c>
      <c r="C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18"/>
      <c r="AO9" s="18"/>
      <c r="AP9" s="18"/>
      <c r="AQ9" s="18"/>
      <c r="AR9" s="18"/>
      <c r="AS9" s="18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</row>
    <row r="10" spans="1:79" x14ac:dyDescent="0.25">
      <c r="A10" s="54" t="b">
        <v>0</v>
      </c>
      <c r="C10" s="4"/>
      <c r="L10" s="4"/>
      <c r="M10" s="37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18"/>
      <c r="AO10" s="18"/>
      <c r="AP10" s="18"/>
      <c r="AQ10" s="18"/>
      <c r="AR10" s="18"/>
      <c r="AS10" s="18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</row>
    <row r="11" spans="1:79" x14ac:dyDescent="0.25">
      <c r="A11"/>
      <c r="B11" s="27" t="s">
        <v>16</v>
      </c>
      <c r="C11" s="106"/>
      <c r="D11" s="169" t="s">
        <v>19</v>
      </c>
      <c r="E11" s="171"/>
      <c r="F11" s="171"/>
      <c r="G11" s="172"/>
      <c r="H11" s="173" t="s">
        <v>114</v>
      </c>
      <c r="I11" s="170"/>
      <c r="J11" s="169" t="s">
        <v>10</v>
      </c>
      <c r="K11" s="170"/>
      <c r="N11"/>
      <c r="O11"/>
      <c r="P11"/>
      <c r="Q11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18"/>
      <c r="AP11" s="18"/>
      <c r="AQ11" s="18"/>
      <c r="AR11" s="18"/>
      <c r="AS11" s="18"/>
      <c r="AT11" s="18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</row>
    <row r="12" spans="1:79" x14ac:dyDescent="0.25">
      <c r="A12"/>
      <c r="B12" s="29">
        <f>COUNT(B13:B65534)</f>
        <v>3</v>
      </c>
      <c r="C12" s="25" t="s">
        <v>11</v>
      </c>
      <c r="D12" s="25" t="s">
        <v>33</v>
      </c>
      <c r="E12" s="26" t="s">
        <v>7</v>
      </c>
      <c r="F12" s="26" t="s">
        <v>8</v>
      </c>
      <c r="G12" s="25" t="s">
        <v>34</v>
      </c>
      <c r="H12" s="25" t="s">
        <v>4</v>
      </c>
      <c r="I12" s="25" t="s">
        <v>5</v>
      </c>
      <c r="J12" s="30" t="s">
        <v>4</v>
      </c>
      <c r="K12" s="140" t="s">
        <v>6</v>
      </c>
      <c r="N12"/>
      <c r="O12"/>
      <c r="P12"/>
      <c r="Q12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18"/>
      <c r="AQ12" s="18"/>
      <c r="AR12" s="18"/>
      <c r="AS12" s="18"/>
      <c r="AT12" s="18"/>
      <c r="AU12" s="18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</row>
    <row r="13" spans="1:79" x14ac:dyDescent="0.25">
      <c r="A13"/>
      <c r="B13" s="129">
        <v>1</v>
      </c>
      <c r="C13" s="129" t="s">
        <v>9</v>
      </c>
      <c r="D13" s="130">
        <v>0</v>
      </c>
      <c r="E13" s="130">
        <v>10</v>
      </c>
      <c r="F13" s="130">
        <v>10</v>
      </c>
      <c r="G13" s="130">
        <v>0</v>
      </c>
      <c r="H13" s="130"/>
      <c r="I13" s="130"/>
      <c r="J13" s="130"/>
      <c r="K13" s="141"/>
      <c r="N13"/>
      <c r="O13"/>
      <c r="P13"/>
      <c r="Q13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18"/>
      <c r="AQ13" s="18"/>
      <c r="AR13" s="18"/>
      <c r="AS13" s="18"/>
      <c r="AT13" s="18"/>
      <c r="AU13" s="18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</row>
    <row r="14" spans="1:79" x14ac:dyDescent="0.25">
      <c r="A14"/>
      <c r="B14" s="129">
        <v>2</v>
      </c>
      <c r="C14" s="129" t="s">
        <v>9</v>
      </c>
      <c r="D14" s="130"/>
      <c r="E14" s="130"/>
      <c r="F14" s="130"/>
      <c r="G14" s="130"/>
      <c r="H14" s="130">
        <v>2</v>
      </c>
      <c r="I14" s="130">
        <v>10</v>
      </c>
      <c r="J14" s="130"/>
      <c r="K14" s="141"/>
      <c r="N14"/>
      <c r="O14"/>
      <c r="P14"/>
      <c r="Q1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18"/>
      <c r="AQ14" s="18"/>
      <c r="AR14" s="18"/>
      <c r="AS14" s="18"/>
      <c r="AT14" s="18"/>
      <c r="AU14" s="18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</row>
    <row r="15" spans="1:79" x14ac:dyDescent="0.25">
      <c r="A15"/>
      <c r="B15" s="129">
        <v>3</v>
      </c>
      <c r="C15" s="129" t="s">
        <v>9</v>
      </c>
      <c r="D15" s="130"/>
      <c r="E15" s="130"/>
      <c r="F15" s="130"/>
      <c r="G15" s="130"/>
      <c r="H15" s="130"/>
      <c r="I15" s="130"/>
      <c r="J15" s="130">
        <v>3</v>
      </c>
      <c r="K15" s="141">
        <v>-10</v>
      </c>
      <c r="N15"/>
      <c r="O15"/>
      <c r="P15"/>
      <c r="Q15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18"/>
      <c r="AQ15" s="18"/>
      <c r="AR15" s="18"/>
      <c r="AS15" s="18"/>
      <c r="AT15" s="18"/>
      <c r="AU15" s="18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</row>
    <row r="16" spans="1:79" x14ac:dyDescent="0.25">
      <c r="A16"/>
      <c r="B16" s="129"/>
      <c r="C16" s="129"/>
      <c r="D16" s="130"/>
      <c r="E16" s="130"/>
      <c r="F16" s="130"/>
      <c r="G16" s="130"/>
      <c r="H16" s="130"/>
      <c r="I16" s="130"/>
      <c r="J16" s="130"/>
      <c r="K16" s="141"/>
      <c r="N16"/>
      <c r="O16"/>
      <c r="P16"/>
      <c r="Q16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18"/>
      <c r="AQ16" s="18"/>
      <c r="AR16" s="18"/>
      <c r="AS16" s="18"/>
      <c r="AT16" s="18"/>
      <c r="AU16" s="18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</row>
    <row r="17" spans="1:79" x14ac:dyDescent="0.25">
      <c r="A17"/>
      <c r="B17" s="129"/>
      <c r="C17" s="129"/>
      <c r="D17" s="130"/>
      <c r="E17" s="130"/>
      <c r="F17" s="130"/>
      <c r="G17" s="130"/>
      <c r="H17" s="130"/>
      <c r="I17" s="130"/>
      <c r="J17" s="130"/>
      <c r="K17" s="141"/>
      <c r="N17"/>
      <c r="O17"/>
      <c r="P17"/>
      <c r="Q17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18"/>
      <c r="AQ17" s="18"/>
      <c r="AR17" s="18"/>
      <c r="AS17" s="18"/>
      <c r="AT17" s="18"/>
      <c r="AU17" s="18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</row>
    <row r="18" spans="1:79" x14ac:dyDescent="0.25">
      <c r="A18"/>
      <c r="B18" s="129"/>
      <c r="C18" s="129"/>
      <c r="D18" s="130"/>
      <c r="E18" s="130"/>
      <c r="F18" s="130"/>
      <c r="G18" s="130"/>
      <c r="H18" s="130"/>
      <c r="I18" s="130"/>
      <c r="J18" s="130"/>
      <c r="K18" s="141"/>
      <c r="N18"/>
      <c r="O18"/>
      <c r="P18"/>
      <c r="Q18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18"/>
      <c r="AQ18" s="18"/>
      <c r="AR18" s="18"/>
      <c r="AS18" s="18"/>
      <c r="AT18" s="18"/>
      <c r="AU18" s="18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</row>
    <row r="19" spans="1:79" x14ac:dyDescent="0.25">
      <c r="A19"/>
      <c r="B19" s="129"/>
      <c r="C19" s="129"/>
      <c r="D19" s="130"/>
      <c r="E19" s="130"/>
      <c r="F19" s="130"/>
      <c r="G19" s="130"/>
      <c r="H19" s="130"/>
      <c r="I19" s="130"/>
      <c r="J19" s="130"/>
      <c r="K19" s="141"/>
      <c r="N19"/>
      <c r="O19"/>
      <c r="P19"/>
      <c r="Q19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18"/>
      <c r="AQ19" s="18"/>
      <c r="AR19" s="18"/>
      <c r="AS19" s="18"/>
      <c r="AT19" s="18"/>
      <c r="AU19" s="18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</row>
    <row r="20" spans="1:79" x14ac:dyDescent="0.25">
      <c r="A20"/>
      <c r="B20" s="129"/>
      <c r="C20" s="129"/>
      <c r="D20" s="130"/>
      <c r="E20" s="130"/>
      <c r="F20" s="130"/>
      <c r="G20" s="130"/>
      <c r="H20" s="130"/>
      <c r="I20" s="130"/>
      <c r="J20" s="130"/>
      <c r="K20" s="141"/>
      <c r="N20"/>
      <c r="O20"/>
      <c r="P20"/>
      <c r="Q20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18"/>
      <c r="AQ20" s="18"/>
      <c r="AR20" s="18"/>
      <c r="AS20" s="18"/>
      <c r="AT20" s="18"/>
      <c r="AU20" s="18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</row>
    <row r="21" spans="1:79" x14ac:dyDescent="0.25">
      <c r="A21"/>
      <c r="B21" s="129"/>
      <c r="C21" s="129"/>
      <c r="D21" s="130"/>
      <c r="E21" s="130"/>
      <c r="F21" s="130"/>
      <c r="G21" s="130"/>
      <c r="H21" s="130"/>
      <c r="I21" s="130"/>
      <c r="J21" s="130"/>
      <c r="K21" s="141"/>
      <c r="N21"/>
      <c r="O21"/>
      <c r="P21"/>
      <c r="Q21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18"/>
      <c r="AQ21" s="18"/>
      <c r="AR21" s="18"/>
      <c r="AS21" s="18"/>
      <c r="AT21" s="18"/>
      <c r="AU21" s="18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</row>
    <row r="22" spans="1:79" x14ac:dyDescent="0.25">
      <c r="A22"/>
      <c r="B22" s="129"/>
      <c r="C22" s="129"/>
      <c r="D22" s="130"/>
      <c r="E22" s="130"/>
      <c r="F22" s="130"/>
      <c r="G22" s="130"/>
      <c r="H22" s="130"/>
      <c r="I22" s="130"/>
      <c r="J22" s="130"/>
      <c r="K22" s="141"/>
      <c r="N22"/>
      <c r="O22"/>
      <c r="P22"/>
      <c r="Q22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18"/>
      <c r="AQ22" s="18"/>
      <c r="AR22" s="18"/>
      <c r="AS22" s="18"/>
      <c r="AT22" s="18"/>
      <c r="AU22" s="18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x14ac:dyDescent="0.25">
      <c r="A23"/>
      <c r="B23" s="129"/>
      <c r="C23" s="129"/>
      <c r="D23" s="130"/>
      <c r="E23" s="130"/>
      <c r="F23" s="130"/>
      <c r="G23" s="130"/>
      <c r="H23" s="130"/>
      <c r="I23" s="130"/>
      <c r="J23" s="130"/>
      <c r="K23" s="141"/>
      <c r="N23"/>
      <c r="O23"/>
      <c r="P23"/>
      <c r="Q23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18"/>
      <c r="AQ23" s="18"/>
      <c r="AR23" s="18"/>
      <c r="AS23" s="18"/>
      <c r="AT23" s="18"/>
      <c r="AU23" s="18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x14ac:dyDescent="0.25">
      <c r="A24"/>
      <c r="B24" s="129"/>
      <c r="C24" s="129"/>
      <c r="D24" s="130"/>
      <c r="E24" s="130"/>
      <c r="F24" s="130"/>
      <c r="G24" s="130"/>
      <c r="H24" s="130"/>
      <c r="I24" s="130"/>
      <c r="J24" s="130"/>
      <c r="K24" s="141"/>
      <c r="N24"/>
      <c r="O24"/>
      <c r="P24"/>
      <c r="Q2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18"/>
      <c r="AQ24" s="18"/>
      <c r="AR24" s="18"/>
      <c r="AS24" s="18"/>
      <c r="AT24" s="18"/>
      <c r="AU24" s="18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</row>
    <row r="25" spans="1:79" x14ac:dyDescent="0.25">
      <c r="A25"/>
      <c r="B25" s="129"/>
      <c r="C25" s="129"/>
      <c r="D25" s="130"/>
      <c r="E25" s="130"/>
      <c r="F25" s="130"/>
      <c r="G25" s="130"/>
      <c r="H25" s="130"/>
      <c r="I25" s="130"/>
      <c r="J25" s="130"/>
      <c r="K25" s="141"/>
      <c r="N25"/>
      <c r="O25"/>
      <c r="P25"/>
      <c r="Q25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18"/>
      <c r="AQ25" s="18"/>
      <c r="AR25" s="18"/>
      <c r="AS25" s="18"/>
      <c r="AT25" s="18"/>
      <c r="AU25" s="18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</row>
    <row r="26" spans="1:79" x14ac:dyDescent="0.25">
      <c r="A26"/>
      <c r="B26" s="129"/>
      <c r="C26" s="129"/>
      <c r="D26" s="130"/>
      <c r="E26" s="130"/>
      <c r="F26" s="130"/>
      <c r="G26" s="130"/>
      <c r="H26" s="130"/>
      <c r="I26" s="130"/>
      <c r="J26" s="130"/>
      <c r="K26" s="141"/>
      <c r="N26"/>
      <c r="O26"/>
      <c r="P26"/>
      <c r="Q26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18"/>
      <c r="AQ26" s="18"/>
      <c r="AR26" s="18"/>
      <c r="AS26" s="18"/>
      <c r="AT26" s="18"/>
      <c r="AU26" s="18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</row>
    <row r="27" spans="1:79" x14ac:dyDescent="0.25">
      <c r="A27"/>
      <c r="B27" s="129"/>
      <c r="C27" s="129"/>
      <c r="D27" s="130"/>
      <c r="E27" s="130"/>
      <c r="F27" s="130"/>
      <c r="G27" s="130"/>
      <c r="H27" s="130"/>
      <c r="I27" s="130"/>
      <c r="J27" s="130"/>
      <c r="K27" s="141"/>
      <c r="N27"/>
      <c r="O27"/>
      <c r="P27"/>
      <c r="Q27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18"/>
      <c r="AQ27" s="18"/>
      <c r="AR27" s="18"/>
      <c r="AS27" s="18"/>
      <c r="AT27" s="18"/>
      <c r="AU27" s="18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</row>
    <row r="28" spans="1:79" x14ac:dyDescent="0.25">
      <c r="A28"/>
      <c r="B28" s="129"/>
      <c r="C28" s="129"/>
      <c r="D28" s="130"/>
      <c r="E28" s="130"/>
      <c r="F28" s="130"/>
      <c r="G28" s="130"/>
      <c r="H28" s="130"/>
      <c r="I28" s="130"/>
      <c r="J28" s="130"/>
      <c r="K28" s="141"/>
      <c r="N28"/>
      <c r="O28"/>
      <c r="P28"/>
      <c r="Q28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18"/>
      <c r="AQ28" s="18"/>
      <c r="AR28" s="18"/>
      <c r="AS28" s="18"/>
      <c r="AT28" s="18"/>
      <c r="AU28" s="18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</row>
    <row r="29" spans="1:79" x14ac:dyDescent="0.25">
      <c r="A29"/>
      <c r="B29" s="129"/>
      <c r="C29" s="129"/>
      <c r="D29" s="130"/>
      <c r="E29" s="130"/>
      <c r="F29" s="130"/>
      <c r="G29" s="130"/>
      <c r="H29" s="130"/>
      <c r="I29" s="130"/>
      <c r="J29" s="130"/>
      <c r="K29" s="141"/>
      <c r="N29"/>
      <c r="O29"/>
      <c r="P29"/>
      <c r="Q29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18"/>
      <c r="AQ29" s="18"/>
      <c r="AR29" s="18"/>
      <c r="AS29" s="18"/>
      <c r="AT29" s="18"/>
      <c r="AU29" s="18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</row>
    <row r="30" spans="1:79" x14ac:dyDescent="0.25">
      <c r="A30"/>
      <c r="B30" s="129"/>
      <c r="C30" s="129"/>
      <c r="D30" s="130"/>
      <c r="E30" s="130"/>
      <c r="F30" s="130"/>
      <c r="G30" s="130"/>
      <c r="H30" s="130"/>
      <c r="I30" s="130"/>
      <c r="J30" s="130"/>
      <c r="K30" s="141"/>
      <c r="N30"/>
      <c r="O30"/>
      <c r="P30"/>
      <c r="Q30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18"/>
      <c r="AQ30" s="18"/>
      <c r="AR30" s="18"/>
      <c r="AS30" s="18"/>
      <c r="AT30" s="18"/>
      <c r="AU30" s="18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</row>
    <row r="31" spans="1:79" x14ac:dyDescent="0.25">
      <c r="A31"/>
      <c r="B31" s="129"/>
      <c r="C31" s="129"/>
      <c r="D31" s="130"/>
      <c r="E31" s="130"/>
      <c r="F31" s="130"/>
      <c r="G31" s="130"/>
      <c r="H31" s="130"/>
      <c r="I31" s="130"/>
      <c r="J31" s="130"/>
      <c r="K31" s="141"/>
      <c r="N31"/>
      <c r="O31"/>
      <c r="P31"/>
      <c r="Q31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18"/>
      <c r="AQ31" s="18"/>
      <c r="AR31" s="18"/>
      <c r="AS31" s="18"/>
      <c r="AT31" s="18"/>
      <c r="AU31" s="18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</row>
    <row r="32" spans="1:79" x14ac:dyDescent="0.25">
      <c r="A32"/>
      <c r="B32" s="129"/>
      <c r="C32" s="129"/>
      <c r="D32" s="130"/>
      <c r="E32" s="130"/>
      <c r="F32" s="130"/>
      <c r="G32" s="130"/>
      <c r="H32" s="130"/>
      <c r="I32" s="130"/>
      <c r="J32" s="130"/>
      <c r="K32" s="141"/>
      <c r="N32"/>
      <c r="O32"/>
      <c r="P32"/>
      <c r="Q32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18"/>
      <c r="AQ32" s="18"/>
      <c r="AR32" s="18"/>
      <c r="AS32" s="18"/>
      <c r="AT32" s="18"/>
      <c r="AU32" s="18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</row>
    <row r="33" spans="1:79" x14ac:dyDescent="0.25">
      <c r="A33"/>
      <c r="B33" s="129"/>
      <c r="C33" s="129"/>
      <c r="D33" s="130"/>
      <c r="E33" s="130"/>
      <c r="F33" s="130"/>
      <c r="G33" s="130"/>
      <c r="H33" s="130"/>
      <c r="I33" s="130"/>
      <c r="J33" s="130"/>
      <c r="K33" s="141"/>
      <c r="N33"/>
      <c r="O33"/>
      <c r="P33"/>
      <c r="Q33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18"/>
      <c r="AQ33" s="18"/>
      <c r="AR33" s="18"/>
      <c r="AS33" s="18"/>
      <c r="AT33" s="18"/>
      <c r="AU33" s="18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</row>
    <row r="34" spans="1:79" x14ac:dyDescent="0.25">
      <c r="A34"/>
      <c r="B34" s="129"/>
      <c r="C34" s="129"/>
      <c r="D34" s="130"/>
      <c r="E34" s="130"/>
      <c r="F34" s="130"/>
      <c r="G34" s="130"/>
      <c r="H34" s="130"/>
      <c r="I34" s="130"/>
      <c r="J34" s="130"/>
      <c r="K34" s="141"/>
      <c r="N34"/>
      <c r="O34"/>
      <c r="P34"/>
      <c r="Q3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18"/>
      <c r="AQ34" s="18"/>
      <c r="AR34" s="18"/>
      <c r="AS34" s="18"/>
      <c r="AT34" s="18"/>
      <c r="AU34" s="18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</row>
    <row r="35" spans="1:79" x14ac:dyDescent="0.25">
      <c r="A35"/>
      <c r="B35" s="129"/>
      <c r="C35" s="129"/>
      <c r="D35" s="130"/>
      <c r="E35" s="130"/>
      <c r="F35" s="130"/>
      <c r="G35" s="130"/>
      <c r="H35" s="130"/>
      <c r="I35" s="130"/>
      <c r="J35" s="130"/>
      <c r="K35" s="141"/>
      <c r="N35"/>
      <c r="O35"/>
      <c r="P35"/>
      <c r="Q35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18"/>
      <c r="AQ35" s="18"/>
      <c r="AR35" s="18"/>
      <c r="AS35" s="18"/>
      <c r="AT35" s="18"/>
      <c r="AU35" s="18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</row>
    <row r="36" spans="1:79" x14ac:dyDescent="0.25">
      <c r="A36"/>
      <c r="B36" s="129"/>
      <c r="C36" s="129"/>
      <c r="D36" s="130"/>
      <c r="E36" s="130"/>
      <c r="F36" s="130"/>
      <c r="G36" s="130"/>
      <c r="H36" s="130"/>
      <c r="I36" s="130"/>
      <c r="J36" s="130"/>
      <c r="K36" s="141"/>
      <c r="N36"/>
      <c r="O36"/>
      <c r="P36"/>
      <c r="Q36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18"/>
      <c r="AQ36" s="18"/>
      <c r="AR36" s="18"/>
      <c r="AS36" s="18"/>
      <c r="AT36" s="18"/>
      <c r="AU36" s="18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</row>
    <row r="37" spans="1:79" x14ac:dyDescent="0.25">
      <c r="A37"/>
      <c r="B37" s="129"/>
      <c r="C37" s="129"/>
      <c r="D37" s="130"/>
      <c r="E37" s="130"/>
      <c r="F37" s="130"/>
      <c r="G37" s="130"/>
      <c r="H37" s="130"/>
      <c r="I37" s="130"/>
      <c r="J37" s="130"/>
      <c r="K37" s="141"/>
      <c r="N37"/>
      <c r="O37"/>
      <c r="P37"/>
      <c r="Q37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18"/>
      <c r="AQ37" s="18"/>
      <c r="AR37" s="18"/>
      <c r="AS37" s="18"/>
      <c r="AT37" s="18"/>
      <c r="AU37" s="18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</row>
    <row r="38" spans="1:79" x14ac:dyDescent="0.25">
      <c r="A38"/>
      <c r="B38" s="129"/>
      <c r="C38" s="129"/>
      <c r="D38" s="130"/>
      <c r="E38" s="130"/>
      <c r="F38" s="130"/>
      <c r="G38" s="130"/>
      <c r="H38" s="130"/>
      <c r="I38" s="130"/>
      <c r="J38" s="130"/>
      <c r="K38" s="141"/>
      <c r="N38"/>
      <c r="O38"/>
      <c r="P38"/>
      <c r="Q38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18"/>
      <c r="AQ38" s="18"/>
      <c r="AR38" s="18"/>
      <c r="AS38" s="18"/>
      <c r="AT38" s="18"/>
      <c r="AU38" s="18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</row>
    <row r="39" spans="1:79" x14ac:dyDescent="0.25">
      <c r="A39"/>
      <c r="B39" s="129"/>
      <c r="C39" s="129"/>
      <c r="D39" s="130"/>
      <c r="E39" s="130"/>
      <c r="F39" s="130"/>
      <c r="G39" s="130"/>
      <c r="H39" s="130"/>
      <c r="I39" s="130"/>
      <c r="J39" s="130"/>
      <c r="K39" s="141"/>
      <c r="N39"/>
      <c r="O39"/>
      <c r="P39"/>
      <c r="Q39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18"/>
      <c r="AQ39" s="18"/>
      <c r="AR39" s="18"/>
      <c r="AS39" s="18"/>
      <c r="AT39" s="18"/>
      <c r="AU39" s="18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x14ac:dyDescent="0.25">
      <c r="A40"/>
      <c r="B40" s="129"/>
      <c r="C40" s="129"/>
      <c r="D40" s="130"/>
      <c r="E40" s="130"/>
      <c r="F40" s="130"/>
      <c r="G40" s="130"/>
      <c r="H40" s="130"/>
      <c r="I40" s="130"/>
      <c r="J40" s="130"/>
      <c r="K40" s="141"/>
      <c r="N40"/>
      <c r="O40"/>
      <c r="P40"/>
      <c r="Q40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18"/>
      <c r="AQ40" s="18"/>
      <c r="AR40" s="18"/>
      <c r="AS40" s="18"/>
      <c r="AT40" s="18"/>
      <c r="AU40" s="18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x14ac:dyDescent="0.25">
      <c r="A41"/>
      <c r="B41" s="129"/>
      <c r="C41" s="129"/>
      <c r="D41" s="130"/>
      <c r="E41" s="130"/>
      <c r="F41" s="130"/>
      <c r="G41" s="130"/>
      <c r="H41" s="130"/>
      <c r="I41" s="130"/>
      <c r="J41" s="130"/>
      <c r="K41" s="141"/>
      <c r="N41"/>
      <c r="O41"/>
      <c r="P41"/>
      <c r="Q41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18"/>
      <c r="AQ41" s="18"/>
      <c r="AR41" s="18"/>
      <c r="AS41" s="18"/>
      <c r="AT41" s="18"/>
      <c r="AU41" s="18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x14ac:dyDescent="0.25">
      <c r="A42"/>
      <c r="B42" s="129"/>
      <c r="C42" s="129"/>
      <c r="D42" s="130"/>
      <c r="E42" s="130"/>
      <c r="F42" s="130"/>
      <c r="G42" s="130"/>
      <c r="H42" s="130"/>
      <c r="I42" s="130"/>
      <c r="J42" s="130"/>
      <c r="K42" s="141"/>
      <c r="N42"/>
      <c r="O42"/>
      <c r="P42"/>
      <c r="Q42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18"/>
      <c r="AQ42" s="18"/>
      <c r="AR42" s="18"/>
      <c r="AS42" s="18"/>
      <c r="AT42" s="18"/>
      <c r="AU42" s="18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x14ac:dyDescent="0.25">
      <c r="A43"/>
      <c r="B43" s="129"/>
      <c r="C43" s="129"/>
      <c r="D43" s="130"/>
      <c r="E43" s="130"/>
      <c r="F43" s="130"/>
      <c r="G43" s="130"/>
      <c r="H43" s="130"/>
      <c r="I43" s="130"/>
      <c r="J43" s="130"/>
      <c r="K43" s="141"/>
      <c r="N43"/>
      <c r="O43"/>
      <c r="P43"/>
      <c r="Q43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18"/>
      <c r="AQ43" s="18"/>
      <c r="AR43" s="18"/>
      <c r="AS43" s="18"/>
      <c r="AT43" s="18"/>
      <c r="AU43" s="18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x14ac:dyDescent="0.25">
      <c r="A44"/>
      <c r="B44" s="129"/>
      <c r="C44" s="129"/>
      <c r="D44" s="130"/>
      <c r="E44" s="130"/>
      <c r="F44" s="130"/>
      <c r="G44" s="130"/>
      <c r="H44" s="130"/>
      <c r="I44" s="130"/>
      <c r="J44" s="130"/>
      <c r="K44" s="141"/>
      <c r="N44"/>
      <c r="O44"/>
      <c r="P44"/>
      <c r="Q4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18"/>
      <c r="AQ44" s="18"/>
      <c r="AR44" s="18"/>
      <c r="AS44" s="18"/>
      <c r="AT44" s="18"/>
      <c r="AU44" s="18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x14ac:dyDescent="0.25">
      <c r="A45"/>
      <c r="B45" s="129"/>
      <c r="C45" s="129"/>
      <c r="D45" s="130"/>
      <c r="E45" s="130"/>
      <c r="F45" s="130"/>
      <c r="G45" s="130"/>
      <c r="H45" s="130"/>
      <c r="I45" s="130"/>
      <c r="J45" s="130"/>
      <c r="K45" s="141"/>
      <c r="N45"/>
      <c r="O45"/>
      <c r="P45"/>
      <c r="Q45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18"/>
      <c r="AQ45" s="18"/>
      <c r="AR45" s="18"/>
      <c r="AS45" s="18"/>
      <c r="AT45" s="18"/>
      <c r="AU45" s="18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x14ac:dyDescent="0.25">
      <c r="A46"/>
      <c r="B46" s="129"/>
      <c r="C46" s="129"/>
      <c r="D46" s="130"/>
      <c r="E46" s="130"/>
      <c r="F46" s="130"/>
      <c r="G46" s="130"/>
      <c r="H46" s="130"/>
      <c r="I46" s="130"/>
      <c r="J46" s="130"/>
      <c r="K46" s="141"/>
      <c r="N46"/>
      <c r="O46"/>
      <c r="P46"/>
      <c r="Q46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18"/>
      <c r="AQ46" s="18"/>
      <c r="AR46" s="18"/>
      <c r="AS46" s="18"/>
      <c r="AT46" s="18"/>
      <c r="AU46" s="18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x14ac:dyDescent="0.25">
      <c r="A47"/>
      <c r="B47" s="129"/>
      <c r="C47" s="129"/>
      <c r="D47" s="130"/>
      <c r="E47" s="130"/>
      <c r="F47" s="130"/>
      <c r="G47" s="130"/>
      <c r="H47" s="130"/>
      <c r="I47" s="130"/>
      <c r="J47" s="130"/>
      <c r="K47" s="141"/>
      <c r="N47"/>
      <c r="O47"/>
      <c r="P47"/>
      <c r="Q47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18"/>
      <c r="AQ47" s="18"/>
      <c r="AR47" s="18"/>
      <c r="AS47" s="18"/>
      <c r="AT47" s="18"/>
      <c r="AU47" s="18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x14ac:dyDescent="0.25">
      <c r="A48"/>
      <c r="B48" s="129"/>
      <c r="C48" s="129"/>
      <c r="D48" s="130"/>
      <c r="E48" s="130"/>
      <c r="F48" s="130"/>
      <c r="G48" s="130"/>
      <c r="H48" s="130"/>
      <c r="I48" s="130"/>
      <c r="J48" s="130"/>
      <c r="K48" s="141"/>
      <c r="N48"/>
      <c r="O48"/>
      <c r="P48"/>
      <c r="Q48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18"/>
      <c r="AQ48" s="18"/>
      <c r="AR48" s="18"/>
      <c r="AS48" s="18"/>
      <c r="AT48" s="18"/>
      <c r="AU48" s="18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x14ac:dyDescent="0.25">
      <c r="A49"/>
      <c r="B49" s="129"/>
      <c r="C49" s="129"/>
      <c r="D49" s="130"/>
      <c r="E49" s="130"/>
      <c r="F49" s="130"/>
      <c r="G49" s="130"/>
      <c r="H49" s="130"/>
      <c r="I49" s="130"/>
      <c r="J49" s="130"/>
      <c r="K49" s="141"/>
      <c r="N49"/>
      <c r="O49"/>
      <c r="P49"/>
      <c r="Q49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18"/>
      <c r="AQ49" s="18"/>
      <c r="AR49" s="18"/>
      <c r="AS49" s="18"/>
      <c r="AT49" s="18"/>
      <c r="AU49" s="18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x14ac:dyDescent="0.25">
      <c r="A50"/>
      <c r="B50" s="129"/>
      <c r="C50" s="129"/>
      <c r="D50" s="130"/>
      <c r="E50" s="130"/>
      <c r="F50" s="130"/>
      <c r="G50" s="130"/>
      <c r="H50" s="130"/>
      <c r="I50" s="130"/>
      <c r="J50" s="130"/>
      <c r="K50" s="141"/>
      <c r="N50"/>
      <c r="O50"/>
      <c r="P50"/>
      <c r="Q50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18"/>
      <c r="AQ50" s="18"/>
      <c r="AR50" s="18"/>
      <c r="AS50" s="18"/>
      <c r="AT50" s="18"/>
      <c r="AU50" s="18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x14ac:dyDescent="0.25">
      <c r="A51"/>
      <c r="B51" s="129"/>
      <c r="C51" s="129"/>
      <c r="D51" s="130"/>
      <c r="E51" s="130"/>
      <c r="F51" s="130"/>
      <c r="G51" s="130"/>
      <c r="H51" s="130"/>
      <c r="I51" s="130"/>
      <c r="J51" s="130"/>
      <c r="K51" s="141"/>
      <c r="N51"/>
      <c r="O51"/>
      <c r="P51"/>
      <c r="Q51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18"/>
      <c r="AQ51" s="18"/>
      <c r="AR51" s="18"/>
      <c r="AS51" s="18"/>
      <c r="AT51" s="18"/>
      <c r="AU51" s="18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x14ac:dyDescent="0.25">
      <c r="A52"/>
      <c r="B52" s="129"/>
      <c r="C52" s="129"/>
      <c r="D52" s="130"/>
      <c r="E52" s="130"/>
      <c r="F52" s="130"/>
      <c r="G52" s="130"/>
      <c r="H52" s="130"/>
      <c r="I52" s="130"/>
      <c r="J52" s="130"/>
      <c r="K52" s="141"/>
      <c r="N52"/>
      <c r="O52"/>
      <c r="P52"/>
      <c r="Q52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18"/>
      <c r="AQ52" s="18"/>
      <c r="AR52" s="18"/>
      <c r="AS52" s="18"/>
      <c r="AT52" s="18"/>
      <c r="AU52" s="18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x14ac:dyDescent="0.25">
      <c r="A53"/>
      <c r="B53" s="129"/>
      <c r="C53" s="129"/>
      <c r="D53" s="130"/>
      <c r="E53" s="130"/>
      <c r="F53" s="130"/>
      <c r="G53" s="130"/>
      <c r="H53" s="130"/>
      <c r="I53" s="130"/>
      <c r="J53" s="130"/>
      <c r="K53" s="141"/>
      <c r="N53"/>
      <c r="O53"/>
      <c r="P53"/>
      <c r="Q53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18"/>
      <c r="AQ53" s="18"/>
      <c r="AR53" s="18"/>
      <c r="AS53" s="18"/>
      <c r="AT53" s="18"/>
      <c r="AU53" s="18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</row>
    <row r="54" spans="1:79" x14ac:dyDescent="0.25">
      <c r="A54"/>
      <c r="B54" s="129"/>
      <c r="C54" s="129"/>
      <c r="D54" s="130"/>
      <c r="E54" s="130"/>
      <c r="F54" s="130"/>
      <c r="G54" s="130"/>
      <c r="H54" s="130"/>
      <c r="I54" s="130"/>
      <c r="J54" s="130"/>
      <c r="K54" s="141"/>
      <c r="N54"/>
      <c r="O54"/>
      <c r="P54"/>
      <c r="Q5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18"/>
      <c r="AQ54" s="18"/>
      <c r="AR54" s="18"/>
      <c r="AS54" s="18"/>
      <c r="AT54" s="18"/>
      <c r="AU54" s="18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</row>
    <row r="55" spans="1:79" x14ac:dyDescent="0.25">
      <c r="A55"/>
      <c r="B55" s="129"/>
      <c r="C55" s="129"/>
      <c r="D55" s="130"/>
      <c r="E55" s="130"/>
      <c r="F55" s="130"/>
      <c r="G55" s="130"/>
      <c r="H55" s="130"/>
      <c r="I55" s="130"/>
      <c r="J55" s="130"/>
      <c r="K55" s="141"/>
      <c r="N55"/>
      <c r="O55"/>
      <c r="P55"/>
      <c r="Q55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18"/>
      <c r="AQ55" s="18"/>
      <c r="AR55" s="18"/>
      <c r="AS55" s="18"/>
      <c r="AT55" s="18"/>
      <c r="AU55" s="18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</row>
    <row r="56" spans="1:79" x14ac:dyDescent="0.25">
      <c r="A56"/>
      <c r="B56" s="129"/>
      <c r="C56" s="129"/>
      <c r="D56" s="130"/>
      <c r="E56" s="130"/>
      <c r="F56" s="130"/>
      <c r="G56" s="130"/>
      <c r="H56" s="130"/>
      <c r="I56" s="130"/>
      <c r="J56" s="130"/>
      <c r="K56" s="141"/>
      <c r="N56"/>
      <c r="O56"/>
      <c r="P56"/>
      <c r="Q56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18"/>
      <c r="AQ56" s="18"/>
      <c r="AR56" s="18"/>
      <c r="AS56" s="18"/>
      <c r="AT56" s="18"/>
      <c r="AU56" s="18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</row>
    <row r="57" spans="1:79" x14ac:dyDescent="0.25">
      <c r="A57"/>
      <c r="B57" s="129"/>
      <c r="C57" s="129"/>
      <c r="D57" s="130"/>
      <c r="E57" s="130"/>
      <c r="F57" s="130"/>
      <c r="G57" s="130"/>
      <c r="H57" s="130"/>
      <c r="I57" s="130"/>
      <c r="J57" s="130"/>
      <c r="K57" s="141"/>
      <c r="N57"/>
      <c r="O57"/>
      <c r="P57"/>
      <c r="Q57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18"/>
      <c r="AQ57" s="18"/>
      <c r="AR57" s="18"/>
      <c r="AS57" s="18"/>
      <c r="AT57" s="18"/>
      <c r="AU57" s="18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</row>
    <row r="58" spans="1:79" x14ac:dyDescent="0.25">
      <c r="A58"/>
      <c r="B58" s="129"/>
      <c r="C58" s="129"/>
      <c r="D58" s="130"/>
      <c r="E58" s="130"/>
      <c r="F58" s="130"/>
      <c r="G58" s="130"/>
      <c r="H58" s="130"/>
      <c r="I58" s="130"/>
      <c r="J58" s="130"/>
      <c r="K58" s="141"/>
      <c r="N58"/>
      <c r="O58"/>
      <c r="P58"/>
      <c r="Q58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18"/>
      <c r="AQ58" s="18"/>
      <c r="AR58" s="18"/>
      <c r="AS58" s="18"/>
      <c r="AT58" s="18"/>
      <c r="AU58" s="18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</row>
    <row r="59" spans="1:79" x14ac:dyDescent="0.25">
      <c r="A59"/>
      <c r="B59" s="129"/>
      <c r="C59" s="129"/>
      <c r="D59" s="130"/>
      <c r="E59" s="130"/>
      <c r="F59" s="130"/>
      <c r="G59" s="130"/>
      <c r="H59" s="130"/>
      <c r="I59" s="130"/>
      <c r="J59" s="130"/>
      <c r="K59" s="141"/>
      <c r="N59"/>
      <c r="O59"/>
      <c r="P59"/>
      <c r="Q59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18"/>
      <c r="AQ59" s="18"/>
      <c r="AR59" s="18"/>
      <c r="AS59" s="18"/>
      <c r="AT59" s="18"/>
      <c r="AU59" s="18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</row>
    <row r="60" spans="1:79" x14ac:dyDescent="0.25">
      <c r="A60"/>
      <c r="B60" s="129"/>
      <c r="C60" s="129"/>
      <c r="D60" s="130"/>
      <c r="E60" s="130"/>
      <c r="F60" s="130"/>
      <c r="G60" s="130"/>
      <c r="H60" s="130"/>
      <c r="I60" s="130"/>
      <c r="J60" s="130"/>
      <c r="K60" s="141"/>
      <c r="N60"/>
      <c r="O60"/>
      <c r="P60"/>
      <c r="Q60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18"/>
      <c r="AQ60" s="18"/>
      <c r="AR60" s="18"/>
      <c r="AS60" s="18"/>
      <c r="AT60" s="18"/>
      <c r="AU60" s="18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</row>
    <row r="61" spans="1:79" x14ac:dyDescent="0.25">
      <c r="A61"/>
      <c r="B61" s="129"/>
      <c r="C61" s="129"/>
      <c r="D61" s="130"/>
      <c r="E61" s="130"/>
      <c r="F61" s="130"/>
      <c r="G61" s="130"/>
      <c r="H61" s="130"/>
      <c r="I61" s="130"/>
      <c r="J61" s="130"/>
      <c r="K61" s="141"/>
      <c r="N61"/>
      <c r="O61"/>
      <c r="P61"/>
      <c r="Q61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18"/>
      <c r="AQ61" s="18"/>
      <c r="AR61" s="18"/>
      <c r="AS61" s="18"/>
      <c r="AT61" s="18"/>
      <c r="AU61" s="18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</row>
    <row r="62" spans="1:79" x14ac:dyDescent="0.25">
      <c r="A62"/>
      <c r="B62" s="129"/>
      <c r="C62" s="129"/>
      <c r="D62" s="130"/>
      <c r="E62" s="130"/>
      <c r="F62" s="130"/>
      <c r="G62" s="130"/>
      <c r="H62" s="130"/>
      <c r="I62" s="130"/>
      <c r="J62" s="130"/>
      <c r="K62" s="141"/>
      <c r="N62"/>
      <c r="O62"/>
      <c r="P62"/>
      <c r="Q62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18"/>
      <c r="AQ62" s="18"/>
      <c r="AR62" s="18"/>
      <c r="AS62" s="18"/>
      <c r="AT62" s="18"/>
      <c r="AU62" s="18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</row>
    <row r="63" spans="1:79" x14ac:dyDescent="0.25">
      <c r="A63"/>
      <c r="B63" s="129"/>
      <c r="C63" s="129"/>
      <c r="D63" s="130"/>
      <c r="E63" s="130"/>
      <c r="F63" s="130"/>
      <c r="G63" s="130"/>
      <c r="H63" s="130"/>
      <c r="I63" s="130"/>
      <c r="J63" s="130"/>
      <c r="K63" s="141"/>
      <c r="N63"/>
      <c r="O63"/>
      <c r="P63"/>
      <c r="Q63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18"/>
      <c r="AQ63" s="18"/>
      <c r="AR63" s="18"/>
      <c r="AS63" s="18"/>
      <c r="AT63" s="18"/>
      <c r="AU63" s="18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</row>
    <row r="64" spans="1:79" x14ac:dyDescent="0.25">
      <c r="A64"/>
      <c r="B64" s="129"/>
      <c r="C64" s="129"/>
      <c r="D64" s="130"/>
      <c r="E64" s="130"/>
      <c r="F64" s="130"/>
      <c r="G64" s="130"/>
      <c r="H64" s="130"/>
      <c r="I64" s="130"/>
      <c r="J64" s="130"/>
      <c r="K64" s="141"/>
      <c r="N64"/>
      <c r="O64"/>
      <c r="P64"/>
      <c r="Q6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18"/>
      <c r="AQ64" s="18"/>
      <c r="AR64" s="18"/>
      <c r="AS64" s="18"/>
      <c r="AT64" s="18"/>
      <c r="AU64" s="18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</row>
    <row r="65" spans="1:79" x14ac:dyDescent="0.25">
      <c r="A65"/>
      <c r="B65" s="129"/>
      <c r="C65" s="129"/>
      <c r="D65" s="130"/>
      <c r="E65" s="130"/>
      <c r="F65" s="130"/>
      <c r="G65" s="130"/>
      <c r="H65" s="130"/>
      <c r="I65" s="130"/>
      <c r="J65" s="130"/>
      <c r="K65" s="141"/>
      <c r="N65"/>
      <c r="O65"/>
      <c r="P65"/>
      <c r="Q65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18"/>
      <c r="AQ65" s="18"/>
      <c r="AR65" s="18"/>
      <c r="AS65" s="18"/>
      <c r="AT65" s="18"/>
      <c r="AU65" s="18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</row>
    <row r="66" spans="1:79" x14ac:dyDescent="0.25">
      <c r="A66"/>
      <c r="B66" s="129"/>
      <c r="C66" s="129"/>
      <c r="D66" s="130"/>
      <c r="E66" s="130"/>
      <c r="F66" s="130"/>
      <c r="G66" s="130"/>
      <c r="H66" s="130"/>
      <c r="I66" s="130"/>
      <c r="J66" s="130"/>
      <c r="K66" s="141"/>
      <c r="N66"/>
      <c r="O66"/>
      <c r="P66"/>
      <c r="Q66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18"/>
      <c r="AQ66" s="18"/>
      <c r="AR66" s="18"/>
      <c r="AS66" s="18"/>
      <c r="AT66" s="18"/>
      <c r="AU66" s="18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</row>
    <row r="67" spans="1:79" x14ac:dyDescent="0.25">
      <c r="A67"/>
      <c r="B67" s="129"/>
      <c r="C67" s="129"/>
      <c r="D67" s="130"/>
      <c r="E67" s="130"/>
      <c r="F67" s="130"/>
      <c r="G67" s="130"/>
      <c r="H67" s="130"/>
      <c r="I67" s="130"/>
      <c r="J67" s="130"/>
      <c r="K67" s="141"/>
      <c r="N67"/>
      <c r="O67"/>
      <c r="P67"/>
      <c r="Q67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18"/>
      <c r="AQ67" s="18"/>
      <c r="AR67" s="18"/>
      <c r="AS67" s="18"/>
      <c r="AT67" s="18"/>
      <c r="AU67" s="18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</row>
    <row r="68" spans="1:79" x14ac:dyDescent="0.25">
      <c r="A68"/>
      <c r="B68" s="129"/>
      <c r="C68" s="129"/>
      <c r="D68" s="130"/>
      <c r="E68" s="130"/>
      <c r="F68" s="130"/>
      <c r="G68" s="130"/>
      <c r="H68" s="130"/>
      <c r="I68" s="130"/>
      <c r="J68" s="130"/>
      <c r="K68" s="141"/>
      <c r="N68"/>
      <c r="O68"/>
      <c r="P68"/>
      <c r="Q68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18"/>
      <c r="AQ68" s="18"/>
      <c r="AR68" s="18"/>
      <c r="AS68" s="18"/>
      <c r="AT68" s="18"/>
      <c r="AU68" s="18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</row>
    <row r="69" spans="1:79" x14ac:dyDescent="0.25">
      <c r="A69"/>
      <c r="B69" s="129"/>
      <c r="C69" s="129"/>
      <c r="D69" s="130"/>
      <c r="E69" s="130"/>
      <c r="F69" s="130"/>
      <c r="G69" s="130"/>
      <c r="H69" s="130"/>
      <c r="I69" s="130"/>
      <c r="J69" s="130"/>
      <c r="K69" s="141"/>
      <c r="N69"/>
      <c r="O69"/>
      <c r="P69"/>
      <c r="Q69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18"/>
      <c r="AQ69" s="18"/>
      <c r="AR69" s="18"/>
      <c r="AS69" s="18"/>
      <c r="AT69" s="18"/>
      <c r="AU69" s="18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</row>
    <row r="70" spans="1:79" x14ac:dyDescent="0.25">
      <c r="A70"/>
      <c r="B70" s="129"/>
      <c r="C70" s="129"/>
      <c r="D70" s="130"/>
      <c r="E70" s="130"/>
      <c r="F70" s="130"/>
      <c r="G70" s="130"/>
      <c r="H70" s="130"/>
      <c r="I70" s="130"/>
      <c r="J70" s="130"/>
      <c r="K70" s="141"/>
      <c r="N70"/>
      <c r="O70"/>
      <c r="P70"/>
      <c r="Q70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18"/>
      <c r="AQ70" s="18"/>
      <c r="AR70" s="18"/>
      <c r="AS70" s="18"/>
      <c r="AT70" s="18"/>
      <c r="AU70" s="18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</row>
    <row r="71" spans="1:79" x14ac:dyDescent="0.25">
      <c r="A71"/>
      <c r="B71" s="129"/>
      <c r="C71" s="129"/>
      <c r="D71" s="130"/>
      <c r="E71" s="130"/>
      <c r="F71" s="130"/>
      <c r="G71" s="130"/>
      <c r="H71" s="130"/>
      <c r="I71" s="130"/>
      <c r="J71" s="130"/>
      <c r="K71" s="141"/>
      <c r="N71"/>
      <c r="O71"/>
      <c r="P71"/>
      <c r="Q71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18"/>
      <c r="AQ71" s="18"/>
      <c r="AR71" s="18"/>
      <c r="AS71" s="18"/>
      <c r="AT71" s="18"/>
      <c r="AU71" s="18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</row>
    <row r="72" spans="1:79" x14ac:dyDescent="0.25">
      <c r="A72"/>
      <c r="B72" s="129"/>
      <c r="C72" s="129"/>
      <c r="D72" s="130"/>
      <c r="E72" s="130"/>
      <c r="F72" s="130"/>
      <c r="G72" s="130"/>
      <c r="H72" s="130"/>
      <c r="I72" s="130"/>
      <c r="J72" s="130"/>
      <c r="K72" s="141"/>
      <c r="N72"/>
      <c r="O72"/>
      <c r="P72"/>
      <c r="Q72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18"/>
      <c r="AQ72" s="18"/>
      <c r="AR72" s="18"/>
      <c r="AS72" s="18"/>
      <c r="AT72" s="18"/>
      <c r="AU72" s="18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</row>
    <row r="73" spans="1:79" x14ac:dyDescent="0.25">
      <c r="A73"/>
      <c r="B73" s="129"/>
      <c r="C73" s="129"/>
      <c r="D73" s="130"/>
      <c r="E73" s="130"/>
      <c r="F73" s="130"/>
      <c r="G73" s="130"/>
      <c r="H73" s="130"/>
      <c r="I73" s="130"/>
      <c r="J73" s="130"/>
      <c r="K73" s="141"/>
      <c r="N73"/>
      <c r="O73"/>
      <c r="P73"/>
      <c r="Q73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18"/>
      <c r="AQ73" s="18"/>
      <c r="AR73" s="18"/>
      <c r="AS73" s="18"/>
      <c r="AT73" s="18"/>
      <c r="AU73" s="18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</row>
    <row r="74" spans="1:79" x14ac:dyDescent="0.25">
      <c r="A74"/>
      <c r="B74" s="129"/>
      <c r="C74" s="129"/>
      <c r="D74" s="130"/>
      <c r="E74" s="130"/>
      <c r="F74" s="130"/>
      <c r="G74" s="130"/>
      <c r="H74" s="130"/>
      <c r="I74" s="130"/>
      <c r="J74" s="130"/>
      <c r="K74" s="141"/>
      <c r="N74"/>
      <c r="O74"/>
      <c r="P74"/>
      <c r="Q7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18"/>
      <c r="AQ74" s="18"/>
      <c r="AR74" s="18"/>
      <c r="AS74" s="18"/>
      <c r="AT74" s="18"/>
      <c r="AU74" s="18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</row>
    <row r="75" spans="1:79" x14ac:dyDescent="0.25">
      <c r="A75"/>
      <c r="B75" s="129"/>
      <c r="C75" s="129"/>
      <c r="D75" s="130"/>
      <c r="E75" s="130"/>
      <c r="F75" s="130"/>
      <c r="G75" s="130"/>
      <c r="H75" s="130"/>
      <c r="I75" s="130"/>
      <c r="J75" s="130"/>
      <c r="K75" s="141"/>
      <c r="N75"/>
      <c r="O75"/>
      <c r="P75"/>
      <c r="Q75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18"/>
      <c r="AQ75" s="18"/>
      <c r="AR75" s="18"/>
      <c r="AS75" s="18"/>
      <c r="AT75" s="18"/>
      <c r="AU75" s="18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</row>
    <row r="76" spans="1:79" x14ac:dyDescent="0.25">
      <c r="A76"/>
      <c r="B76" s="129"/>
      <c r="C76" s="129"/>
      <c r="D76" s="130"/>
      <c r="E76" s="130"/>
      <c r="F76" s="130"/>
      <c r="G76" s="130"/>
      <c r="H76" s="130"/>
      <c r="I76" s="130"/>
      <c r="J76" s="130"/>
      <c r="K76" s="141"/>
      <c r="N76"/>
      <c r="O76"/>
      <c r="P76"/>
      <c r="Q76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18"/>
      <c r="AP76" s="18"/>
      <c r="AQ76" s="18"/>
      <c r="AR76" s="18"/>
      <c r="AS76" s="18"/>
      <c r="AT76" s="18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</row>
    <row r="77" spans="1:79" x14ac:dyDescent="0.25">
      <c r="A77" s="4"/>
      <c r="B77" s="129"/>
      <c r="C77" s="129"/>
      <c r="D77" s="130"/>
      <c r="E77" s="130"/>
      <c r="F77" s="130"/>
      <c r="G77" s="130"/>
      <c r="H77" s="130"/>
      <c r="I77" s="130"/>
      <c r="J77" s="130"/>
      <c r="K77" s="141"/>
      <c r="N77"/>
      <c r="O77"/>
      <c r="P77"/>
      <c r="Q77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18"/>
      <c r="AO77" s="18"/>
      <c r="AP77" s="18"/>
      <c r="AQ77" s="18"/>
      <c r="AR77" s="18"/>
      <c r="AS77" s="18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</row>
    <row r="78" spans="1:79" x14ac:dyDescent="0.25">
      <c r="B78" s="129"/>
      <c r="C78" s="129"/>
      <c r="D78" s="130"/>
      <c r="E78" s="130"/>
      <c r="F78" s="130"/>
      <c r="G78" s="130"/>
      <c r="H78" s="130"/>
      <c r="I78" s="130"/>
      <c r="J78" s="130"/>
      <c r="K78" s="141"/>
      <c r="N78"/>
      <c r="O78"/>
      <c r="P78"/>
      <c r="Q78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18"/>
      <c r="AO78" s="18"/>
      <c r="AP78" s="18"/>
      <c r="AQ78" s="18"/>
      <c r="AR78" s="18"/>
      <c r="AS78" s="18"/>
      <c r="AT78" s="4"/>
      <c r="AU78" s="4"/>
      <c r="AV78" s="4"/>
      <c r="AW78" s="4"/>
      <c r="AX78" s="17"/>
      <c r="AY78" s="17"/>
      <c r="AZ78" s="17"/>
      <c r="BA78" s="17"/>
      <c r="BB78" s="4"/>
      <c r="BC78" s="4"/>
      <c r="BD78" s="4"/>
      <c r="BE78" s="4"/>
      <c r="BF78" s="4"/>
      <c r="BG78" s="4"/>
      <c r="BH78" s="4"/>
      <c r="BI78" s="4"/>
      <c r="BJ78" s="19">
        <f>MAX(BJ79:BJ173)</f>
        <v>0</v>
      </c>
      <c r="BK78" s="19">
        <f>MIN(BK79:BK173)</f>
        <v>0</v>
      </c>
      <c r="BL78" s="19">
        <f>MAX(BL79:BL173)</f>
        <v>0</v>
      </c>
      <c r="BM78" s="19">
        <f>MAX(BM79:BM173)</f>
        <v>0</v>
      </c>
      <c r="BN78" s="19">
        <f>MAX(BN79:BN173)</f>
        <v>0</v>
      </c>
      <c r="BO78" s="19">
        <f>MAX(BO79:BO173)</f>
        <v>0</v>
      </c>
      <c r="BP78" s="4"/>
      <c r="BQ78" s="4"/>
      <c r="BR78" s="4"/>
      <c r="BS78" s="4"/>
      <c r="BT78" s="4"/>
      <c r="BU78" s="4"/>
      <c r="BV78" s="4"/>
      <c r="BW78" s="4"/>
      <c r="BX78" s="4"/>
      <c r="BY78" s="4"/>
    </row>
    <row r="79" spans="1:79" x14ac:dyDescent="0.25">
      <c r="B79" s="129"/>
      <c r="C79" s="129"/>
      <c r="D79" s="130"/>
      <c r="E79" s="130"/>
      <c r="F79" s="130"/>
      <c r="G79" s="130"/>
      <c r="H79" s="130"/>
      <c r="I79" s="130"/>
      <c r="J79" s="130"/>
      <c r="K79" s="141"/>
      <c r="N79"/>
      <c r="O79"/>
      <c r="P79"/>
      <c r="Q79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20"/>
      <c r="AO79" s="4">
        <v>1</v>
      </c>
      <c r="AP79" s="21">
        <v>-96.735675942670596</v>
      </c>
      <c r="AQ79" s="21">
        <v>-15.451407510698804</v>
      </c>
      <c r="AR79" s="21">
        <v>-240.00000000000006</v>
      </c>
      <c r="AS79" s="21">
        <v>96.735675942670596</v>
      </c>
      <c r="AT79" s="21">
        <v>15.451407510698804</v>
      </c>
      <c r="AU79" s="21">
        <v>54.583109871614369</v>
      </c>
      <c r="AV79" s="21"/>
      <c r="AW79" s="21"/>
      <c r="AX79" s="21"/>
      <c r="AY79" s="21"/>
      <c r="AZ79" s="21"/>
      <c r="BA79" s="21"/>
      <c r="BB79" s="4"/>
      <c r="BC79" s="18"/>
      <c r="BD79" s="18"/>
      <c r="BE79" s="18"/>
      <c r="BF79" s="18"/>
      <c r="BG79" s="18"/>
      <c r="BH79" s="18"/>
      <c r="BI79" s="4"/>
      <c r="BJ79" s="19"/>
      <c r="BK79" s="19"/>
      <c r="BL79" s="19"/>
      <c r="BM79" s="19"/>
      <c r="BN79" s="19"/>
      <c r="BO79" s="19"/>
      <c r="BP79" s="4"/>
      <c r="BQ79" s="4"/>
      <c r="BR79" s="4"/>
      <c r="BS79" s="4"/>
      <c r="BT79" s="4"/>
      <c r="BU79" s="4"/>
      <c r="BV79" s="4"/>
      <c r="BW79" s="4"/>
      <c r="BX79" s="4"/>
      <c r="BY79" s="4"/>
    </row>
    <row r="80" spans="1:79" x14ac:dyDescent="0.25">
      <c r="B80" s="129"/>
      <c r="C80" s="129"/>
      <c r="D80" s="130"/>
      <c r="E80" s="130"/>
      <c r="F80" s="130"/>
      <c r="G80" s="130"/>
      <c r="H80" s="130"/>
      <c r="I80" s="130"/>
      <c r="J80" s="130"/>
      <c r="K80" s="141"/>
      <c r="N80"/>
      <c r="O80"/>
      <c r="P80"/>
      <c r="Q80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20"/>
      <c r="AO80" s="4">
        <v>2</v>
      </c>
      <c r="AP80" s="21">
        <v>0</v>
      </c>
      <c r="AQ80" s="21">
        <v>20</v>
      </c>
      <c r="AR80" s="21">
        <v>33.333333333333371</v>
      </c>
      <c r="AS80" s="21">
        <v>0</v>
      </c>
      <c r="AT80" s="21">
        <v>-20</v>
      </c>
      <c r="AU80" s="21">
        <v>6.6666666666667425</v>
      </c>
      <c r="AV80" s="21"/>
      <c r="AW80" s="21"/>
      <c r="AX80" s="21"/>
      <c r="AY80" s="21"/>
      <c r="AZ80" s="21"/>
      <c r="BA80" s="21"/>
      <c r="BB80" s="4"/>
      <c r="BC80" s="18"/>
      <c r="BD80" s="18"/>
      <c r="BE80" s="18"/>
      <c r="BF80" s="18"/>
      <c r="BG80" s="18"/>
      <c r="BH80" s="18"/>
      <c r="BI80" s="4"/>
      <c r="BJ80" s="19"/>
      <c r="BK80" s="19"/>
      <c r="BL80" s="19"/>
      <c r="BM80" s="19"/>
      <c r="BN80" s="19"/>
      <c r="BO80" s="19"/>
      <c r="BP80" s="4"/>
      <c r="BQ80" s="4"/>
      <c r="BR80" s="4"/>
      <c r="BS80" s="4"/>
      <c r="BT80" s="4"/>
      <c r="BU80" s="4"/>
      <c r="BV80" s="4"/>
      <c r="BW80" s="4"/>
      <c r="BX80" s="4"/>
      <c r="BY80" s="4"/>
    </row>
    <row r="81" spans="1:77" x14ac:dyDescent="0.25">
      <c r="B81" s="129"/>
      <c r="C81" s="129"/>
      <c r="D81" s="130"/>
      <c r="E81" s="130"/>
      <c r="F81" s="130"/>
      <c r="G81" s="130"/>
      <c r="H81" s="130"/>
      <c r="I81" s="130"/>
      <c r="J81" s="130"/>
      <c r="K81" s="141"/>
      <c r="N81"/>
      <c r="O81"/>
      <c r="P81"/>
      <c r="Q81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20"/>
      <c r="AO81" s="4">
        <v>3</v>
      </c>
      <c r="AP81" s="21">
        <v>96.735675942670511</v>
      </c>
      <c r="AQ81" s="21">
        <v>175.45140751069883</v>
      </c>
      <c r="AR81" s="21">
        <v>72.710360201057512</v>
      </c>
      <c r="AS81" s="21">
        <v>-96.735675942670511</v>
      </c>
      <c r="AT81" s="21">
        <v>-175.45140751069883</v>
      </c>
      <c r="AU81" s="21">
        <v>145.41689012838529</v>
      </c>
      <c r="AV81" s="21"/>
      <c r="AW81" s="21"/>
      <c r="AX81" s="21"/>
      <c r="AY81" s="21"/>
      <c r="AZ81" s="21"/>
      <c r="BA81" s="21"/>
      <c r="BB81" s="4"/>
      <c r="BC81" s="18"/>
      <c r="BD81" s="18"/>
      <c r="BE81" s="18"/>
      <c r="BF81" s="18"/>
      <c r="BG81" s="18"/>
      <c r="BH81" s="18"/>
      <c r="BI81" s="4"/>
      <c r="BJ81" s="19"/>
      <c r="BK81" s="19"/>
      <c r="BL81" s="19"/>
      <c r="BM81" s="19"/>
      <c r="BN81" s="19"/>
      <c r="BO81" s="19"/>
      <c r="BP81" s="4"/>
      <c r="BQ81" s="4"/>
      <c r="BR81" s="4"/>
      <c r="BS81" s="4"/>
      <c r="BT81" s="4"/>
      <c r="BU81" s="4"/>
      <c r="BV81" s="4"/>
      <c r="BW81" s="4"/>
      <c r="BX81" s="4"/>
      <c r="BY81" s="4"/>
    </row>
    <row r="82" spans="1:77" x14ac:dyDescent="0.25">
      <c r="B82" s="129"/>
      <c r="C82" s="129"/>
      <c r="D82" s="130"/>
      <c r="E82" s="130"/>
      <c r="F82" s="130"/>
      <c r="G82" s="130"/>
      <c r="H82" s="130"/>
      <c r="I82" s="130"/>
      <c r="J82" s="130"/>
      <c r="K82" s="141"/>
      <c r="N82"/>
      <c r="O82"/>
      <c r="P82"/>
      <c r="Q82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20"/>
      <c r="AO82" s="4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4"/>
      <c r="BC82" s="18"/>
      <c r="BD82" s="18"/>
      <c r="BE82" s="18"/>
      <c r="BF82" s="18"/>
      <c r="BG82" s="18"/>
      <c r="BH82" s="18"/>
      <c r="BI82" s="4"/>
      <c r="BJ82" s="19"/>
      <c r="BK82" s="19"/>
      <c r="BL82" s="19"/>
      <c r="BM82" s="19"/>
      <c r="BN82" s="19"/>
      <c r="BO82" s="19"/>
      <c r="BP82" s="4"/>
      <c r="BQ82" s="4"/>
      <c r="BR82" s="4"/>
      <c r="BS82" s="4"/>
      <c r="BT82" s="4"/>
      <c r="BU82" s="4"/>
      <c r="BV82" s="4"/>
      <c r="BW82" s="4"/>
      <c r="BX82" s="4"/>
      <c r="BY82" s="4"/>
    </row>
    <row r="83" spans="1:77" x14ac:dyDescent="0.25">
      <c r="B83" s="129"/>
      <c r="C83" s="129"/>
      <c r="D83" s="130"/>
      <c r="E83" s="130"/>
      <c r="F83" s="130"/>
      <c r="G83" s="130"/>
      <c r="H83" s="130"/>
      <c r="I83" s="130"/>
      <c r="J83" s="130"/>
      <c r="K83" s="141"/>
      <c r="N83"/>
      <c r="O83"/>
      <c r="P83"/>
      <c r="Q83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20"/>
      <c r="AO83" s="4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4"/>
      <c r="BC83" s="18"/>
      <c r="BD83" s="18"/>
      <c r="BE83" s="18"/>
      <c r="BF83" s="18"/>
      <c r="BG83" s="18"/>
      <c r="BH83" s="18"/>
      <c r="BI83" s="4"/>
      <c r="BJ83" s="19"/>
      <c r="BK83" s="19"/>
      <c r="BL83" s="19"/>
      <c r="BM83" s="19"/>
      <c r="BN83" s="19"/>
      <c r="BO83" s="19"/>
      <c r="BP83" s="4"/>
      <c r="BQ83" s="4"/>
      <c r="BR83" s="4"/>
      <c r="BS83" s="4"/>
      <c r="BT83" s="4"/>
      <c r="BU83" s="4"/>
      <c r="BV83" s="4"/>
      <c r="BW83" s="4"/>
      <c r="BX83" s="4"/>
      <c r="BY83" s="4"/>
    </row>
    <row r="84" spans="1:77" x14ac:dyDescent="0.25">
      <c r="B84" s="129"/>
      <c r="C84" s="129"/>
      <c r="D84" s="130"/>
      <c r="E84" s="130"/>
      <c r="F84" s="130"/>
      <c r="G84" s="130"/>
      <c r="H84" s="130"/>
      <c r="I84" s="130"/>
      <c r="J84" s="130"/>
      <c r="K84" s="141"/>
      <c r="N84"/>
      <c r="O84"/>
      <c r="P84"/>
      <c r="Q8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20"/>
      <c r="AO84" s="4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4"/>
      <c r="BC84" s="18"/>
      <c r="BD84" s="18"/>
      <c r="BE84" s="18"/>
      <c r="BF84" s="18"/>
      <c r="BG84" s="18"/>
      <c r="BH84" s="18"/>
      <c r="BI84" s="4"/>
      <c r="BJ84" s="19"/>
      <c r="BK84" s="19"/>
      <c r="BL84" s="19"/>
      <c r="BM84" s="19"/>
      <c r="BN84" s="19"/>
      <c r="BO84" s="19"/>
      <c r="BP84" s="4"/>
      <c r="BQ84" s="4"/>
      <c r="BR84" s="4"/>
      <c r="BS84" s="4"/>
      <c r="BT84" s="4"/>
      <c r="BU84" s="4"/>
      <c r="BV84" s="4"/>
      <c r="BW84" s="4"/>
      <c r="BX84" s="4"/>
      <c r="BY84" s="4"/>
    </row>
    <row r="85" spans="1:77" x14ac:dyDescent="0.25">
      <c r="B85" s="129"/>
      <c r="C85" s="129"/>
      <c r="D85" s="130"/>
      <c r="E85" s="130"/>
      <c r="F85" s="130"/>
      <c r="G85" s="130"/>
      <c r="H85" s="130"/>
      <c r="I85" s="130"/>
      <c r="J85" s="130"/>
      <c r="K85" s="141"/>
      <c r="N85"/>
      <c r="O85"/>
      <c r="P85"/>
      <c r="Q85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20"/>
      <c r="AO85" s="4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4"/>
      <c r="BC85" s="18"/>
      <c r="BD85" s="18"/>
      <c r="BE85" s="18"/>
      <c r="BF85" s="18"/>
      <c r="BG85" s="18"/>
      <c r="BH85" s="18"/>
      <c r="BI85" s="4"/>
      <c r="BJ85" s="19"/>
      <c r="BK85" s="19"/>
      <c r="BL85" s="19"/>
      <c r="BM85" s="19"/>
      <c r="BN85" s="19"/>
      <c r="BO85" s="19"/>
      <c r="BP85" s="4"/>
      <c r="BQ85" s="4"/>
      <c r="BR85" s="4"/>
      <c r="BS85" s="4"/>
      <c r="BT85" s="4"/>
      <c r="BU85" s="4"/>
      <c r="BV85" s="4"/>
      <c r="BW85" s="4"/>
      <c r="BX85" s="4"/>
      <c r="BY85" s="4"/>
    </row>
    <row r="86" spans="1:77" x14ac:dyDescent="0.25">
      <c r="A86" s="4"/>
      <c r="B86" s="129"/>
      <c r="C86" s="129"/>
      <c r="D86" s="130"/>
      <c r="E86" s="130"/>
      <c r="F86" s="130"/>
      <c r="G86" s="130"/>
      <c r="H86" s="130"/>
      <c r="I86" s="130"/>
      <c r="J86" s="130"/>
      <c r="K86" s="141"/>
      <c r="N86"/>
      <c r="O86"/>
      <c r="P86"/>
      <c r="Q86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20"/>
      <c r="AO86" s="4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4"/>
      <c r="BC86" s="18"/>
      <c r="BD86" s="18"/>
      <c r="BE86" s="18"/>
      <c r="BF86" s="18"/>
      <c r="BG86" s="18"/>
      <c r="BH86" s="18"/>
      <c r="BI86" s="4"/>
      <c r="BJ86" s="19"/>
      <c r="BK86" s="19"/>
      <c r="BL86" s="19"/>
      <c r="BM86" s="19"/>
      <c r="BN86" s="19"/>
      <c r="BO86" s="19"/>
      <c r="BP86" s="4"/>
      <c r="BQ86" s="4"/>
      <c r="BR86" s="4"/>
      <c r="BS86" s="4"/>
      <c r="BT86" s="4"/>
      <c r="BU86" s="4"/>
      <c r="BV86" s="4"/>
      <c r="BW86" s="4"/>
      <c r="BX86" s="4"/>
      <c r="BY86" s="4"/>
    </row>
    <row r="87" spans="1:77" x14ac:dyDescent="0.25">
      <c r="B87" s="129"/>
      <c r="C87" s="129"/>
      <c r="D87" s="130"/>
      <c r="E87" s="130"/>
      <c r="F87" s="130"/>
      <c r="G87" s="130"/>
      <c r="H87" s="130"/>
      <c r="I87" s="130"/>
      <c r="J87" s="130"/>
      <c r="K87" s="141"/>
      <c r="N87"/>
      <c r="O87"/>
      <c r="P87"/>
      <c r="Q87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20"/>
      <c r="AO87" s="4">
        <v>4</v>
      </c>
      <c r="AP87" s="21">
        <v>7.1226452149561812</v>
      </c>
      <c r="AQ87" s="21">
        <v>207.98559969480308</v>
      </c>
      <c r="AR87" s="21">
        <v>-9.4967691589819285</v>
      </c>
      <c r="AS87" s="21">
        <v>-7.1226452149561812</v>
      </c>
      <c r="AT87" s="21">
        <v>-207.98559969480308</v>
      </c>
      <c r="AU87" s="21">
        <v>-18.993811700842794</v>
      </c>
      <c r="AV87" s="21"/>
      <c r="AW87" s="21"/>
      <c r="AX87" s="21"/>
      <c r="AY87" s="21"/>
      <c r="AZ87" s="21"/>
      <c r="BA87" s="21"/>
      <c r="BB87" s="4"/>
      <c r="BC87" s="18"/>
      <c r="BD87" s="18"/>
      <c r="BE87" s="18"/>
      <c r="BF87" s="18"/>
      <c r="BG87" s="18"/>
      <c r="BH87" s="18"/>
      <c r="BI87" s="4"/>
      <c r="BJ87" s="19"/>
      <c r="BK87" s="19"/>
      <c r="BL87" s="19"/>
      <c r="BM87" s="19"/>
      <c r="BN87" s="19"/>
      <c r="BO87" s="19"/>
      <c r="BP87" s="4"/>
      <c r="BQ87" s="4"/>
      <c r="BR87" s="4"/>
      <c r="BS87" s="4"/>
      <c r="BT87" s="4"/>
      <c r="BU87" s="4"/>
      <c r="BV87" s="4"/>
      <c r="BW87" s="4"/>
      <c r="BX87" s="4"/>
      <c r="BY87" s="4"/>
    </row>
    <row r="88" spans="1:77" x14ac:dyDescent="0.25">
      <c r="B88" s="129"/>
      <c r="C88" s="129"/>
      <c r="D88" s="130"/>
      <c r="E88" s="130"/>
      <c r="F88" s="130"/>
      <c r="G88" s="130"/>
      <c r="H88" s="130"/>
      <c r="I88" s="130"/>
      <c r="J88" s="130"/>
      <c r="K88" s="141"/>
      <c r="N88"/>
      <c r="O88"/>
      <c r="P88"/>
      <c r="Q88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20"/>
      <c r="AO88" s="4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4"/>
      <c r="BC88" s="18"/>
      <c r="BD88" s="18"/>
      <c r="BE88" s="18"/>
      <c r="BF88" s="18"/>
      <c r="BG88" s="18"/>
      <c r="BH88" s="18"/>
      <c r="BI88" s="4"/>
      <c r="BJ88" s="19"/>
      <c r="BK88" s="19"/>
      <c r="BL88" s="19"/>
      <c r="BM88" s="19"/>
      <c r="BN88" s="19"/>
      <c r="BO88" s="19"/>
      <c r="BP88" s="4"/>
      <c r="BQ88" s="4"/>
      <c r="BR88" s="4"/>
      <c r="BS88" s="4"/>
      <c r="BT88" s="4"/>
      <c r="BU88" s="4"/>
      <c r="BV88" s="4"/>
      <c r="BW88" s="4"/>
      <c r="BX88" s="4"/>
      <c r="BY88" s="4"/>
    </row>
    <row r="89" spans="1:77" x14ac:dyDescent="0.25">
      <c r="B89" s="129"/>
      <c r="C89" s="129"/>
      <c r="D89" s="130"/>
      <c r="E89" s="130"/>
      <c r="F89" s="130"/>
      <c r="G89" s="130"/>
      <c r="H89" s="130"/>
      <c r="I89" s="130"/>
      <c r="J89" s="130"/>
      <c r="K89" s="141"/>
      <c r="N89"/>
      <c r="O89"/>
      <c r="P89"/>
      <c r="Q89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20"/>
      <c r="AO89" s="4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4"/>
      <c r="BC89" s="18"/>
      <c r="BD89" s="18"/>
      <c r="BE89" s="18"/>
      <c r="BF89" s="18"/>
      <c r="BG89" s="18"/>
      <c r="BH89" s="18"/>
      <c r="BI89" s="4"/>
      <c r="BJ89" s="19"/>
      <c r="BK89" s="19"/>
      <c r="BL89" s="19"/>
      <c r="BM89" s="19"/>
      <c r="BN89" s="19"/>
      <c r="BO89" s="19"/>
      <c r="BP89" s="4"/>
      <c r="BQ89" s="4"/>
      <c r="BR89" s="4"/>
      <c r="BS89" s="4"/>
      <c r="BT89" s="4"/>
      <c r="BU89" s="4"/>
      <c r="BV89" s="4"/>
      <c r="BW89" s="4"/>
      <c r="BX89" s="4"/>
      <c r="BY89" s="4"/>
    </row>
    <row r="90" spans="1:77" x14ac:dyDescent="0.25">
      <c r="B90" s="129"/>
      <c r="C90" s="129"/>
      <c r="D90" s="130"/>
      <c r="E90" s="130"/>
      <c r="F90" s="130"/>
      <c r="G90" s="130"/>
      <c r="H90" s="130"/>
      <c r="I90" s="130"/>
      <c r="J90" s="130"/>
      <c r="K90" s="141"/>
      <c r="N90"/>
      <c r="O90"/>
      <c r="P90"/>
      <c r="Q90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20"/>
      <c r="AO90" s="4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4"/>
      <c r="BC90" s="18"/>
      <c r="BD90" s="18"/>
      <c r="BE90" s="18"/>
      <c r="BF90" s="18"/>
      <c r="BG90" s="18"/>
      <c r="BH90" s="18"/>
      <c r="BI90" s="4"/>
      <c r="BJ90" s="19"/>
      <c r="BK90" s="19"/>
      <c r="BL90" s="19"/>
      <c r="BM90" s="19"/>
      <c r="BN90" s="19"/>
      <c r="BO90" s="19"/>
      <c r="BP90" s="4"/>
      <c r="BQ90" s="4"/>
      <c r="BR90" s="4"/>
      <c r="BS90" s="4"/>
      <c r="BT90" s="4"/>
      <c r="BU90" s="4"/>
      <c r="BV90" s="4"/>
      <c r="BW90" s="4"/>
      <c r="BX90" s="4"/>
      <c r="BY90" s="4"/>
    </row>
    <row r="91" spans="1:77" x14ac:dyDescent="0.25">
      <c r="B91" s="129"/>
      <c r="C91" s="129"/>
      <c r="D91" s="130"/>
      <c r="E91" s="130"/>
      <c r="F91" s="130"/>
      <c r="G91" s="130"/>
      <c r="H91" s="130"/>
      <c r="I91" s="130"/>
      <c r="J91" s="130"/>
      <c r="K91" s="141"/>
      <c r="N91"/>
      <c r="O91"/>
      <c r="P91"/>
      <c r="Q91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20"/>
      <c r="AO91" s="4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4"/>
      <c r="BC91" s="18"/>
      <c r="BD91" s="18"/>
      <c r="BE91" s="18"/>
      <c r="BF91" s="18"/>
      <c r="BG91" s="18"/>
      <c r="BH91" s="18"/>
      <c r="BI91" s="4"/>
      <c r="BJ91" s="19"/>
      <c r="BK91" s="19"/>
      <c r="BL91" s="19"/>
      <c r="BM91" s="19"/>
      <c r="BN91" s="19"/>
      <c r="BO91" s="19"/>
      <c r="BP91" s="4"/>
      <c r="BQ91" s="4"/>
      <c r="BR91" s="4"/>
      <c r="BS91" s="4"/>
      <c r="BT91" s="4"/>
      <c r="BU91" s="4"/>
      <c r="BV91" s="4"/>
      <c r="BW91" s="4"/>
      <c r="BX91" s="4"/>
      <c r="BY91" s="4"/>
    </row>
    <row r="92" spans="1:77" x14ac:dyDescent="0.25">
      <c r="B92" s="129"/>
      <c r="C92" s="129"/>
      <c r="D92" s="130"/>
      <c r="E92" s="130"/>
      <c r="F92" s="130"/>
      <c r="G92" s="130"/>
      <c r="H92" s="130"/>
      <c r="I92" s="130"/>
      <c r="J92" s="130"/>
      <c r="K92" s="141"/>
      <c r="N92"/>
      <c r="O92"/>
      <c r="P92"/>
      <c r="Q92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20"/>
      <c r="AO92" s="4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4"/>
      <c r="BC92" s="18"/>
      <c r="BD92" s="18"/>
      <c r="BE92" s="18"/>
      <c r="BF92" s="18"/>
      <c r="BG92" s="18"/>
      <c r="BH92" s="18"/>
      <c r="BI92" s="4"/>
      <c r="BJ92" s="19"/>
      <c r="BK92" s="19"/>
      <c r="BL92" s="19"/>
      <c r="BM92" s="19"/>
      <c r="BN92" s="19"/>
      <c r="BO92" s="19"/>
      <c r="BP92" s="4"/>
      <c r="BQ92" s="4"/>
      <c r="BR92" s="4"/>
      <c r="BS92" s="4"/>
      <c r="BT92" s="4"/>
      <c r="BU92" s="4"/>
      <c r="BV92" s="4"/>
      <c r="BW92" s="4"/>
      <c r="BX92" s="4"/>
      <c r="BY92" s="4"/>
    </row>
    <row r="93" spans="1:77" x14ac:dyDescent="0.25">
      <c r="B93" s="129"/>
      <c r="C93" s="129"/>
      <c r="D93" s="130"/>
      <c r="E93" s="130"/>
      <c r="F93" s="130"/>
      <c r="G93" s="130"/>
      <c r="H93" s="130"/>
      <c r="I93" s="130"/>
      <c r="J93" s="130"/>
      <c r="K93" s="141"/>
      <c r="N93"/>
      <c r="O93"/>
      <c r="P93"/>
      <c r="Q93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20"/>
      <c r="AO93" s="4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4"/>
      <c r="BC93" s="18"/>
      <c r="BD93" s="18"/>
      <c r="BE93" s="18"/>
      <c r="BF93" s="18"/>
      <c r="BG93" s="18"/>
      <c r="BH93" s="18"/>
      <c r="BI93" s="4"/>
      <c r="BJ93" s="19"/>
      <c r="BK93" s="19"/>
      <c r="BL93" s="19"/>
      <c r="BM93" s="19"/>
      <c r="BN93" s="19"/>
      <c r="BO93" s="19"/>
      <c r="BP93" s="4"/>
      <c r="BQ93" s="4"/>
      <c r="BR93" s="4"/>
      <c r="BS93" s="4"/>
      <c r="BT93" s="4"/>
      <c r="BU93" s="4"/>
      <c r="BV93" s="4"/>
      <c r="BW93" s="4"/>
      <c r="BX93" s="4"/>
      <c r="BY93" s="4"/>
    </row>
    <row r="94" spans="1:77" x14ac:dyDescent="0.25">
      <c r="B94" s="129"/>
      <c r="C94" s="129"/>
      <c r="D94" s="130"/>
      <c r="E94" s="130"/>
      <c r="F94" s="130"/>
      <c r="G94" s="130"/>
      <c r="H94" s="130"/>
      <c r="I94" s="130"/>
      <c r="J94" s="130"/>
      <c r="K94" s="141"/>
      <c r="N94"/>
      <c r="O94"/>
      <c r="P94"/>
      <c r="Q9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20"/>
      <c r="AO94" s="4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4"/>
      <c r="BC94" s="18"/>
      <c r="BD94" s="18"/>
      <c r="BE94" s="18"/>
      <c r="BF94" s="18"/>
      <c r="BG94" s="18"/>
      <c r="BH94" s="18"/>
      <c r="BI94" s="4"/>
      <c r="BJ94" s="19"/>
      <c r="BK94" s="19"/>
      <c r="BL94" s="19"/>
      <c r="BM94" s="19"/>
      <c r="BN94" s="19"/>
      <c r="BO94" s="19"/>
      <c r="BP94" s="4"/>
      <c r="BQ94" s="4"/>
      <c r="BR94" s="4"/>
      <c r="BS94" s="4"/>
      <c r="BT94" s="4"/>
      <c r="BU94" s="4"/>
      <c r="BV94" s="4"/>
      <c r="BW94" s="4"/>
      <c r="BX94" s="4"/>
      <c r="BY94" s="4"/>
    </row>
    <row r="95" spans="1:77" x14ac:dyDescent="0.25">
      <c r="B95" s="129"/>
      <c r="C95" s="129"/>
      <c r="D95" s="130"/>
      <c r="E95" s="130"/>
      <c r="F95" s="130"/>
      <c r="G95" s="130"/>
      <c r="H95" s="130"/>
      <c r="I95" s="130"/>
      <c r="J95" s="130"/>
      <c r="K95" s="141"/>
      <c r="N95"/>
      <c r="O95"/>
      <c r="P95"/>
      <c r="Q95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20"/>
      <c r="AO95" s="4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4"/>
      <c r="BC95" s="18"/>
      <c r="BD95" s="18"/>
      <c r="BE95" s="18"/>
      <c r="BF95" s="18"/>
      <c r="BG95" s="18"/>
      <c r="BH95" s="18"/>
      <c r="BI95" s="4"/>
      <c r="BJ95" s="19"/>
      <c r="BK95" s="19"/>
      <c r="BL95" s="19"/>
      <c r="BM95" s="19"/>
      <c r="BN95" s="19"/>
      <c r="BO95" s="19"/>
      <c r="BP95" s="4"/>
      <c r="BQ95" s="4"/>
      <c r="BR95" s="4"/>
      <c r="BS95" s="4"/>
      <c r="BT95" s="4"/>
      <c r="BU95" s="4"/>
      <c r="BV95" s="4"/>
      <c r="BW95" s="4"/>
      <c r="BX95" s="4"/>
      <c r="BY95" s="4"/>
    </row>
    <row r="96" spans="1:77" x14ac:dyDescent="0.25">
      <c r="B96" s="129"/>
      <c r="C96" s="129"/>
      <c r="D96" s="130"/>
      <c r="E96" s="130"/>
      <c r="F96" s="130"/>
      <c r="G96" s="130"/>
      <c r="H96" s="131"/>
      <c r="I96" s="131"/>
      <c r="J96" s="131"/>
      <c r="P96"/>
      <c r="Q96"/>
      <c r="AA96" s="22"/>
      <c r="AB96" s="22"/>
      <c r="AC96" s="22"/>
      <c r="AD96" s="22"/>
      <c r="AE96" s="22"/>
      <c r="AF96" s="22"/>
      <c r="AG96" s="4"/>
      <c r="AH96" s="20"/>
      <c r="AI96" s="20"/>
      <c r="AJ96" s="20"/>
      <c r="AK96" s="20"/>
      <c r="AL96" s="18"/>
      <c r="AM96" s="18"/>
      <c r="AN96" s="20"/>
      <c r="AO96" s="4">
        <v>5</v>
      </c>
      <c r="AP96" s="21">
        <v>31.766390410288004</v>
      </c>
      <c r="AQ96" s="21">
        <v>26.096963935447086</v>
      </c>
      <c r="AR96" s="21">
        <v>9.8391702700933639</v>
      </c>
      <c r="AS96" s="21">
        <v>-31.766390410288004</v>
      </c>
      <c r="AT96" s="21">
        <v>-26.096963935447086</v>
      </c>
      <c r="AU96" s="21">
        <v>19.677051701437126</v>
      </c>
      <c r="AV96" s="21"/>
      <c r="AW96" s="21"/>
      <c r="AX96" s="21"/>
      <c r="AY96" s="21"/>
      <c r="AZ96" s="21"/>
      <c r="BA96" s="21"/>
      <c r="BB96" s="4"/>
      <c r="BC96" s="18"/>
      <c r="BD96" s="18"/>
      <c r="BE96" s="18"/>
      <c r="BF96" s="18"/>
      <c r="BG96" s="18"/>
      <c r="BH96" s="18"/>
      <c r="BI96" s="4"/>
      <c r="BJ96" s="19"/>
      <c r="BK96" s="19"/>
      <c r="BL96" s="19"/>
      <c r="BM96" s="19"/>
      <c r="BN96" s="19"/>
      <c r="BO96" s="19"/>
      <c r="BP96" s="4"/>
      <c r="BQ96" s="4"/>
      <c r="BR96" s="4"/>
      <c r="BS96" s="4"/>
      <c r="BT96" s="4"/>
      <c r="BU96" s="4"/>
      <c r="BV96" s="4"/>
      <c r="BW96" s="4"/>
      <c r="BX96" s="4"/>
      <c r="BY96" s="4"/>
    </row>
    <row r="97" spans="2:77" x14ac:dyDescent="0.25">
      <c r="B97" s="129"/>
      <c r="C97" s="129"/>
      <c r="D97" s="130"/>
      <c r="E97" s="130"/>
      <c r="F97" s="130"/>
      <c r="G97" s="130"/>
      <c r="H97" s="131"/>
      <c r="I97" s="131"/>
      <c r="J97" s="131"/>
      <c r="P97"/>
      <c r="Q97"/>
      <c r="AA97" s="22"/>
      <c r="AB97" s="22"/>
      <c r="AC97" s="22"/>
      <c r="AD97" s="22"/>
      <c r="AE97" s="22"/>
      <c r="AF97" s="22"/>
      <c r="AG97" s="4"/>
      <c r="AH97" s="20"/>
      <c r="AI97" s="20"/>
      <c r="AJ97" s="20"/>
      <c r="AK97" s="20"/>
      <c r="AL97" s="18"/>
      <c r="AM97" s="18"/>
      <c r="AN97" s="20"/>
      <c r="AO97" s="4">
        <v>6</v>
      </c>
      <c r="AP97" s="21">
        <v>-8.5131601876942398</v>
      </c>
      <c r="AQ97" s="21">
        <v>125.66526435534789</v>
      </c>
      <c r="AR97" s="21">
        <v>14.1887032807066</v>
      </c>
      <c r="AS97" s="21">
        <v>8.5131601876942398</v>
      </c>
      <c r="AT97" s="21">
        <v>-125.66526435534789</v>
      </c>
      <c r="AU97" s="21">
        <v>28.377097657764597</v>
      </c>
      <c r="AV97" s="21"/>
      <c r="AW97" s="21"/>
      <c r="AX97" s="21"/>
      <c r="AY97" s="21"/>
      <c r="AZ97" s="21"/>
      <c r="BA97" s="21"/>
      <c r="BB97" s="4"/>
      <c r="BC97" s="18"/>
      <c r="BD97" s="18"/>
      <c r="BE97" s="18"/>
      <c r="BF97" s="18"/>
      <c r="BG97" s="18"/>
      <c r="BH97" s="18"/>
      <c r="BI97" s="4"/>
      <c r="BJ97" s="19"/>
      <c r="BK97" s="19"/>
      <c r="BL97" s="19"/>
      <c r="BM97" s="19"/>
      <c r="BN97" s="19"/>
      <c r="BO97" s="19"/>
      <c r="BP97" s="4"/>
      <c r="BQ97" s="4"/>
      <c r="BR97" s="4"/>
      <c r="BS97" s="4"/>
      <c r="BT97" s="4"/>
      <c r="BU97" s="4"/>
      <c r="BV97" s="4"/>
      <c r="BW97" s="4"/>
      <c r="BX97" s="4"/>
      <c r="BY97" s="4"/>
    </row>
    <row r="98" spans="2:77" x14ac:dyDescent="0.25">
      <c r="B98" s="129"/>
      <c r="C98" s="129"/>
      <c r="D98" s="130"/>
      <c r="E98" s="130"/>
      <c r="F98" s="130"/>
      <c r="G98" s="130"/>
      <c r="H98" s="131"/>
      <c r="I98" s="131"/>
      <c r="J98" s="131"/>
      <c r="P98"/>
      <c r="Q98"/>
      <c r="AA98" s="22"/>
      <c r="AB98" s="22"/>
      <c r="AC98" s="22"/>
      <c r="AD98" s="22"/>
      <c r="AE98" s="22"/>
      <c r="AF98" s="22"/>
      <c r="AG98" s="23"/>
      <c r="AH98" s="18"/>
      <c r="AI98" s="18"/>
      <c r="AJ98" s="18"/>
      <c r="AK98" s="18"/>
      <c r="AL98" s="18"/>
      <c r="AM98" s="18"/>
      <c r="AN98" s="20"/>
      <c r="AO98" s="4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4"/>
      <c r="BC98" s="18"/>
      <c r="BD98" s="18"/>
      <c r="BE98" s="18"/>
      <c r="BF98" s="18"/>
      <c r="BG98" s="18"/>
      <c r="BH98" s="18"/>
      <c r="BI98" s="4"/>
      <c r="BJ98" s="19"/>
      <c r="BK98" s="19"/>
      <c r="BL98" s="19"/>
      <c r="BM98" s="19"/>
      <c r="BN98" s="19"/>
      <c r="BO98" s="19"/>
      <c r="BP98" s="4"/>
      <c r="BQ98" s="4"/>
      <c r="BR98" s="4"/>
      <c r="BS98" s="4"/>
      <c r="BT98" s="4"/>
      <c r="BU98" s="4"/>
      <c r="BV98" s="4"/>
      <c r="BW98" s="4"/>
      <c r="BX98" s="4"/>
      <c r="BY98" s="4"/>
    </row>
    <row r="99" spans="2:77" x14ac:dyDescent="0.25">
      <c r="B99" s="129"/>
      <c r="C99" s="129"/>
      <c r="D99" s="130"/>
      <c r="E99" s="130"/>
      <c r="F99" s="130"/>
      <c r="G99" s="130"/>
      <c r="H99" s="131"/>
      <c r="I99" s="131"/>
      <c r="J99" s="131"/>
      <c r="P99"/>
      <c r="Q99"/>
      <c r="AA99" s="22"/>
      <c r="AB99" s="22"/>
      <c r="AC99" s="22"/>
      <c r="AD99" s="22"/>
      <c r="AE99" s="22"/>
      <c r="AF99" s="22"/>
      <c r="AG99" s="23"/>
      <c r="AH99" s="18"/>
      <c r="AI99" s="18"/>
      <c r="AJ99" s="18"/>
      <c r="AK99" s="18"/>
      <c r="AL99" s="18"/>
      <c r="AM99" s="18"/>
      <c r="AN99" s="20"/>
      <c r="AO99" s="4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4"/>
      <c r="BC99" s="18"/>
      <c r="BD99" s="18"/>
      <c r="BE99" s="18"/>
      <c r="BF99" s="18"/>
      <c r="BG99" s="18"/>
      <c r="BH99" s="18"/>
      <c r="BI99" s="4"/>
      <c r="BJ99" s="19"/>
      <c r="BK99" s="19"/>
      <c r="BL99" s="19"/>
      <c r="BM99" s="19"/>
      <c r="BN99" s="19"/>
      <c r="BO99" s="19"/>
      <c r="BP99" s="4"/>
      <c r="BQ99" s="4"/>
      <c r="BR99" s="4"/>
      <c r="BS99" s="4"/>
      <c r="BT99" s="4"/>
      <c r="BU99" s="4"/>
      <c r="BV99" s="4"/>
      <c r="BW99" s="4"/>
      <c r="BX99" s="4"/>
      <c r="BY99" s="4"/>
    </row>
    <row r="100" spans="2:77" x14ac:dyDescent="0.25">
      <c r="B100" s="129"/>
      <c r="C100" s="129"/>
      <c r="D100" s="130"/>
      <c r="E100" s="130"/>
      <c r="F100" s="130"/>
      <c r="G100" s="130"/>
      <c r="H100" s="131"/>
      <c r="I100" s="131"/>
      <c r="J100" s="131"/>
      <c r="P100"/>
      <c r="Q100"/>
      <c r="AA100" s="22"/>
      <c r="AB100" s="22"/>
      <c r="AC100" s="22"/>
      <c r="AD100" s="22"/>
      <c r="AE100" s="22"/>
      <c r="AF100" s="22"/>
      <c r="AG100" s="23"/>
      <c r="AH100" s="18"/>
      <c r="AI100" s="18"/>
      <c r="AJ100" s="18"/>
      <c r="AK100" s="18"/>
      <c r="AL100" s="18"/>
      <c r="AM100" s="18"/>
      <c r="AN100" s="20"/>
      <c r="AO100" s="4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4"/>
      <c r="BC100" s="18"/>
      <c r="BD100" s="18"/>
      <c r="BE100" s="18"/>
      <c r="BF100" s="18"/>
      <c r="BG100" s="18"/>
      <c r="BH100" s="18"/>
      <c r="BI100" s="4"/>
      <c r="BJ100" s="19"/>
      <c r="BK100" s="19"/>
      <c r="BL100" s="19"/>
      <c r="BM100" s="19"/>
      <c r="BN100" s="19"/>
      <c r="BO100" s="19"/>
      <c r="BP100" s="4"/>
      <c r="BQ100" s="4"/>
      <c r="BR100" s="4"/>
      <c r="BS100" s="4"/>
      <c r="BT100" s="4"/>
      <c r="BU100" s="4"/>
      <c r="BV100" s="4"/>
      <c r="BW100" s="4"/>
      <c r="BX100" s="4"/>
      <c r="BY100" s="4"/>
    </row>
    <row r="101" spans="2:77" x14ac:dyDescent="0.25">
      <c r="B101" s="129"/>
      <c r="C101" s="129"/>
      <c r="D101" s="130"/>
      <c r="E101" s="130"/>
      <c r="F101" s="130"/>
      <c r="G101" s="130"/>
      <c r="H101" s="131"/>
      <c r="I101" s="131"/>
      <c r="J101" s="131"/>
      <c r="P101"/>
      <c r="Q101"/>
      <c r="AA101" s="22"/>
      <c r="AB101" s="22"/>
      <c r="AC101" s="22"/>
      <c r="AD101" s="22"/>
      <c r="AE101" s="22"/>
      <c r="AF101" s="22"/>
      <c r="AG101" s="24"/>
      <c r="AH101" s="18"/>
      <c r="AI101" s="18"/>
      <c r="AJ101" s="18"/>
      <c r="AK101" s="18"/>
      <c r="AL101" s="18"/>
      <c r="AM101" s="18"/>
      <c r="AN101" s="20"/>
      <c r="AO101" s="4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4"/>
      <c r="BC101" s="18"/>
      <c r="BD101" s="18"/>
      <c r="BE101" s="18"/>
      <c r="BF101" s="18"/>
      <c r="BG101" s="18"/>
      <c r="BH101" s="18"/>
      <c r="BI101" s="4"/>
      <c r="BJ101" s="19"/>
      <c r="BK101" s="19"/>
      <c r="BL101" s="19"/>
      <c r="BM101" s="19"/>
      <c r="BN101" s="19"/>
      <c r="BO101" s="19"/>
      <c r="BP101" s="4"/>
      <c r="BQ101" s="4"/>
      <c r="BR101" s="4"/>
      <c r="BS101" s="4"/>
      <c r="BT101" s="4"/>
      <c r="BU101" s="4"/>
      <c r="BV101" s="4"/>
      <c r="BW101" s="4"/>
      <c r="BX101" s="4"/>
      <c r="BY101" s="4"/>
    </row>
    <row r="102" spans="2:77" x14ac:dyDescent="0.25">
      <c r="B102" s="129"/>
      <c r="C102" s="129"/>
      <c r="D102" s="130"/>
      <c r="E102" s="130"/>
      <c r="F102" s="130"/>
      <c r="G102" s="130"/>
      <c r="H102" s="131"/>
      <c r="I102" s="131"/>
      <c r="J102" s="131"/>
      <c r="P102"/>
      <c r="Q102"/>
      <c r="AA102" s="22"/>
      <c r="AB102" s="22"/>
      <c r="AC102" s="22"/>
      <c r="AD102" s="22"/>
      <c r="AE102" s="22"/>
      <c r="AF102" s="22"/>
      <c r="AG102" s="24"/>
      <c r="AH102" s="18"/>
      <c r="AI102" s="18"/>
      <c r="AJ102" s="18"/>
      <c r="AK102" s="18"/>
      <c r="AL102" s="18"/>
      <c r="AM102" s="18"/>
      <c r="AN102" s="20"/>
      <c r="AO102" s="4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4"/>
      <c r="BC102" s="18"/>
      <c r="BD102" s="18"/>
      <c r="BE102" s="18"/>
      <c r="BF102" s="18"/>
      <c r="BG102" s="18"/>
      <c r="BH102" s="18"/>
      <c r="BI102" s="4"/>
      <c r="BJ102" s="19"/>
      <c r="BK102" s="19"/>
      <c r="BL102" s="19"/>
      <c r="BM102" s="19"/>
      <c r="BN102" s="19"/>
      <c r="BO102" s="19"/>
      <c r="BP102" s="4"/>
      <c r="BQ102" s="4"/>
      <c r="BR102" s="4"/>
      <c r="BS102" s="4"/>
      <c r="BT102" s="4"/>
      <c r="BU102" s="4"/>
      <c r="BV102" s="4"/>
      <c r="BW102" s="4"/>
      <c r="BX102" s="4"/>
      <c r="BY102" s="4"/>
    </row>
    <row r="103" spans="2:77" x14ac:dyDescent="0.25">
      <c r="B103" s="129"/>
      <c r="C103" s="129"/>
      <c r="D103" s="130"/>
      <c r="E103" s="130"/>
      <c r="F103" s="130"/>
      <c r="G103" s="130"/>
      <c r="H103" s="131"/>
      <c r="I103" s="131"/>
      <c r="J103" s="131"/>
      <c r="P103"/>
      <c r="Q103"/>
      <c r="AA103" s="22"/>
      <c r="AB103" s="22"/>
      <c r="AC103" s="22"/>
      <c r="AD103" s="22"/>
      <c r="AE103" s="22"/>
      <c r="AF103" s="22"/>
      <c r="AG103" s="24"/>
      <c r="AH103" s="18"/>
      <c r="AI103" s="18"/>
      <c r="AJ103" s="18"/>
      <c r="AK103" s="18"/>
      <c r="AL103" s="18"/>
      <c r="AM103" s="18"/>
      <c r="AN103" s="20"/>
      <c r="AO103" s="4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4"/>
      <c r="BC103" s="18"/>
      <c r="BD103" s="18"/>
      <c r="BE103" s="18"/>
      <c r="BF103" s="18"/>
      <c r="BG103" s="18"/>
      <c r="BH103" s="18"/>
      <c r="BI103" s="4"/>
      <c r="BJ103" s="19"/>
      <c r="BK103" s="19"/>
      <c r="BL103" s="19"/>
      <c r="BM103" s="19"/>
      <c r="BN103" s="19"/>
      <c r="BO103" s="19"/>
      <c r="BP103" s="4"/>
      <c r="BQ103" s="4"/>
      <c r="BR103" s="4"/>
      <c r="BS103" s="4"/>
      <c r="BT103" s="4"/>
      <c r="BU103" s="4"/>
      <c r="BV103" s="4"/>
      <c r="BW103" s="4"/>
      <c r="BX103" s="4"/>
      <c r="BY103" s="4"/>
    </row>
    <row r="104" spans="2:77" x14ac:dyDescent="0.25">
      <c r="B104" s="129"/>
      <c r="C104" s="129"/>
      <c r="D104" s="130"/>
      <c r="E104" s="130"/>
      <c r="F104" s="130"/>
      <c r="G104" s="130"/>
      <c r="H104" s="131"/>
      <c r="I104" s="131"/>
      <c r="J104" s="131"/>
      <c r="P104"/>
      <c r="Q104"/>
      <c r="AA104" s="22"/>
      <c r="AB104" s="22"/>
      <c r="AC104" s="22"/>
      <c r="AD104" s="22"/>
      <c r="AE104" s="22"/>
      <c r="AF104" s="22"/>
      <c r="AG104" s="23"/>
      <c r="AH104" s="18"/>
      <c r="AI104" s="18"/>
      <c r="AJ104" s="18"/>
      <c r="AK104" s="18"/>
      <c r="AL104" s="18"/>
      <c r="AM104" s="18"/>
      <c r="AN104" s="20"/>
      <c r="AO104" s="4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4"/>
      <c r="BC104" s="18"/>
      <c r="BD104" s="18"/>
      <c r="BE104" s="18"/>
      <c r="BF104" s="18"/>
      <c r="BG104" s="18"/>
      <c r="BH104" s="18"/>
      <c r="BI104" s="4"/>
      <c r="BJ104" s="19"/>
      <c r="BK104" s="19"/>
      <c r="BL104" s="19"/>
      <c r="BM104" s="19"/>
      <c r="BN104" s="19"/>
      <c r="BO104" s="19"/>
      <c r="BP104" s="4"/>
      <c r="BQ104" s="4"/>
      <c r="BR104" s="4"/>
      <c r="BS104" s="4"/>
      <c r="BT104" s="4"/>
      <c r="BU104" s="4"/>
      <c r="BV104" s="4"/>
      <c r="BW104" s="4"/>
      <c r="BX104" s="4"/>
      <c r="BY104" s="4"/>
    </row>
    <row r="105" spans="2:77" x14ac:dyDescent="0.25">
      <c r="B105" s="129"/>
      <c r="C105" s="129"/>
      <c r="D105" s="130"/>
      <c r="E105" s="130"/>
      <c r="F105" s="130"/>
      <c r="G105" s="130"/>
      <c r="H105" s="131"/>
      <c r="I105" s="131"/>
      <c r="J105" s="131"/>
      <c r="P105"/>
      <c r="Q105"/>
      <c r="AA105" s="7"/>
      <c r="AB105" s="7"/>
      <c r="AC105" s="7"/>
      <c r="AD105" s="7"/>
      <c r="AE105" s="7"/>
      <c r="AF105" s="7"/>
      <c r="AG105" s="8"/>
      <c r="AH105" s="9"/>
      <c r="AI105" s="9"/>
      <c r="AJ105" s="9"/>
      <c r="AK105" s="9"/>
      <c r="AL105" s="9"/>
      <c r="AM105" s="9"/>
      <c r="AN105" s="10"/>
      <c r="AO105" s="6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6"/>
      <c r="BC105" s="9"/>
      <c r="BD105" s="9"/>
      <c r="BE105" s="9"/>
      <c r="BF105" s="9"/>
      <c r="BG105" s="9"/>
      <c r="BH105" s="9"/>
      <c r="BI105" s="6"/>
      <c r="BJ105" s="12"/>
      <c r="BK105" s="12"/>
      <c r="BL105" s="12"/>
      <c r="BM105" s="12"/>
      <c r="BN105" s="12"/>
      <c r="BO105" s="12"/>
      <c r="BP105" s="6"/>
      <c r="BQ105" s="6"/>
      <c r="BR105" s="6"/>
      <c r="BS105" s="6"/>
      <c r="BT105" s="6"/>
      <c r="BU105" s="6"/>
      <c r="BV105" s="6"/>
      <c r="BW105" s="6"/>
      <c r="BX105" s="6"/>
      <c r="BY105" s="6"/>
    </row>
    <row r="106" spans="2:77" x14ac:dyDescent="0.25">
      <c r="B106" s="129"/>
      <c r="C106" s="129"/>
      <c r="D106" s="130"/>
      <c r="E106" s="130"/>
      <c r="F106" s="130"/>
      <c r="G106" s="130"/>
      <c r="H106" s="131"/>
      <c r="I106" s="131"/>
      <c r="J106" s="131"/>
      <c r="P106"/>
      <c r="Q106"/>
      <c r="AA106" s="7"/>
      <c r="AB106" s="7"/>
      <c r="AC106" s="7"/>
      <c r="AD106" s="7"/>
      <c r="AE106" s="7"/>
      <c r="AF106" s="7"/>
      <c r="AG106" s="8"/>
      <c r="AH106" s="9"/>
      <c r="AI106" s="9"/>
      <c r="AJ106" s="9"/>
      <c r="AK106" s="9"/>
      <c r="AL106" s="9"/>
      <c r="AM106" s="9"/>
      <c r="AN106" s="10"/>
      <c r="AO106" s="6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6"/>
      <c r="BC106" s="9"/>
      <c r="BD106" s="9"/>
      <c r="BE106" s="9"/>
      <c r="BF106" s="9"/>
      <c r="BG106" s="9"/>
      <c r="BH106" s="9"/>
      <c r="BI106" s="6"/>
      <c r="BJ106" s="12"/>
      <c r="BK106" s="12"/>
      <c r="BL106" s="12"/>
      <c r="BM106" s="12"/>
      <c r="BN106" s="12"/>
      <c r="BO106" s="12"/>
      <c r="BP106" s="6"/>
      <c r="BQ106" s="6"/>
      <c r="BR106" s="6"/>
      <c r="BS106" s="6"/>
      <c r="BT106" s="6"/>
      <c r="BU106" s="6"/>
      <c r="BV106" s="6"/>
      <c r="BW106" s="6"/>
      <c r="BX106" s="6"/>
      <c r="BY106" s="6"/>
    </row>
    <row r="107" spans="2:77" x14ac:dyDescent="0.25">
      <c r="B107" s="129"/>
      <c r="C107" s="129"/>
      <c r="D107" s="130"/>
      <c r="E107" s="130"/>
      <c r="F107" s="130"/>
      <c r="G107" s="130"/>
      <c r="H107" s="131"/>
      <c r="I107" s="131"/>
      <c r="J107" s="131"/>
      <c r="P107"/>
      <c r="Q107"/>
      <c r="AA107" s="7"/>
      <c r="AB107" s="7"/>
      <c r="AC107" s="7"/>
      <c r="AD107" s="7"/>
      <c r="AE107" s="7"/>
      <c r="AF107" s="7"/>
      <c r="AG107" s="8"/>
      <c r="AH107" s="9"/>
      <c r="AI107" s="9"/>
      <c r="AJ107" s="9"/>
      <c r="AK107" s="9"/>
      <c r="AL107" s="9"/>
      <c r="AM107" s="9"/>
      <c r="AN107" s="10"/>
      <c r="AO107" s="6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6"/>
      <c r="BC107" s="9"/>
      <c r="BD107" s="9"/>
      <c r="BE107" s="9"/>
      <c r="BF107" s="9"/>
      <c r="BG107" s="9"/>
      <c r="BH107" s="9"/>
      <c r="BI107" s="6"/>
      <c r="BJ107" s="12"/>
      <c r="BK107" s="12"/>
      <c r="BL107" s="12"/>
      <c r="BM107" s="12"/>
      <c r="BN107" s="12"/>
      <c r="BO107" s="12"/>
      <c r="BP107" s="6"/>
      <c r="BQ107" s="6"/>
      <c r="BR107" s="6"/>
      <c r="BS107" s="6"/>
      <c r="BT107" s="6"/>
      <c r="BU107" s="6"/>
      <c r="BV107" s="6"/>
      <c r="BW107" s="6"/>
      <c r="BX107" s="6"/>
      <c r="BY107" s="6"/>
    </row>
    <row r="108" spans="2:77" x14ac:dyDescent="0.25">
      <c r="B108" s="129"/>
      <c r="C108" s="129"/>
      <c r="D108" s="130"/>
      <c r="E108" s="130"/>
      <c r="F108" s="130"/>
      <c r="G108" s="130"/>
      <c r="H108" s="131"/>
      <c r="I108" s="131"/>
      <c r="J108" s="131"/>
      <c r="P108"/>
      <c r="Q108"/>
      <c r="AA108" s="7"/>
      <c r="AB108" s="7"/>
      <c r="AC108" s="7"/>
      <c r="AD108" s="7"/>
      <c r="AE108" s="7"/>
      <c r="AF108" s="7"/>
      <c r="AG108" s="8"/>
      <c r="AH108" s="9"/>
      <c r="AI108" s="9"/>
      <c r="AJ108" s="9"/>
      <c r="AK108" s="9"/>
      <c r="AL108" s="9"/>
      <c r="AM108" s="9"/>
      <c r="AN108" s="10"/>
      <c r="AO108" s="6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6"/>
      <c r="BC108" s="9"/>
      <c r="BD108" s="9"/>
      <c r="BE108" s="9"/>
      <c r="BF108" s="9"/>
      <c r="BG108" s="9"/>
      <c r="BH108" s="9"/>
      <c r="BI108" s="6"/>
      <c r="BJ108" s="12"/>
      <c r="BK108" s="12"/>
      <c r="BL108" s="12"/>
      <c r="BM108" s="12"/>
      <c r="BN108" s="12"/>
      <c r="BO108" s="12"/>
      <c r="BP108" s="6"/>
      <c r="BQ108" s="6"/>
      <c r="BR108" s="6"/>
      <c r="BS108" s="6"/>
      <c r="BT108" s="6"/>
      <c r="BU108" s="6"/>
      <c r="BV108" s="6"/>
      <c r="BW108" s="6"/>
      <c r="BX108" s="6"/>
      <c r="BY108" s="6"/>
    </row>
    <row r="109" spans="2:77" x14ac:dyDescent="0.25">
      <c r="B109" s="129"/>
      <c r="C109" s="129"/>
      <c r="D109" s="130"/>
      <c r="E109" s="130"/>
      <c r="F109" s="130"/>
      <c r="G109" s="130"/>
      <c r="H109" s="131"/>
      <c r="I109" s="131"/>
      <c r="J109" s="131"/>
      <c r="P109"/>
      <c r="Q109"/>
      <c r="AA109" s="7"/>
      <c r="AB109" s="7"/>
      <c r="AC109" s="7"/>
      <c r="AD109" s="7"/>
      <c r="AE109" s="7"/>
      <c r="AF109" s="7"/>
      <c r="AG109" s="8"/>
      <c r="AH109" s="9"/>
      <c r="AI109" s="9"/>
      <c r="AJ109" s="9"/>
      <c r="AK109" s="9"/>
      <c r="AL109" s="9"/>
      <c r="AM109" s="9"/>
      <c r="AN109" s="10"/>
      <c r="AO109" s="6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6"/>
      <c r="BC109" s="9"/>
      <c r="BD109" s="9"/>
      <c r="BE109" s="9"/>
      <c r="BF109" s="9"/>
      <c r="BG109" s="9"/>
      <c r="BH109" s="9"/>
      <c r="BI109" s="6"/>
      <c r="BJ109" s="12"/>
      <c r="BK109" s="12"/>
      <c r="BL109" s="12"/>
      <c r="BM109" s="12"/>
      <c r="BN109" s="12"/>
      <c r="BO109" s="12"/>
      <c r="BP109" s="6"/>
      <c r="BQ109" s="6"/>
      <c r="BR109" s="6"/>
      <c r="BS109" s="6"/>
      <c r="BT109" s="6"/>
      <c r="BU109" s="6"/>
      <c r="BV109" s="6"/>
      <c r="BW109" s="6"/>
      <c r="BX109" s="6"/>
      <c r="BY109" s="6"/>
    </row>
    <row r="110" spans="2:77" x14ac:dyDescent="0.25">
      <c r="B110" s="129"/>
      <c r="C110" s="129"/>
      <c r="D110" s="130"/>
      <c r="E110" s="130"/>
      <c r="F110" s="130"/>
      <c r="G110" s="130"/>
      <c r="H110" s="131"/>
      <c r="I110" s="131"/>
      <c r="J110" s="131"/>
      <c r="P110"/>
      <c r="Q110"/>
      <c r="AA110" s="7"/>
      <c r="AB110" s="7"/>
      <c r="AC110" s="7"/>
      <c r="AD110" s="7"/>
      <c r="AE110" s="7"/>
      <c r="AF110" s="7"/>
      <c r="AG110" s="8"/>
      <c r="AH110" s="9"/>
      <c r="AI110" s="9"/>
      <c r="AJ110" s="9"/>
      <c r="AK110" s="9"/>
      <c r="AL110" s="9"/>
      <c r="AM110" s="9"/>
      <c r="AN110" s="10"/>
      <c r="AO110" s="6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6"/>
      <c r="BC110" s="9"/>
      <c r="BD110" s="9"/>
      <c r="BE110" s="9"/>
      <c r="BF110" s="9"/>
      <c r="BG110" s="9"/>
      <c r="BH110" s="9"/>
      <c r="BI110" s="6"/>
      <c r="BJ110" s="12"/>
      <c r="BK110" s="12"/>
      <c r="BL110" s="12"/>
      <c r="BM110" s="12"/>
      <c r="BN110" s="12"/>
      <c r="BO110" s="12"/>
      <c r="BP110" s="6"/>
      <c r="BQ110" s="6"/>
      <c r="BR110" s="6"/>
      <c r="BS110" s="6"/>
      <c r="BT110" s="6"/>
      <c r="BU110" s="6"/>
      <c r="BV110" s="6"/>
      <c r="BW110" s="6"/>
      <c r="BX110" s="6"/>
      <c r="BY110" s="6"/>
    </row>
    <row r="111" spans="2:77" x14ac:dyDescent="0.25">
      <c r="B111" s="129"/>
      <c r="C111" s="129"/>
      <c r="D111" s="130"/>
      <c r="E111" s="130"/>
      <c r="F111" s="130"/>
      <c r="G111" s="130"/>
      <c r="H111" s="131"/>
      <c r="I111" s="131"/>
      <c r="J111" s="131"/>
      <c r="P111"/>
      <c r="Q111"/>
      <c r="AA111" s="7"/>
      <c r="AB111" s="7"/>
      <c r="AC111" s="7"/>
      <c r="AD111" s="7"/>
      <c r="AE111" s="7"/>
      <c r="AF111" s="7"/>
      <c r="AG111" s="8"/>
      <c r="AH111" s="9"/>
      <c r="AI111" s="9"/>
      <c r="AJ111" s="9"/>
      <c r="AK111" s="9"/>
      <c r="AL111" s="9"/>
      <c r="AM111" s="9"/>
      <c r="AN111" s="10"/>
      <c r="AO111" s="6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6"/>
      <c r="BC111" s="9"/>
      <c r="BD111" s="9"/>
      <c r="BE111" s="9"/>
      <c r="BF111" s="9"/>
      <c r="BG111" s="9"/>
      <c r="BH111" s="9"/>
      <c r="BI111" s="6"/>
      <c r="BJ111" s="12"/>
      <c r="BK111" s="12"/>
      <c r="BL111" s="12"/>
      <c r="BM111" s="12"/>
      <c r="BN111" s="12"/>
      <c r="BO111" s="12"/>
      <c r="BP111" s="6"/>
      <c r="BQ111" s="6"/>
      <c r="BR111" s="6"/>
      <c r="BS111" s="6"/>
      <c r="BT111" s="6"/>
      <c r="BU111" s="6"/>
      <c r="BV111" s="6"/>
      <c r="BW111" s="6"/>
      <c r="BX111" s="6"/>
      <c r="BY111" s="6"/>
    </row>
    <row r="112" spans="2:77" x14ac:dyDescent="0.25">
      <c r="B112" s="129"/>
      <c r="C112" s="129"/>
      <c r="D112" s="130"/>
      <c r="E112" s="130"/>
      <c r="F112" s="130"/>
      <c r="G112" s="130"/>
      <c r="H112" s="131"/>
      <c r="I112" s="131"/>
      <c r="J112" s="131"/>
      <c r="P112"/>
      <c r="Q112"/>
      <c r="AA112" s="7"/>
      <c r="AB112" s="7"/>
      <c r="AC112" s="7"/>
      <c r="AD112" s="7"/>
      <c r="AE112" s="7"/>
      <c r="AF112" s="7"/>
      <c r="AG112" s="8"/>
      <c r="AH112" s="9"/>
      <c r="AI112" s="9"/>
      <c r="AJ112" s="9"/>
      <c r="AK112" s="9"/>
      <c r="AL112" s="9"/>
      <c r="AM112" s="9"/>
      <c r="AN112" s="10"/>
      <c r="AO112" s="6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6"/>
      <c r="BC112" s="9"/>
      <c r="BD112" s="9"/>
      <c r="BE112" s="9"/>
      <c r="BF112" s="9"/>
      <c r="BG112" s="9"/>
      <c r="BH112" s="9"/>
      <c r="BI112" s="6"/>
      <c r="BJ112" s="12"/>
      <c r="BK112" s="12"/>
      <c r="BL112" s="12"/>
      <c r="BM112" s="12"/>
      <c r="BN112" s="12"/>
      <c r="BO112" s="12"/>
      <c r="BP112" s="6"/>
      <c r="BQ112" s="6"/>
      <c r="BR112" s="6"/>
      <c r="BS112" s="6"/>
      <c r="BT112" s="6"/>
      <c r="BU112" s="6"/>
      <c r="BV112" s="6"/>
      <c r="BW112" s="6"/>
      <c r="BX112" s="6"/>
      <c r="BY112" s="6"/>
    </row>
    <row r="113" spans="2:77" x14ac:dyDescent="0.25">
      <c r="B113" s="129"/>
      <c r="C113" s="129"/>
      <c r="D113" s="130"/>
      <c r="E113" s="130"/>
      <c r="F113" s="130"/>
      <c r="G113" s="130"/>
      <c r="H113" s="131"/>
      <c r="I113" s="131"/>
      <c r="J113" s="131"/>
      <c r="P113"/>
      <c r="Q113"/>
      <c r="AA113" s="7"/>
      <c r="AB113" s="7"/>
      <c r="AC113" s="7"/>
      <c r="AD113" s="7"/>
      <c r="AE113" s="7"/>
      <c r="AF113" s="7"/>
      <c r="AG113" s="8"/>
      <c r="AH113" s="9"/>
      <c r="AI113" s="9"/>
      <c r="AJ113" s="9"/>
      <c r="AK113" s="9"/>
      <c r="AL113" s="9"/>
      <c r="AM113" s="9"/>
      <c r="AN113" s="10"/>
      <c r="AO113" s="6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6"/>
      <c r="BC113" s="9"/>
      <c r="BD113" s="9"/>
      <c r="BE113" s="9"/>
      <c r="BF113" s="9"/>
      <c r="BG113" s="9"/>
      <c r="BH113" s="9"/>
      <c r="BI113" s="6"/>
      <c r="BJ113" s="12"/>
      <c r="BK113" s="12"/>
      <c r="BL113" s="12"/>
      <c r="BM113" s="12"/>
      <c r="BN113" s="12"/>
      <c r="BO113" s="12"/>
      <c r="BP113" s="6"/>
      <c r="BQ113" s="6"/>
      <c r="BR113" s="6"/>
      <c r="BS113" s="6"/>
      <c r="BT113" s="6"/>
      <c r="BU113" s="6"/>
      <c r="BV113" s="6"/>
      <c r="BW113" s="6"/>
      <c r="BX113" s="6"/>
      <c r="BY113" s="6"/>
    </row>
    <row r="114" spans="2:77" x14ac:dyDescent="0.25">
      <c r="B114" s="129"/>
      <c r="C114" s="129"/>
      <c r="D114" s="130"/>
      <c r="E114" s="130"/>
      <c r="F114" s="130"/>
      <c r="G114" s="130"/>
      <c r="H114" s="131"/>
      <c r="I114" s="131"/>
      <c r="J114" s="131"/>
      <c r="P114"/>
      <c r="Q114"/>
      <c r="AA114" s="7"/>
      <c r="AB114" s="7"/>
      <c r="AC114" s="7"/>
      <c r="AD114" s="7"/>
      <c r="AE114" s="7"/>
      <c r="AF114" s="6"/>
      <c r="AG114" s="8"/>
      <c r="AH114" s="9"/>
      <c r="AI114" s="9"/>
      <c r="AJ114" s="9"/>
      <c r="AK114" s="9"/>
      <c r="AL114" s="9"/>
      <c r="AM114" s="9"/>
      <c r="AN114" s="10"/>
      <c r="AO114" s="6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6"/>
      <c r="BC114" s="9"/>
      <c r="BD114" s="9"/>
      <c r="BE114" s="9"/>
      <c r="BF114" s="9"/>
      <c r="BG114" s="9"/>
      <c r="BH114" s="9"/>
      <c r="BI114" s="6"/>
      <c r="BJ114" s="12"/>
      <c r="BK114" s="12"/>
      <c r="BL114" s="12"/>
      <c r="BM114" s="12"/>
      <c r="BN114" s="12"/>
      <c r="BO114" s="12"/>
      <c r="BP114" s="6"/>
      <c r="BQ114" s="6"/>
      <c r="BR114" s="6"/>
      <c r="BS114" s="6"/>
      <c r="BT114" s="6"/>
      <c r="BU114" s="6"/>
      <c r="BV114" s="6"/>
      <c r="BW114" s="6"/>
      <c r="BX114" s="6"/>
      <c r="BY114" s="6"/>
    </row>
    <row r="115" spans="2:77" x14ac:dyDescent="0.25">
      <c r="B115" s="129"/>
      <c r="C115" s="129"/>
      <c r="D115" s="130"/>
      <c r="E115" s="130"/>
      <c r="F115" s="130"/>
      <c r="G115" s="130"/>
      <c r="H115" s="131"/>
      <c r="I115" s="131"/>
      <c r="J115" s="131"/>
      <c r="P115"/>
      <c r="Q115"/>
      <c r="AA115" s="7"/>
      <c r="AB115" s="7"/>
      <c r="AC115" s="7"/>
      <c r="AD115" s="7"/>
      <c r="AE115" s="7"/>
      <c r="AF115" s="6"/>
      <c r="AG115" s="8"/>
      <c r="AH115" s="9"/>
      <c r="AI115" s="9"/>
      <c r="AJ115" s="9"/>
      <c r="AK115" s="9"/>
      <c r="AL115" s="9"/>
      <c r="AM115" s="9"/>
      <c r="AN115" s="10"/>
      <c r="AO115" s="6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6"/>
      <c r="BC115" s="9"/>
      <c r="BD115" s="9"/>
      <c r="BE115" s="9"/>
      <c r="BF115" s="9"/>
      <c r="BG115" s="9"/>
      <c r="BH115" s="9"/>
      <c r="BI115" s="6"/>
      <c r="BJ115" s="12"/>
      <c r="BK115" s="12"/>
      <c r="BL115" s="12"/>
      <c r="BM115" s="12"/>
      <c r="BN115" s="12"/>
      <c r="BO115" s="12"/>
      <c r="BP115" s="6"/>
      <c r="BQ115" s="6"/>
      <c r="BR115" s="6"/>
      <c r="BS115" s="6"/>
      <c r="BT115" s="6"/>
      <c r="BU115" s="6"/>
      <c r="BV115" s="6"/>
      <c r="BW115" s="6"/>
      <c r="BX115" s="6"/>
      <c r="BY115" s="6"/>
    </row>
    <row r="116" spans="2:77" x14ac:dyDescent="0.25">
      <c r="B116" s="129"/>
      <c r="C116" s="129"/>
      <c r="D116" s="130"/>
      <c r="E116" s="130"/>
      <c r="F116" s="130"/>
      <c r="G116" s="130"/>
      <c r="H116" s="131"/>
      <c r="I116" s="131"/>
      <c r="J116" s="131"/>
      <c r="P116"/>
      <c r="Q116"/>
      <c r="AA116" s="7"/>
      <c r="AB116" s="7"/>
      <c r="AC116" s="7"/>
      <c r="AD116" s="7"/>
      <c r="AE116" s="7"/>
      <c r="AF116" s="6"/>
      <c r="AG116" s="8"/>
      <c r="AH116" s="9"/>
      <c r="AI116" s="9"/>
      <c r="AJ116" s="9"/>
      <c r="AK116" s="9"/>
      <c r="AL116" s="9"/>
      <c r="AM116" s="9"/>
      <c r="AN116" s="10"/>
      <c r="AO116" s="6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6"/>
      <c r="BC116" s="9"/>
      <c r="BD116" s="9"/>
      <c r="BE116" s="9"/>
      <c r="BF116" s="9"/>
      <c r="BG116" s="9"/>
      <c r="BH116" s="9"/>
      <c r="BI116" s="6"/>
      <c r="BJ116" s="12"/>
      <c r="BK116" s="12"/>
      <c r="BL116" s="12"/>
      <c r="BM116" s="12"/>
      <c r="BN116" s="12"/>
      <c r="BO116" s="12"/>
      <c r="BP116" s="6"/>
      <c r="BQ116" s="6"/>
      <c r="BR116" s="6"/>
      <c r="BS116" s="6"/>
      <c r="BT116" s="6"/>
      <c r="BU116" s="6"/>
      <c r="BV116" s="6"/>
      <c r="BW116" s="6"/>
      <c r="BX116" s="6"/>
      <c r="BY116" s="6"/>
    </row>
    <row r="117" spans="2:77" x14ac:dyDescent="0.25">
      <c r="B117" s="129"/>
      <c r="C117" s="129"/>
      <c r="D117" s="130"/>
      <c r="E117" s="130"/>
      <c r="F117" s="130"/>
      <c r="G117" s="130"/>
      <c r="H117" s="131"/>
      <c r="I117" s="131"/>
      <c r="J117" s="131"/>
      <c r="P117"/>
      <c r="Q117"/>
      <c r="AA117" s="7"/>
      <c r="AB117" s="7"/>
      <c r="AC117" s="7"/>
      <c r="AD117" s="7"/>
      <c r="AE117" s="7"/>
      <c r="AF117" s="6"/>
      <c r="AG117" s="8"/>
      <c r="AH117" s="9"/>
      <c r="AI117" s="9"/>
      <c r="AJ117" s="9"/>
      <c r="AK117" s="9"/>
      <c r="AL117" s="9"/>
      <c r="AM117" s="9"/>
      <c r="AN117" s="10"/>
      <c r="AO117" s="6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6"/>
      <c r="BC117" s="9"/>
      <c r="BD117" s="9"/>
      <c r="BE117" s="9"/>
      <c r="BF117" s="9"/>
      <c r="BG117" s="9"/>
      <c r="BH117" s="9"/>
      <c r="BI117" s="6"/>
      <c r="BJ117" s="12"/>
      <c r="BK117" s="12"/>
      <c r="BL117" s="12"/>
      <c r="BM117" s="12"/>
      <c r="BN117" s="12"/>
      <c r="BO117" s="12"/>
      <c r="BP117" s="6"/>
      <c r="BQ117" s="6"/>
      <c r="BR117" s="6"/>
      <c r="BS117" s="6"/>
      <c r="BT117" s="6"/>
      <c r="BU117" s="6"/>
      <c r="BV117" s="6"/>
      <c r="BW117" s="6"/>
      <c r="BX117" s="6"/>
      <c r="BY117" s="6"/>
    </row>
    <row r="118" spans="2:77" x14ac:dyDescent="0.25">
      <c r="B118" s="129"/>
      <c r="C118" s="129"/>
      <c r="D118" s="130"/>
      <c r="E118" s="130"/>
      <c r="F118" s="130"/>
      <c r="G118" s="130"/>
      <c r="H118" s="131"/>
      <c r="I118" s="131"/>
      <c r="J118" s="131"/>
      <c r="P118"/>
      <c r="Q118"/>
      <c r="AA118" s="7"/>
      <c r="AB118" s="7"/>
      <c r="AC118" s="7"/>
      <c r="AD118" s="7"/>
      <c r="AE118" s="7"/>
      <c r="AF118" s="6"/>
      <c r="AG118" s="8"/>
      <c r="AH118" s="9"/>
      <c r="AI118" s="9"/>
      <c r="AJ118" s="9"/>
      <c r="AK118" s="9"/>
      <c r="AL118" s="9"/>
      <c r="AM118" s="9"/>
      <c r="AN118" s="10"/>
      <c r="AO118" s="6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6"/>
      <c r="BC118" s="9"/>
      <c r="BD118" s="9"/>
      <c r="BE118" s="9"/>
      <c r="BF118" s="9"/>
      <c r="BG118" s="9"/>
      <c r="BH118" s="9"/>
      <c r="BI118" s="6"/>
      <c r="BJ118" s="12"/>
      <c r="BK118" s="12"/>
      <c r="BL118" s="12"/>
      <c r="BM118" s="12"/>
      <c r="BN118" s="12"/>
      <c r="BO118" s="12"/>
      <c r="BP118" s="6"/>
      <c r="BQ118" s="6"/>
      <c r="BR118" s="6"/>
      <c r="BS118" s="6"/>
      <c r="BT118" s="6"/>
      <c r="BU118" s="6"/>
      <c r="BV118" s="6"/>
      <c r="BW118" s="6"/>
      <c r="BX118" s="6"/>
      <c r="BY118" s="6"/>
    </row>
    <row r="119" spans="2:77" x14ac:dyDescent="0.25">
      <c r="B119" s="129"/>
      <c r="C119" s="129"/>
      <c r="D119" s="130"/>
      <c r="E119" s="130"/>
      <c r="F119" s="130"/>
      <c r="G119" s="130"/>
      <c r="H119" s="131"/>
      <c r="I119" s="131"/>
      <c r="J119" s="131"/>
      <c r="P119"/>
      <c r="Q119"/>
      <c r="AA119" s="7"/>
      <c r="AB119" s="7"/>
      <c r="AC119" s="7"/>
      <c r="AD119" s="7"/>
      <c r="AE119" s="7"/>
      <c r="AF119" s="6"/>
      <c r="AG119" s="8"/>
      <c r="AH119" s="9"/>
      <c r="AI119" s="9"/>
      <c r="AJ119" s="9"/>
      <c r="AK119" s="9"/>
      <c r="AL119" s="9"/>
      <c r="AM119" s="9"/>
      <c r="AN119" s="10"/>
      <c r="AO119" s="6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6"/>
      <c r="BC119" s="9"/>
      <c r="BD119" s="9"/>
      <c r="BE119" s="9"/>
      <c r="BF119" s="9"/>
      <c r="BG119" s="9"/>
      <c r="BH119" s="9"/>
      <c r="BI119" s="6"/>
      <c r="BJ119" s="12"/>
      <c r="BK119" s="12"/>
      <c r="BL119" s="12"/>
      <c r="BM119" s="12"/>
      <c r="BN119" s="12"/>
      <c r="BO119" s="12"/>
      <c r="BP119" s="6"/>
      <c r="BQ119" s="6"/>
      <c r="BR119" s="6"/>
      <c r="BS119" s="6"/>
      <c r="BT119" s="6"/>
      <c r="BU119" s="6"/>
      <c r="BV119" s="6"/>
      <c r="BW119" s="6"/>
      <c r="BX119" s="6"/>
      <c r="BY119" s="6"/>
    </row>
    <row r="120" spans="2:77" x14ac:dyDescent="0.25">
      <c r="B120" s="129"/>
      <c r="C120" s="129"/>
      <c r="D120" s="130"/>
      <c r="E120" s="130"/>
      <c r="F120" s="130"/>
      <c r="G120" s="130"/>
      <c r="H120" s="131"/>
      <c r="I120" s="131"/>
      <c r="J120" s="131"/>
      <c r="P120"/>
      <c r="Q120"/>
      <c r="AA120" s="7"/>
      <c r="AB120" s="7"/>
      <c r="AC120" s="7"/>
      <c r="AD120" s="7"/>
      <c r="AE120" s="7"/>
      <c r="AF120" s="6"/>
      <c r="AG120" s="8"/>
      <c r="AH120" s="9"/>
      <c r="AI120" s="9"/>
      <c r="AJ120" s="9"/>
      <c r="AK120" s="9"/>
      <c r="AL120" s="9"/>
      <c r="AM120" s="9"/>
      <c r="AN120" s="10"/>
      <c r="AO120" s="6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6"/>
      <c r="BC120" s="9"/>
      <c r="BD120" s="9"/>
      <c r="BE120" s="9"/>
      <c r="BF120" s="9"/>
      <c r="BG120" s="9"/>
      <c r="BH120" s="9"/>
      <c r="BI120" s="6"/>
      <c r="BJ120" s="12"/>
      <c r="BK120" s="12"/>
      <c r="BL120" s="12"/>
      <c r="BM120" s="12"/>
      <c r="BN120" s="12"/>
      <c r="BO120" s="12"/>
      <c r="BP120" s="6"/>
      <c r="BQ120" s="6"/>
      <c r="BR120" s="6"/>
      <c r="BS120" s="6"/>
      <c r="BT120" s="6"/>
      <c r="BU120" s="6"/>
      <c r="BV120" s="6"/>
      <c r="BW120" s="6"/>
      <c r="BX120" s="6"/>
      <c r="BY120" s="6"/>
    </row>
    <row r="121" spans="2:77" x14ac:dyDescent="0.25">
      <c r="B121" s="129"/>
      <c r="C121" s="129"/>
      <c r="D121" s="130"/>
      <c r="E121" s="130"/>
      <c r="F121" s="130"/>
      <c r="G121" s="130"/>
      <c r="H121" s="131"/>
      <c r="I121" s="131"/>
      <c r="J121" s="131"/>
      <c r="P121"/>
      <c r="Q121"/>
      <c r="AA121" s="7"/>
      <c r="AB121" s="7"/>
      <c r="AC121" s="7"/>
      <c r="AD121" s="7"/>
      <c r="AE121" s="7"/>
      <c r="AF121" s="6"/>
      <c r="AG121" s="8"/>
      <c r="AH121" s="9"/>
      <c r="AI121" s="9"/>
      <c r="AJ121" s="9"/>
      <c r="AK121" s="9"/>
      <c r="AL121" s="9"/>
      <c r="AM121" s="9"/>
      <c r="AN121" s="10"/>
      <c r="AO121" s="6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6"/>
      <c r="BC121" s="9"/>
      <c r="BD121" s="9"/>
      <c r="BE121" s="9"/>
      <c r="BF121" s="9"/>
      <c r="BG121" s="9"/>
      <c r="BH121" s="9"/>
      <c r="BI121" s="6"/>
      <c r="BJ121" s="12"/>
      <c r="BK121" s="12"/>
      <c r="BL121" s="12"/>
      <c r="BM121" s="12"/>
      <c r="BN121" s="12"/>
      <c r="BO121" s="12"/>
      <c r="BP121" s="6"/>
      <c r="BQ121" s="6"/>
      <c r="BR121" s="6"/>
      <c r="BS121" s="6"/>
      <c r="BT121" s="6"/>
      <c r="BU121" s="6"/>
      <c r="BV121" s="6"/>
      <c r="BW121" s="6"/>
      <c r="BX121" s="6"/>
      <c r="BY121" s="6"/>
    </row>
    <row r="122" spans="2:77" x14ac:dyDescent="0.25">
      <c r="B122" s="129"/>
      <c r="C122" s="129"/>
      <c r="D122" s="130"/>
      <c r="E122" s="130"/>
      <c r="F122" s="130"/>
      <c r="G122" s="130"/>
      <c r="H122" s="131"/>
      <c r="I122" s="131"/>
      <c r="J122" s="131"/>
      <c r="P122"/>
      <c r="Q122"/>
      <c r="AA122" s="7"/>
      <c r="AB122" s="7"/>
      <c r="AC122" s="7"/>
      <c r="AD122" s="7"/>
      <c r="AE122" s="7"/>
      <c r="AF122" s="6"/>
      <c r="AG122" s="8"/>
      <c r="AH122" s="9"/>
      <c r="AI122" s="9"/>
      <c r="AJ122" s="9"/>
      <c r="AK122" s="9"/>
      <c r="AL122" s="9"/>
      <c r="AM122" s="9"/>
      <c r="AN122" s="10"/>
      <c r="AO122" s="6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6"/>
      <c r="BC122" s="9"/>
      <c r="BD122" s="9"/>
      <c r="BE122" s="9"/>
      <c r="BF122" s="9"/>
      <c r="BG122" s="9"/>
      <c r="BH122" s="9"/>
      <c r="BI122" s="6"/>
      <c r="BJ122" s="12"/>
      <c r="BK122" s="12"/>
      <c r="BL122" s="12"/>
      <c r="BM122" s="12"/>
      <c r="BN122" s="12"/>
      <c r="BO122" s="12"/>
      <c r="BP122" s="6"/>
      <c r="BQ122" s="6"/>
      <c r="BR122" s="6"/>
      <c r="BS122" s="6"/>
      <c r="BT122" s="6"/>
      <c r="BU122" s="6"/>
      <c r="BV122" s="6"/>
      <c r="BW122" s="6"/>
      <c r="BX122" s="6"/>
      <c r="BY122" s="6"/>
    </row>
    <row r="123" spans="2:77" x14ac:dyDescent="0.25">
      <c r="B123" s="129"/>
      <c r="C123" s="129"/>
      <c r="D123" s="130"/>
      <c r="E123" s="130"/>
      <c r="F123" s="130"/>
      <c r="G123" s="130"/>
      <c r="H123" s="131"/>
      <c r="I123" s="131"/>
      <c r="J123" s="131"/>
      <c r="P123"/>
      <c r="Q123"/>
      <c r="AA123" s="7"/>
      <c r="AB123" s="7"/>
      <c r="AC123" s="7"/>
      <c r="AD123" s="7"/>
      <c r="AE123" s="7"/>
      <c r="AF123" s="6"/>
      <c r="AG123" s="8"/>
      <c r="AH123" s="9"/>
      <c r="AI123" s="9"/>
      <c r="AJ123" s="9"/>
      <c r="AK123" s="9"/>
      <c r="AL123" s="9"/>
      <c r="AM123" s="9"/>
      <c r="AN123" s="10"/>
      <c r="AO123" s="6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6"/>
      <c r="BC123" s="9"/>
      <c r="BD123" s="9"/>
      <c r="BE123" s="9"/>
      <c r="BF123" s="9"/>
      <c r="BG123" s="9"/>
      <c r="BH123" s="9"/>
      <c r="BI123" s="6"/>
      <c r="BJ123" s="12"/>
      <c r="BK123" s="12"/>
      <c r="BL123" s="12"/>
      <c r="BM123" s="12"/>
      <c r="BN123" s="12"/>
      <c r="BO123" s="12"/>
      <c r="BP123" s="6"/>
      <c r="BQ123" s="6"/>
      <c r="BR123" s="6"/>
      <c r="BS123" s="6"/>
      <c r="BT123" s="6"/>
      <c r="BU123" s="6"/>
      <c r="BV123" s="6"/>
      <c r="BW123" s="6"/>
      <c r="BX123" s="6"/>
      <c r="BY123" s="6"/>
    </row>
    <row r="124" spans="2:77" x14ac:dyDescent="0.25">
      <c r="B124" s="129"/>
      <c r="C124" s="129"/>
      <c r="D124" s="130"/>
      <c r="E124" s="130"/>
      <c r="F124" s="130"/>
      <c r="G124" s="130"/>
      <c r="H124" s="131"/>
      <c r="I124" s="131"/>
      <c r="J124" s="131"/>
      <c r="P124"/>
      <c r="Q124"/>
      <c r="AA124" s="7"/>
      <c r="AB124" s="7"/>
      <c r="AC124" s="7"/>
      <c r="AD124" s="7"/>
      <c r="AE124" s="7"/>
      <c r="AF124" s="6"/>
      <c r="AG124" s="8"/>
      <c r="AH124" s="9"/>
      <c r="AI124" s="9"/>
      <c r="AJ124" s="9"/>
      <c r="AK124" s="9"/>
      <c r="AL124" s="9"/>
      <c r="AM124" s="9"/>
      <c r="AN124" s="10"/>
      <c r="AO124" s="6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6"/>
      <c r="BC124" s="9"/>
      <c r="BD124" s="9"/>
      <c r="BE124" s="9"/>
      <c r="BF124" s="9"/>
      <c r="BG124" s="9"/>
      <c r="BH124" s="9"/>
      <c r="BI124" s="6"/>
      <c r="BJ124" s="12"/>
      <c r="BK124" s="12"/>
      <c r="BL124" s="12"/>
      <c r="BM124" s="12"/>
      <c r="BN124" s="12"/>
      <c r="BO124" s="12"/>
      <c r="BP124" s="6"/>
      <c r="BQ124" s="6"/>
      <c r="BR124" s="6"/>
      <c r="BS124" s="6"/>
      <c r="BT124" s="6"/>
      <c r="BU124" s="6"/>
      <c r="BV124" s="6"/>
      <c r="BW124" s="6"/>
      <c r="BX124" s="6"/>
      <c r="BY124" s="6"/>
    </row>
    <row r="125" spans="2:77" x14ac:dyDescent="0.25">
      <c r="B125" s="129"/>
      <c r="C125" s="129"/>
      <c r="D125" s="130"/>
      <c r="E125" s="130"/>
      <c r="F125" s="130"/>
      <c r="G125" s="130"/>
      <c r="H125" s="131"/>
      <c r="I125" s="131"/>
      <c r="J125" s="131"/>
      <c r="P125"/>
      <c r="Q125"/>
      <c r="AA125" s="6"/>
      <c r="AB125" s="6"/>
      <c r="AC125" s="6"/>
      <c r="AD125" s="6"/>
      <c r="AE125" s="6"/>
      <c r="AF125" s="6"/>
      <c r="AG125" s="8"/>
      <c r="AH125" s="9"/>
      <c r="AI125" s="9"/>
      <c r="AJ125" s="9"/>
      <c r="AK125" s="9"/>
      <c r="AL125" s="9"/>
      <c r="AM125" s="9"/>
      <c r="AN125" s="10"/>
      <c r="AO125" s="6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6"/>
      <c r="BC125" s="9"/>
      <c r="BD125" s="9"/>
      <c r="BE125" s="9"/>
      <c r="BF125" s="9"/>
      <c r="BG125" s="9"/>
      <c r="BH125" s="9"/>
      <c r="BI125" s="6"/>
      <c r="BJ125" s="12"/>
      <c r="BK125" s="12"/>
      <c r="BL125" s="12"/>
      <c r="BM125" s="12"/>
      <c r="BN125" s="12"/>
      <c r="BO125" s="12"/>
      <c r="BP125" s="6"/>
      <c r="BQ125" s="6"/>
      <c r="BR125" s="6"/>
      <c r="BS125" s="6"/>
      <c r="BT125" s="6"/>
      <c r="BU125" s="6"/>
      <c r="BV125" s="6"/>
      <c r="BW125" s="6"/>
      <c r="BX125" s="6"/>
      <c r="BY125" s="6"/>
    </row>
    <row r="126" spans="2:77" x14ac:dyDescent="0.25">
      <c r="B126" s="129"/>
      <c r="C126" s="129"/>
      <c r="D126" s="130"/>
      <c r="E126" s="130"/>
      <c r="F126" s="130"/>
      <c r="G126" s="130"/>
      <c r="H126" s="131"/>
      <c r="I126" s="131"/>
      <c r="J126" s="131"/>
      <c r="P126"/>
      <c r="Q126"/>
      <c r="AA126" s="6"/>
      <c r="AB126" s="6"/>
      <c r="AC126" s="6"/>
      <c r="AD126" s="6"/>
      <c r="AE126" s="6"/>
      <c r="AF126" s="6"/>
      <c r="AG126" s="8"/>
      <c r="AH126" s="9"/>
      <c r="AI126" s="9"/>
      <c r="AJ126" s="9"/>
      <c r="AK126" s="9"/>
      <c r="AL126" s="9"/>
      <c r="AM126" s="9"/>
      <c r="AN126" s="10"/>
      <c r="AO126" s="6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6"/>
      <c r="BC126" s="9"/>
      <c r="BD126" s="9"/>
      <c r="BE126" s="9"/>
      <c r="BF126" s="9"/>
      <c r="BG126" s="9"/>
      <c r="BH126" s="9"/>
      <c r="BI126" s="6"/>
      <c r="BJ126" s="12"/>
      <c r="BK126" s="12"/>
      <c r="BL126" s="12"/>
      <c r="BM126" s="12"/>
      <c r="BN126" s="12"/>
      <c r="BO126" s="12"/>
      <c r="BP126" s="6"/>
      <c r="BQ126" s="6"/>
      <c r="BR126" s="6"/>
      <c r="BS126" s="6"/>
      <c r="BT126" s="6"/>
      <c r="BU126" s="6"/>
      <c r="BV126" s="6"/>
      <c r="BW126" s="6"/>
      <c r="BX126" s="6"/>
      <c r="BY126" s="6"/>
    </row>
    <row r="127" spans="2:77" x14ac:dyDescent="0.25">
      <c r="B127" s="129"/>
      <c r="C127" s="129"/>
      <c r="D127" s="130"/>
      <c r="E127" s="130"/>
      <c r="F127" s="130"/>
      <c r="G127" s="130"/>
      <c r="H127" s="131"/>
      <c r="I127" s="131"/>
      <c r="J127" s="131"/>
      <c r="P127"/>
      <c r="Q127"/>
      <c r="AA127" s="6"/>
      <c r="AB127" s="6"/>
      <c r="AC127" s="6"/>
      <c r="AD127" s="6"/>
      <c r="AE127" s="6"/>
      <c r="AF127" s="6"/>
      <c r="AG127" s="8"/>
      <c r="AH127" s="9"/>
      <c r="AI127" s="9"/>
      <c r="AJ127" s="9"/>
      <c r="AK127" s="9"/>
      <c r="AL127" s="9"/>
      <c r="AM127" s="9"/>
      <c r="AN127" s="10"/>
      <c r="AO127" s="6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6"/>
      <c r="BC127" s="9"/>
      <c r="BD127" s="9"/>
      <c r="BE127" s="9"/>
      <c r="BF127" s="9"/>
      <c r="BG127" s="9"/>
      <c r="BH127" s="9"/>
      <c r="BI127" s="6"/>
      <c r="BJ127" s="12"/>
      <c r="BK127" s="12"/>
      <c r="BL127" s="12"/>
      <c r="BM127" s="12"/>
      <c r="BN127" s="12"/>
      <c r="BO127" s="12"/>
      <c r="BP127" s="6"/>
      <c r="BQ127" s="6"/>
      <c r="BR127" s="6"/>
      <c r="BS127" s="6"/>
      <c r="BT127" s="6"/>
      <c r="BU127" s="6"/>
      <c r="BV127" s="6"/>
      <c r="BW127" s="6"/>
      <c r="BX127" s="6"/>
      <c r="BY127" s="6"/>
    </row>
    <row r="128" spans="2:77" x14ac:dyDescent="0.25">
      <c r="B128" s="129"/>
      <c r="C128" s="129"/>
      <c r="D128" s="130"/>
      <c r="E128" s="130"/>
      <c r="F128" s="130"/>
      <c r="G128" s="130"/>
      <c r="H128" s="131"/>
      <c r="I128" s="131"/>
      <c r="J128" s="131"/>
      <c r="P128"/>
      <c r="Q128"/>
      <c r="AA128" s="6"/>
      <c r="AB128" s="6"/>
      <c r="AC128" s="6"/>
      <c r="AD128" s="6"/>
      <c r="AE128" s="6"/>
      <c r="AF128" s="6"/>
      <c r="AG128" s="8"/>
      <c r="AH128" s="9"/>
      <c r="AI128" s="9"/>
      <c r="AJ128" s="9"/>
      <c r="AK128" s="9"/>
      <c r="AL128" s="9"/>
      <c r="AM128" s="9"/>
      <c r="AN128" s="10"/>
      <c r="AO128" s="6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6"/>
      <c r="BC128" s="9"/>
      <c r="BD128" s="9"/>
      <c r="BE128" s="9"/>
      <c r="BF128" s="9"/>
      <c r="BG128" s="9"/>
      <c r="BH128" s="9"/>
      <c r="BI128" s="6"/>
      <c r="BJ128" s="12"/>
      <c r="BK128" s="12"/>
      <c r="BL128" s="12"/>
      <c r="BM128" s="12"/>
      <c r="BN128" s="12"/>
      <c r="BO128" s="12"/>
      <c r="BP128" s="6"/>
      <c r="BQ128" s="6"/>
      <c r="BR128" s="6"/>
      <c r="BS128" s="6"/>
      <c r="BT128" s="6"/>
      <c r="BU128" s="6"/>
      <c r="BV128" s="6"/>
      <c r="BW128" s="6"/>
      <c r="BX128" s="6"/>
      <c r="BY128" s="6"/>
    </row>
    <row r="129" spans="2:77" x14ac:dyDescent="0.25">
      <c r="B129" s="129"/>
      <c r="C129" s="129"/>
      <c r="D129" s="130"/>
      <c r="E129" s="130"/>
      <c r="F129" s="130"/>
      <c r="G129" s="130"/>
      <c r="H129" s="131"/>
      <c r="I129" s="131"/>
      <c r="J129" s="131"/>
      <c r="P129"/>
      <c r="Q129"/>
      <c r="AA129" s="6"/>
      <c r="AB129" s="6"/>
      <c r="AC129" s="6"/>
      <c r="AD129" s="6"/>
      <c r="AE129" s="6"/>
      <c r="AF129" s="6"/>
      <c r="AG129" s="8"/>
      <c r="AH129" s="9"/>
      <c r="AI129" s="9"/>
      <c r="AJ129" s="9"/>
      <c r="AK129" s="9"/>
      <c r="AL129" s="9"/>
      <c r="AM129" s="9"/>
      <c r="AN129" s="10"/>
      <c r="AO129" s="6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6"/>
      <c r="BC129" s="9"/>
      <c r="BD129" s="9"/>
      <c r="BE129" s="9"/>
      <c r="BF129" s="9"/>
      <c r="BG129" s="9"/>
      <c r="BH129" s="9"/>
      <c r="BI129" s="6"/>
      <c r="BJ129" s="12"/>
      <c r="BK129" s="12"/>
      <c r="BL129" s="12"/>
      <c r="BM129" s="12"/>
      <c r="BN129" s="12"/>
      <c r="BO129" s="12"/>
      <c r="BP129" s="6"/>
      <c r="BQ129" s="6"/>
      <c r="BR129" s="6"/>
      <c r="BS129" s="6"/>
      <c r="BT129" s="6"/>
      <c r="BU129" s="6"/>
      <c r="BV129" s="6"/>
      <c r="BW129" s="6"/>
      <c r="BX129" s="6"/>
      <c r="BY129" s="6"/>
    </row>
    <row r="130" spans="2:77" x14ac:dyDescent="0.25">
      <c r="B130" s="129"/>
      <c r="C130" s="129"/>
      <c r="D130" s="130"/>
      <c r="E130" s="130"/>
      <c r="F130" s="130"/>
      <c r="G130" s="130"/>
      <c r="H130" s="131"/>
      <c r="I130" s="131"/>
      <c r="J130" s="131"/>
      <c r="P130"/>
      <c r="Q130"/>
      <c r="AA130" s="6"/>
      <c r="AB130" s="6"/>
      <c r="AC130" s="6"/>
      <c r="AD130" s="6"/>
      <c r="AE130" s="6"/>
      <c r="AF130" s="6"/>
      <c r="AG130" s="8"/>
      <c r="AH130" s="9"/>
      <c r="AI130" s="9"/>
      <c r="AJ130" s="9"/>
      <c r="AK130" s="9"/>
      <c r="AL130" s="9"/>
      <c r="AM130" s="9"/>
      <c r="AN130" s="10"/>
      <c r="AO130" s="6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6"/>
      <c r="BC130" s="9"/>
      <c r="BD130" s="9"/>
      <c r="BE130" s="9"/>
      <c r="BF130" s="9"/>
      <c r="BG130" s="9"/>
      <c r="BH130" s="9"/>
      <c r="BI130" s="6"/>
      <c r="BJ130" s="12"/>
      <c r="BK130" s="12"/>
      <c r="BL130" s="12"/>
      <c r="BM130" s="12"/>
      <c r="BN130" s="12"/>
      <c r="BO130" s="12"/>
      <c r="BP130" s="6"/>
      <c r="BQ130" s="6"/>
      <c r="BR130" s="6"/>
      <c r="BS130" s="6"/>
      <c r="BT130" s="6"/>
      <c r="BU130" s="6"/>
      <c r="BV130" s="6"/>
      <c r="BW130" s="6"/>
      <c r="BX130" s="6"/>
      <c r="BY130" s="6"/>
    </row>
    <row r="131" spans="2:77" x14ac:dyDescent="0.25">
      <c r="B131" s="129"/>
      <c r="C131" s="129"/>
      <c r="D131" s="130"/>
      <c r="E131" s="130"/>
      <c r="F131" s="130"/>
      <c r="G131" s="130"/>
      <c r="H131" s="131"/>
      <c r="I131" s="131"/>
      <c r="J131" s="131"/>
      <c r="P131"/>
      <c r="Q131"/>
      <c r="AA131" s="6"/>
      <c r="AB131" s="6"/>
      <c r="AC131" s="6"/>
      <c r="AD131" s="6"/>
      <c r="AE131" s="6"/>
      <c r="AF131" s="6"/>
      <c r="AG131" s="8"/>
      <c r="AH131" s="9"/>
      <c r="AI131" s="9"/>
      <c r="AJ131" s="9"/>
      <c r="AK131" s="9"/>
      <c r="AL131" s="9"/>
      <c r="AM131" s="9"/>
      <c r="AN131" s="10"/>
      <c r="AO131" s="6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6"/>
      <c r="BC131" s="9"/>
      <c r="BD131" s="9"/>
      <c r="BE131" s="9"/>
      <c r="BF131" s="9"/>
      <c r="BG131" s="9"/>
      <c r="BH131" s="9"/>
      <c r="BI131" s="6"/>
      <c r="BJ131" s="12"/>
      <c r="BK131" s="12"/>
      <c r="BL131" s="12"/>
      <c r="BM131" s="12"/>
      <c r="BN131" s="12"/>
      <c r="BO131" s="12"/>
      <c r="BP131" s="6"/>
      <c r="BQ131" s="6"/>
      <c r="BR131" s="6"/>
      <c r="BS131" s="6"/>
      <c r="BT131" s="6"/>
      <c r="BU131" s="6"/>
      <c r="BV131" s="6"/>
      <c r="BW131" s="6"/>
      <c r="BX131" s="6"/>
      <c r="BY131" s="6"/>
    </row>
    <row r="132" spans="2:77" x14ac:dyDescent="0.25">
      <c r="B132" s="129"/>
      <c r="C132" s="129"/>
      <c r="D132" s="130"/>
      <c r="E132" s="130"/>
      <c r="F132" s="130"/>
      <c r="G132" s="130"/>
      <c r="H132" s="131"/>
      <c r="I132" s="131"/>
      <c r="J132" s="131"/>
      <c r="P132"/>
      <c r="Q132"/>
      <c r="AA132" s="6"/>
      <c r="AB132" s="6"/>
      <c r="AC132" s="6"/>
      <c r="AD132" s="6"/>
      <c r="AE132" s="6"/>
      <c r="AF132" s="6"/>
      <c r="AG132" s="8"/>
      <c r="AH132" s="9"/>
      <c r="AI132" s="9"/>
      <c r="AJ132" s="9"/>
      <c r="AK132" s="9"/>
      <c r="AL132" s="9"/>
      <c r="AM132" s="9"/>
      <c r="AN132" s="10"/>
      <c r="AO132" s="6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6"/>
      <c r="BC132" s="9"/>
      <c r="BD132" s="9"/>
      <c r="BE132" s="9"/>
      <c r="BF132" s="9"/>
      <c r="BG132" s="9"/>
      <c r="BH132" s="9"/>
      <c r="BI132" s="6"/>
      <c r="BJ132" s="12"/>
      <c r="BK132" s="12"/>
      <c r="BL132" s="12"/>
      <c r="BM132" s="12"/>
      <c r="BN132" s="12"/>
      <c r="BO132" s="12"/>
      <c r="BP132" s="6"/>
      <c r="BQ132" s="6"/>
      <c r="BR132" s="6"/>
      <c r="BS132" s="6"/>
      <c r="BT132" s="6"/>
      <c r="BU132" s="6"/>
      <c r="BV132" s="6"/>
      <c r="BW132" s="6"/>
      <c r="BX132" s="6"/>
      <c r="BY132" s="6"/>
    </row>
    <row r="133" spans="2:77" x14ac:dyDescent="0.25">
      <c r="B133" s="129"/>
      <c r="C133" s="129"/>
      <c r="D133" s="130"/>
      <c r="E133" s="130"/>
      <c r="F133" s="130"/>
      <c r="G133" s="130"/>
      <c r="H133" s="131"/>
      <c r="I133" s="131"/>
      <c r="J133" s="131"/>
      <c r="P133"/>
      <c r="Q133"/>
      <c r="AA133" s="6"/>
      <c r="AB133" s="6"/>
      <c r="AC133" s="6"/>
      <c r="AD133" s="6"/>
      <c r="AE133" s="6"/>
      <c r="AF133" s="6"/>
      <c r="AG133" s="8"/>
      <c r="AH133" s="9"/>
      <c r="AI133" s="9"/>
      <c r="AJ133" s="9"/>
      <c r="AK133" s="9"/>
      <c r="AL133" s="9"/>
      <c r="AM133" s="9"/>
      <c r="AN133" s="10"/>
      <c r="AO133" s="6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6"/>
      <c r="BC133" s="9"/>
      <c r="BD133" s="9"/>
      <c r="BE133" s="9"/>
      <c r="BF133" s="9"/>
      <c r="BG133" s="9"/>
      <c r="BH133" s="9"/>
      <c r="BI133" s="6"/>
      <c r="BJ133" s="12"/>
      <c r="BK133" s="12"/>
      <c r="BL133" s="12"/>
      <c r="BM133" s="12"/>
      <c r="BN133" s="12"/>
      <c r="BO133" s="12"/>
      <c r="BP133" s="6"/>
      <c r="BQ133" s="6"/>
      <c r="BR133" s="6"/>
      <c r="BS133" s="6"/>
      <c r="BT133" s="6"/>
      <c r="BU133" s="6"/>
      <c r="BV133" s="6"/>
      <c r="BW133" s="6"/>
      <c r="BX133" s="6"/>
      <c r="BY133" s="6"/>
    </row>
    <row r="134" spans="2:77" x14ac:dyDescent="0.25">
      <c r="B134" s="129"/>
      <c r="C134" s="129"/>
      <c r="D134" s="130"/>
      <c r="E134" s="130"/>
      <c r="F134" s="130"/>
      <c r="G134" s="130"/>
      <c r="H134" s="131"/>
      <c r="I134" s="131"/>
      <c r="J134" s="131"/>
      <c r="P134"/>
      <c r="Q134"/>
      <c r="AA134" s="6"/>
      <c r="AB134" s="6"/>
      <c r="AC134" s="6"/>
      <c r="AD134" s="6"/>
      <c r="AE134" s="6"/>
      <c r="AF134" s="6"/>
      <c r="AG134" s="8"/>
      <c r="AH134" s="9"/>
      <c r="AI134" s="9"/>
      <c r="AJ134" s="9"/>
      <c r="AK134" s="9"/>
      <c r="AL134" s="9"/>
      <c r="AM134" s="9"/>
      <c r="AN134" s="10"/>
      <c r="AO134" s="6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6"/>
      <c r="BC134" s="9"/>
      <c r="BD134" s="9"/>
      <c r="BE134" s="9"/>
      <c r="BF134" s="9"/>
      <c r="BG134" s="9"/>
      <c r="BH134" s="9"/>
      <c r="BI134" s="6"/>
      <c r="BJ134" s="12"/>
      <c r="BK134" s="12"/>
      <c r="BL134" s="12"/>
      <c r="BM134" s="12"/>
      <c r="BN134" s="12"/>
      <c r="BO134" s="12"/>
      <c r="BP134" s="6"/>
      <c r="BQ134" s="6"/>
      <c r="BR134" s="6"/>
      <c r="BS134" s="6"/>
      <c r="BT134" s="6"/>
      <c r="BU134" s="6"/>
      <c r="BV134" s="6"/>
      <c r="BW134" s="6"/>
      <c r="BX134" s="6"/>
      <c r="BY134" s="6"/>
    </row>
    <row r="135" spans="2:77" x14ac:dyDescent="0.25">
      <c r="B135" s="129"/>
      <c r="C135" s="129"/>
      <c r="D135" s="130"/>
      <c r="E135" s="130"/>
      <c r="F135" s="130"/>
      <c r="G135" s="130"/>
      <c r="H135" s="131"/>
      <c r="I135" s="131"/>
      <c r="J135" s="131"/>
      <c r="P135"/>
      <c r="Q135"/>
      <c r="AA135" s="6"/>
      <c r="AB135" s="6"/>
      <c r="AC135" s="6"/>
      <c r="AD135" s="6"/>
      <c r="AE135" s="6"/>
      <c r="AF135" s="6"/>
      <c r="AG135" s="8"/>
      <c r="AH135" s="9"/>
      <c r="AI135" s="9"/>
      <c r="AJ135" s="9"/>
      <c r="AK135" s="9"/>
      <c r="AL135" s="9"/>
      <c r="AM135" s="9"/>
      <c r="AN135" s="10"/>
      <c r="AO135" s="6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6"/>
      <c r="BC135" s="9"/>
      <c r="BD135" s="9"/>
      <c r="BE135" s="9"/>
      <c r="BF135" s="9"/>
      <c r="BG135" s="9"/>
      <c r="BH135" s="9"/>
      <c r="BI135" s="6"/>
      <c r="BJ135" s="12"/>
      <c r="BK135" s="12"/>
      <c r="BL135" s="12"/>
      <c r="BM135" s="12"/>
      <c r="BN135" s="12"/>
      <c r="BO135" s="12"/>
      <c r="BP135" s="6"/>
      <c r="BQ135" s="6"/>
      <c r="BR135" s="6"/>
      <c r="BS135" s="6"/>
      <c r="BT135" s="6"/>
      <c r="BU135" s="6"/>
      <c r="BV135" s="6"/>
      <c r="BW135" s="6"/>
      <c r="BX135" s="6"/>
      <c r="BY135" s="6"/>
    </row>
    <row r="136" spans="2:77" x14ac:dyDescent="0.25">
      <c r="B136" s="129"/>
      <c r="C136" s="129"/>
      <c r="D136" s="130"/>
      <c r="E136" s="130"/>
      <c r="F136" s="130"/>
      <c r="G136" s="130"/>
      <c r="H136" s="131"/>
      <c r="I136" s="131"/>
      <c r="J136" s="131"/>
      <c r="P136"/>
      <c r="Q136"/>
      <c r="AA136" s="6"/>
      <c r="AB136" s="6"/>
      <c r="AC136" s="6"/>
      <c r="AD136" s="6"/>
      <c r="AE136" s="6"/>
      <c r="AF136" s="6"/>
      <c r="AG136" s="8"/>
      <c r="AH136" s="9"/>
      <c r="AI136" s="9"/>
      <c r="AJ136" s="9"/>
      <c r="AK136" s="9"/>
      <c r="AL136" s="9"/>
      <c r="AM136" s="9"/>
      <c r="AN136" s="10"/>
      <c r="AO136" s="6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6"/>
      <c r="BC136" s="9"/>
      <c r="BD136" s="9"/>
      <c r="BE136" s="9"/>
      <c r="BF136" s="9"/>
      <c r="BG136" s="9"/>
      <c r="BH136" s="9"/>
      <c r="BI136" s="6"/>
      <c r="BJ136" s="12"/>
      <c r="BK136" s="12"/>
      <c r="BL136" s="12"/>
      <c r="BM136" s="12"/>
      <c r="BN136" s="12"/>
      <c r="BO136" s="12"/>
      <c r="BP136" s="6"/>
      <c r="BQ136" s="6"/>
      <c r="BR136" s="6"/>
      <c r="BS136" s="6"/>
      <c r="BT136" s="6"/>
      <c r="BU136" s="6"/>
      <c r="BV136" s="6"/>
      <c r="BW136" s="6"/>
      <c r="BX136" s="6"/>
      <c r="BY136" s="6"/>
    </row>
    <row r="137" spans="2:77" x14ac:dyDescent="0.25">
      <c r="B137" s="129"/>
      <c r="C137" s="129"/>
      <c r="D137" s="130"/>
      <c r="E137" s="130"/>
      <c r="F137" s="130"/>
      <c r="G137" s="130"/>
      <c r="H137" s="131"/>
      <c r="I137" s="131"/>
      <c r="J137" s="131"/>
      <c r="P137"/>
      <c r="Q137"/>
      <c r="AA137" s="6"/>
      <c r="AB137" s="6"/>
      <c r="AC137" s="6"/>
      <c r="AD137" s="6"/>
      <c r="AE137" s="6"/>
      <c r="AF137" s="6"/>
      <c r="AG137" s="8"/>
      <c r="AH137" s="9"/>
      <c r="AI137" s="9"/>
      <c r="AJ137" s="9"/>
      <c r="AK137" s="9"/>
      <c r="AL137" s="9"/>
      <c r="AM137" s="9"/>
      <c r="AN137" s="10"/>
      <c r="AO137" s="6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6"/>
      <c r="BC137" s="9"/>
      <c r="BD137" s="9"/>
      <c r="BE137" s="9"/>
      <c r="BF137" s="9"/>
      <c r="BG137" s="9"/>
      <c r="BH137" s="9"/>
      <c r="BI137" s="6"/>
      <c r="BJ137" s="12"/>
      <c r="BK137" s="12"/>
      <c r="BL137" s="12"/>
      <c r="BM137" s="12"/>
      <c r="BN137" s="12"/>
      <c r="BO137" s="12"/>
      <c r="BP137" s="6"/>
      <c r="BQ137" s="6"/>
      <c r="BR137" s="6"/>
      <c r="BS137" s="6"/>
      <c r="BT137" s="6"/>
      <c r="BU137" s="6"/>
      <c r="BV137" s="6"/>
      <c r="BW137" s="6"/>
      <c r="BX137" s="6"/>
      <c r="BY137" s="6"/>
    </row>
    <row r="138" spans="2:77" x14ac:dyDescent="0.25">
      <c r="B138" s="129"/>
      <c r="C138" s="129"/>
      <c r="D138" s="130"/>
      <c r="E138" s="130"/>
      <c r="F138" s="130"/>
      <c r="G138" s="130"/>
      <c r="H138" s="131"/>
      <c r="I138" s="131"/>
      <c r="J138" s="131"/>
      <c r="P138"/>
      <c r="Q138"/>
      <c r="AA138" s="6"/>
      <c r="AB138" s="6"/>
      <c r="AC138" s="6"/>
      <c r="AD138" s="6"/>
      <c r="AE138" s="6"/>
      <c r="AF138" s="6"/>
      <c r="AG138" s="8"/>
      <c r="AH138" s="9"/>
      <c r="AI138" s="9"/>
      <c r="AJ138" s="9"/>
      <c r="AK138" s="9"/>
      <c r="AL138" s="9"/>
      <c r="AM138" s="9"/>
      <c r="AN138" s="10"/>
      <c r="AO138" s="6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6"/>
      <c r="BC138" s="9"/>
      <c r="BD138" s="9"/>
      <c r="BE138" s="9"/>
      <c r="BF138" s="9"/>
      <c r="BG138" s="9"/>
      <c r="BH138" s="9"/>
      <c r="BI138" s="6"/>
      <c r="BJ138" s="12"/>
      <c r="BK138" s="12"/>
      <c r="BL138" s="12"/>
      <c r="BM138" s="12"/>
      <c r="BN138" s="12"/>
      <c r="BO138" s="12"/>
      <c r="BP138" s="6"/>
      <c r="BQ138" s="6"/>
      <c r="BR138" s="6"/>
      <c r="BS138" s="6"/>
      <c r="BT138" s="6"/>
      <c r="BU138" s="6"/>
      <c r="BV138" s="6"/>
      <c r="BW138" s="6"/>
      <c r="BX138" s="6"/>
      <c r="BY138" s="6"/>
    </row>
    <row r="139" spans="2:77" x14ac:dyDescent="0.25">
      <c r="B139" s="129"/>
      <c r="C139" s="129"/>
      <c r="D139" s="130"/>
      <c r="E139" s="130"/>
      <c r="F139" s="130"/>
      <c r="G139" s="130"/>
      <c r="H139" s="131"/>
      <c r="I139" s="131"/>
      <c r="J139" s="131"/>
      <c r="P139"/>
      <c r="Q139"/>
      <c r="AA139" s="6"/>
      <c r="AB139" s="6"/>
      <c r="AC139" s="6"/>
      <c r="AD139" s="6"/>
      <c r="AE139" s="6"/>
      <c r="AF139" s="6"/>
      <c r="AG139" s="8"/>
      <c r="AH139" s="9"/>
      <c r="AI139" s="9"/>
      <c r="AJ139" s="9"/>
      <c r="AK139" s="9"/>
      <c r="AL139" s="9"/>
      <c r="AM139" s="9"/>
      <c r="AN139" s="10"/>
      <c r="AO139" s="6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6"/>
      <c r="BC139" s="9"/>
      <c r="BD139" s="9"/>
      <c r="BE139" s="9"/>
      <c r="BF139" s="9"/>
      <c r="BG139" s="9"/>
      <c r="BH139" s="9"/>
      <c r="BI139" s="6"/>
      <c r="BJ139" s="12"/>
      <c r="BK139" s="12"/>
      <c r="BL139" s="12"/>
      <c r="BM139" s="12"/>
      <c r="BN139" s="12"/>
      <c r="BO139" s="12"/>
      <c r="BP139" s="6"/>
      <c r="BQ139" s="6"/>
      <c r="BR139" s="6"/>
      <c r="BS139" s="6"/>
      <c r="BT139" s="6"/>
      <c r="BU139" s="6"/>
      <c r="BV139" s="6"/>
      <c r="BW139" s="6"/>
      <c r="BX139" s="6"/>
      <c r="BY139" s="6"/>
    </row>
    <row r="140" spans="2:77" x14ac:dyDescent="0.25">
      <c r="B140" s="129"/>
      <c r="C140" s="129"/>
      <c r="D140" s="130"/>
      <c r="E140" s="130"/>
      <c r="F140" s="130"/>
      <c r="G140" s="130"/>
      <c r="H140" s="131"/>
      <c r="I140" s="131"/>
      <c r="J140" s="131"/>
      <c r="P140"/>
      <c r="Q140"/>
      <c r="AA140" s="6"/>
      <c r="AB140" s="6"/>
      <c r="AC140" s="6"/>
      <c r="AD140" s="6"/>
      <c r="AE140" s="6"/>
      <c r="AF140" s="6"/>
      <c r="AG140" s="8"/>
      <c r="AH140" s="9"/>
      <c r="AI140" s="9"/>
      <c r="AJ140" s="9"/>
      <c r="AK140" s="9"/>
      <c r="AL140" s="9"/>
      <c r="AM140" s="9"/>
      <c r="AN140" s="10"/>
      <c r="AO140" s="6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6"/>
      <c r="BC140" s="9"/>
      <c r="BD140" s="9"/>
      <c r="BE140" s="9"/>
      <c r="BF140" s="9"/>
      <c r="BG140" s="9"/>
      <c r="BH140" s="9"/>
      <c r="BI140" s="6"/>
      <c r="BJ140" s="12"/>
      <c r="BK140" s="12"/>
      <c r="BL140" s="12"/>
      <c r="BM140" s="12"/>
      <c r="BN140" s="12"/>
      <c r="BO140" s="12"/>
      <c r="BP140" s="6"/>
      <c r="BQ140" s="6"/>
      <c r="BR140" s="6"/>
      <c r="BS140" s="6"/>
      <c r="BT140" s="6"/>
      <c r="BU140" s="6"/>
      <c r="BV140" s="6"/>
      <c r="BW140" s="6"/>
      <c r="BX140" s="6"/>
      <c r="BY140" s="6"/>
    </row>
    <row r="141" spans="2:77" x14ac:dyDescent="0.25">
      <c r="B141" s="129"/>
      <c r="C141" s="129"/>
      <c r="D141" s="130"/>
      <c r="E141" s="130"/>
      <c r="F141" s="130"/>
      <c r="G141" s="130"/>
      <c r="H141" s="131"/>
      <c r="I141" s="131"/>
      <c r="J141" s="131"/>
      <c r="P141"/>
      <c r="Q141"/>
      <c r="AA141" s="6"/>
      <c r="AB141" s="6"/>
      <c r="AC141" s="6"/>
      <c r="AD141" s="6"/>
      <c r="AE141" s="6"/>
      <c r="AF141" s="6"/>
      <c r="AG141" s="8"/>
      <c r="AH141" s="9"/>
      <c r="AI141" s="9"/>
      <c r="AJ141" s="9"/>
      <c r="AK141" s="9"/>
      <c r="AL141" s="9"/>
      <c r="AM141" s="9"/>
      <c r="AN141" s="10"/>
      <c r="AO141" s="6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6"/>
      <c r="BC141" s="9"/>
      <c r="BD141" s="9"/>
      <c r="BE141" s="9"/>
      <c r="BF141" s="9"/>
      <c r="BG141" s="9"/>
      <c r="BH141" s="9"/>
      <c r="BI141" s="6"/>
      <c r="BJ141" s="12"/>
      <c r="BK141" s="12"/>
      <c r="BL141" s="12"/>
      <c r="BM141" s="12"/>
      <c r="BN141" s="12"/>
      <c r="BO141" s="12"/>
      <c r="BP141" s="6"/>
      <c r="BQ141" s="6"/>
      <c r="BR141" s="6"/>
      <c r="BS141" s="6"/>
      <c r="BT141" s="6"/>
      <c r="BU141" s="6"/>
      <c r="BV141" s="6"/>
      <c r="BW141" s="6"/>
      <c r="BX141" s="6"/>
      <c r="BY141" s="6"/>
    </row>
    <row r="142" spans="2:77" x14ac:dyDescent="0.25">
      <c r="B142" s="129"/>
      <c r="C142" s="129"/>
      <c r="D142" s="130"/>
      <c r="E142" s="130"/>
      <c r="F142" s="130"/>
      <c r="G142" s="130"/>
      <c r="H142" s="131"/>
      <c r="I142" s="131"/>
      <c r="J142" s="131"/>
      <c r="P142"/>
      <c r="Q142"/>
      <c r="AA142" s="6"/>
      <c r="AB142" s="6"/>
      <c r="AC142" s="6"/>
      <c r="AD142" s="6"/>
      <c r="AE142" s="6"/>
      <c r="AF142" s="6"/>
      <c r="AG142" s="8"/>
      <c r="AH142" s="9"/>
      <c r="AI142" s="9"/>
      <c r="AJ142" s="9"/>
      <c r="AK142" s="9"/>
      <c r="AL142" s="9"/>
      <c r="AM142" s="9"/>
      <c r="AN142" s="10"/>
      <c r="AO142" s="6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6"/>
      <c r="BC142" s="9"/>
      <c r="BD142" s="9"/>
      <c r="BE142" s="9"/>
      <c r="BF142" s="9"/>
      <c r="BG142" s="9"/>
      <c r="BH142" s="9"/>
      <c r="BI142" s="6"/>
      <c r="BJ142" s="12"/>
      <c r="BK142" s="12"/>
      <c r="BL142" s="12"/>
      <c r="BM142" s="12"/>
      <c r="BN142" s="12"/>
      <c r="BO142" s="12"/>
      <c r="BP142" s="6"/>
      <c r="BQ142" s="6"/>
      <c r="BR142" s="6"/>
      <c r="BS142" s="6"/>
      <c r="BT142" s="6"/>
      <c r="BU142" s="6"/>
      <c r="BV142" s="6"/>
      <c r="BW142" s="6"/>
      <c r="BX142" s="6"/>
      <c r="BY142" s="6"/>
    </row>
    <row r="143" spans="2:77" x14ac:dyDescent="0.25">
      <c r="B143" s="129"/>
      <c r="C143" s="129"/>
      <c r="D143" s="130"/>
      <c r="E143" s="130"/>
      <c r="F143" s="130"/>
      <c r="G143" s="130"/>
      <c r="H143" s="131"/>
      <c r="I143" s="131"/>
      <c r="J143" s="131"/>
      <c r="P143"/>
      <c r="Q143"/>
      <c r="AA143" s="6"/>
      <c r="AB143" s="6"/>
      <c r="AC143" s="6"/>
      <c r="AD143" s="6"/>
      <c r="AE143" s="6"/>
      <c r="AF143" s="6"/>
      <c r="AG143" s="8"/>
      <c r="AH143" s="9"/>
      <c r="AI143" s="9"/>
      <c r="AJ143" s="9"/>
      <c r="AK143" s="9"/>
      <c r="AL143" s="9"/>
      <c r="AM143" s="9"/>
      <c r="AN143" s="10"/>
      <c r="AO143" s="6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6"/>
      <c r="BC143" s="9"/>
      <c r="BD143" s="9"/>
      <c r="BE143" s="9"/>
      <c r="BF143" s="9"/>
      <c r="BG143" s="9"/>
      <c r="BH143" s="9"/>
      <c r="BI143" s="6"/>
      <c r="BJ143" s="12"/>
      <c r="BK143" s="12"/>
      <c r="BL143" s="12"/>
      <c r="BM143" s="12"/>
      <c r="BN143" s="12"/>
      <c r="BO143" s="12"/>
      <c r="BP143" s="6"/>
      <c r="BQ143" s="6"/>
      <c r="BR143" s="6"/>
      <c r="BS143" s="6"/>
      <c r="BT143" s="6"/>
      <c r="BU143" s="6"/>
      <c r="BV143" s="6"/>
      <c r="BW143" s="6"/>
      <c r="BX143" s="6"/>
      <c r="BY143" s="6"/>
    </row>
    <row r="144" spans="2:77" x14ac:dyDescent="0.25">
      <c r="B144" s="129"/>
      <c r="C144" s="129"/>
      <c r="D144" s="130"/>
      <c r="E144" s="130"/>
      <c r="F144" s="130"/>
      <c r="G144" s="130"/>
      <c r="H144" s="131"/>
      <c r="I144" s="131"/>
      <c r="J144" s="131"/>
      <c r="P144"/>
      <c r="Q144"/>
      <c r="AA144" s="6"/>
      <c r="AB144" s="6"/>
      <c r="AC144" s="6"/>
      <c r="AD144" s="6"/>
      <c r="AE144" s="6"/>
      <c r="AF144" s="6"/>
      <c r="AG144" s="8"/>
      <c r="AH144" s="9"/>
      <c r="AI144" s="9"/>
      <c r="AJ144" s="9"/>
      <c r="AK144" s="9"/>
      <c r="AL144" s="9"/>
      <c r="AM144" s="9"/>
      <c r="AN144" s="10"/>
      <c r="AO144" s="6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6"/>
      <c r="BC144" s="9"/>
      <c r="BD144" s="9"/>
      <c r="BE144" s="9"/>
      <c r="BF144" s="9"/>
      <c r="BG144" s="9"/>
      <c r="BH144" s="9"/>
      <c r="BI144" s="6"/>
      <c r="BJ144" s="12"/>
      <c r="BK144" s="12"/>
      <c r="BL144" s="12"/>
      <c r="BM144" s="12"/>
      <c r="BN144" s="12"/>
      <c r="BO144" s="12"/>
      <c r="BP144" s="6"/>
      <c r="BQ144" s="6"/>
      <c r="BR144" s="6"/>
      <c r="BS144" s="6"/>
      <c r="BT144" s="6"/>
      <c r="BU144" s="6"/>
      <c r="BV144" s="6"/>
      <c r="BW144" s="6"/>
      <c r="BX144" s="6"/>
      <c r="BY144" s="6"/>
    </row>
    <row r="145" spans="1:77" x14ac:dyDescent="0.25">
      <c r="B145" s="129"/>
      <c r="C145" s="129"/>
      <c r="D145" s="130"/>
      <c r="E145" s="130"/>
      <c r="F145" s="130"/>
      <c r="G145" s="130"/>
      <c r="H145" s="131"/>
      <c r="I145" s="131"/>
      <c r="J145" s="131"/>
      <c r="P145"/>
      <c r="Q145" s="9"/>
      <c r="AA145" s="6"/>
      <c r="AB145" s="6"/>
      <c r="AC145" s="6"/>
      <c r="AD145" s="6"/>
      <c r="AE145" s="6"/>
      <c r="AF145" s="6"/>
      <c r="AG145" s="8"/>
      <c r="AH145" s="9"/>
      <c r="AI145" s="9"/>
      <c r="AJ145" s="9"/>
      <c r="AK145" s="9"/>
      <c r="AL145" s="9"/>
      <c r="AM145" s="9"/>
      <c r="AN145" s="10"/>
      <c r="AO145" s="6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6"/>
      <c r="BC145" s="9"/>
      <c r="BD145" s="9"/>
      <c r="BE145" s="9"/>
      <c r="BF145" s="9"/>
      <c r="BG145" s="9"/>
      <c r="BH145" s="9"/>
      <c r="BI145" s="6"/>
      <c r="BJ145" s="12"/>
      <c r="BK145" s="12"/>
      <c r="BL145" s="12"/>
      <c r="BM145" s="12"/>
      <c r="BN145" s="12"/>
      <c r="BO145" s="12"/>
      <c r="BP145" s="6"/>
      <c r="BQ145" s="6"/>
      <c r="BR145" s="6"/>
      <c r="BS145" s="6"/>
      <c r="BT145" s="6"/>
      <c r="BU145" s="6"/>
      <c r="BV145" s="6"/>
      <c r="BW145" s="6"/>
      <c r="BX145" s="6"/>
      <c r="BY145" s="6"/>
    </row>
    <row r="146" spans="1:77" x14ac:dyDescent="0.25">
      <c r="B146" s="129"/>
      <c r="C146" s="129"/>
      <c r="D146" s="130"/>
      <c r="E146" s="130"/>
      <c r="F146" s="130"/>
      <c r="G146" s="130"/>
      <c r="H146" s="131"/>
      <c r="I146" s="131"/>
      <c r="J146" s="131"/>
      <c r="Q146" s="9"/>
      <c r="AA146" s="6"/>
      <c r="AB146" s="6"/>
      <c r="AC146" s="6"/>
      <c r="AD146" s="6"/>
      <c r="AE146" s="6"/>
      <c r="AF146" s="6"/>
      <c r="AG146" s="8"/>
      <c r="AH146" s="9"/>
      <c r="AI146" s="9"/>
      <c r="AJ146" s="9"/>
      <c r="AK146" s="9"/>
      <c r="AL146" s="9"/>
      <c r="AM146" s="9"/>
      <c r="AN146" s="10"/>
      <c r="AO146" s="6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6"/>
      <c r="BC146" s="9"/>
      <c r="BD146" s="9"/>
      <c r="BE146" s="9"/>
      <c r="BF146" s="9"/>
      <c r="BG146" s="9"/>
      <c r="BH146" s="9"/>
      <c r="BI146" s="6"/>
      <c r="BJ146" s="12"/>
      <c r="BK146" s="12"/>
      <c r="BL146" s="12"/>
      <c r="BM146" s="12"/>
      <c r="BN146" s="12"/>
      <c r="BO146" s="12"/>
      <c r="BP146" s="6"/>
      <c r="BQ146" s="6"/>
      <c r="BR146" s="6"/>
      <c r="BS146" s="6"/>
      <c r="BT146" s="6"/>
      <c r="BU146" s="6"/>
      <c r="BV146" s="6"/>
      <c r="BW146" s="6"/>
      <c r="BX146" s="6"/>
      <c r="BY146" s="6"/>
    </row>
    <row r="147" spans="1:77" x14ac:dyDescent="0.25">
      <c r="B147" s="129"/>
      <c r="C147" s="129"/>
      <c r="D147" s="130"/>
      <c r="E147" s="130"/>
      <c r="F147" s="130"/>
      <c r="G147" s="130"/>
      <c r="H147" s="131"/>
      <c r="I147" s="131"/>
      <c r="J147" s="131"/>
      <c r="Q147" s="6"/>
      <c r="AA147" s="6"/>
      <c r="AB147" s="6"/>
      <c r="AC147" s="6"/>
      <c r="AD147" s="6"/>
      <c r="AE147" s="6"/>
      <c r="AF147" s="6"/>
      <c r="AG147" s="8"/>
      <c r="AH147" s="9"/>
      <c r="AI147" s="9"/>
      <c r="AJ147" s="9"/>
      <c r="AK147" s="9"/>
      <c r="AL147" s="9"/>
      <c r="AM147" s="9"/>
      <c r="AN147" s="10"/>
      <c r="AO147" s="6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6"/>
      <c r="BC147" s="9"/>
      <c r="BD147" s="9"/>
      <c r="BE147" s="9"/>
      <c r="BF147" s="9"/>
      <c r="BG147" s="9"/>
      <c r="BH147" s="9"/>
      <c r="BI147" s="6"/>
      <c r="BJ147" s="12"/>
      <c r="BK147" s="12"/>
      <c r="BL147" s="12"/>
      <c r="BM147" s="12"/>
      <c r="BN147" s="12"/>
      <c r="BO147" s="12"/>
      <c r="BP147" s="6"/>
      <c r="BQ147" s="6"/>
      <c r="BR147" s="6"/>
      <c r="BS147" s="6"/>
      <c r="BT147" s="6"/>
      <c r="BU147" s="6"/>
      <c r="BV147" s="6"/>
      <c r="BW147" s="6"/>
      <c r="BX147" s="6"/>
      <c r="BY147" s="6"/>
    </row>
    <row r="148" spans="1:77" x14ac:dyDescent="0.25">
      <c r="B148" s="129"/>
      <c r="C148" s="129"/>
      <c r="D148" s="130"/>
      <c r="E148" s="130"/>
      <c r="F148" s="130"/>
      <c r="G148" s="130"/>
      <c r="H148" s="131"/>
      <c r="I148" s="131"/>
      <c r="J148" s="131"/>
      <c r="Q148" s="6"/>
      <c r="AA148" s="6"/>
      <c r="AB148" s="6"/>
      <c r="AC148" s="6"/>
      <c r="AD148" s="6"/>
      <c r="AE148" s="6"/>
      <c r="AF148" s="6"/>
      <c r="AG148" s="8"/>
      <c r="AH148" s="9"/>
      <c r="AI148" s="9"/>
      <c r="AJ148" s="9"/>
      <c r="AK148" s="9"/>
      <c r="AL148" s="9"/>
      <c r="AM148" s="9"/>
      <c r="AN148" s="10"/>
      <c r="AO148" s="6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6"/>
      <c r="BC148" s="9"/>
      <c r="BD148" s="9"/>
      <c r="BE148" s="9"/>
      <c r="BF148" s="9"/>
      <c r="BG148" s="9"/>
      <c r="BH148" s="9"/>
      <c r="BI148" s="6"/>
      <c r="BJ148" s="12"/>
      <c r="BK148" s="12"/>
      <c r="BL148" s="12"/>
      <c r="BM148" s="12"/>
      <c r="BN148" s="12"/>
      <c r="BO148" s="12"/>
      <c r="BP148" s="6"/>
      <c r="BQ148" s="6"/>
      <c r="BR148" s="6"/>
      <c r="BS148" s="6"/>
      <c r="BT148" s="6"/>
      <c r="BU148" s="6"/>
      <c r="BV148" s="6"/>
      <c r="BW148" s="6"/>
      <c r="BX148" s="6"/>
      <c r="BY148" s="6"/>
    </row>
    <row r="149" spans="1:77" x14ac:dyDescent="0.25">
      <c r="B149" s="129"/>
      <c r="C149" s="129"/>
      <c r="D149" s="130"/>
      <c r="E149" s="130"/>
      <c r="F149" s="130"/>
      <c r="G149" s="130"/>
      <c r="H149" s="131"/>
      <c r="I149" s="131"/>
      <c r="J149" s="131"/>
      <c r="Q149" s="6"/>
      <c r="AA149" s="6"/>
      <c r="AB149" s="6"/>
      <c r="AC149" s="6"/>
      <c r="AD149" s="6"/>
      <c r="AE149" s="6"/>
      <c r="AF149" s="6"/>
      <c r="AG149" s="8"/>
      <c r="AH149" s="9"/>
      <c r="AI149" s="9"/>
      <c r="AJ149" s="9"/>
      <c r="AK149" s="9"/>
      <c r="AL149" s="9"/>
      <c r="AM149" s="9"/>
      <c r="AN149" s="10"/>
      <c r="AO149" s="6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6"/>
      <c r="BC149" s="9"/>
      <c r="BD149" s="9"/>
      <c r="BE149" s="9"/>
      <c r="BF149" s="9"/>
      <c r="BG149" s="9"/>
      <c r="BH149" s="9"/>
      <c r="BI149" s="6"/>
      <c r="BJ149" s="12"/>
      <c r="BK149" s="12"/>
      <c r="BL149" s="12"/>
      <c r="BM149" s="12"/>
      <c r="BN149" s="12"/>
      <c r="BO149" s="12"/>
      <c r="BP149" s="6"/>
      <c r="BQ149" s="6"/>
      <c r="BR149" s="6"/>
      <c r="BS149" s="6"/>
      <c r="BT149" s="6"/>
      <c r="BU149" s="6"/>
      <c r="BV149" s="6"/>
      <c r="BW149" s="6"/>
      <c r="BX149" s="6"/>
      <c r="BY149" s="6"/>
    </row>
    <row r="150" spans="1:77" x14ac:dyDescent="0.25">
      <c r="B150" s="129"/>
      <c r="C150" s="129"/>
      <c r="D150" s="130"/>
      <c r="E150" s="130"/>
      <c r="F150" s="130"/>
      <c r="G150" s="130"/>
      <c r="H150" s="131"/>
      <c r="I150" s="131"/>
      <c r="J150" s="131"/>
      <c r="Q150" s="6"/>
      <c r="AA150" s="6"/>
      <c r="AB150" s="6"/>
      <c r="AC150" s="6"/>
      <c r="AD150" s="6"/>
      <c r="AE150" s="6"/>
      <c r="AF150" s="6"/>
      <c r="AG150" s="8"/>
      <c r="AH150" s="9"/>
      <c r="AI150" s="9"/>
      <c r="AJ150" s="9"/>
      <c r="AK150" s="9"/>
      <c r="AL150" s="9"/>
      <c r="AM150" s="9"/>
      <c r="AN150" s="10"/>
      <c r="AO150" s="6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6"/>
      <c r="BC150" s="9"/>
      <c r="BD150" s="9"/>
      <c r="BE150" s="9"/>
      <c r="BF150" s="9"/>
      <c r="BG150" s="9"/>
      <c r="BH150" s="9"/>
      <c r="BI150" s="6"/>
      <c r="BJ150" s="12"/>
      <c r="BK150" s="12"/>
      <c r="BL150" s="12"/>
      <c r="BM150" s="12"/>
      <c r="BN150" s="12"/>
      <c r="BO150" s="12"/>
      <c r="BP150" s="6"/>
      <c r="BQ150" s="6"/>
      <c r="BR150" s="6"/>
      <c r="BS150" s="6"/>
      <c r="BT150" s="6"/>
      <c r="BU150" s="6"/>
      <c r="BV150" s="6"/>
      <c r="BW150" s="6"/>
      <c r="BX150" s="6"/>
      <c r="BY150" s="6"/>
    </row>
    <row r="151" spans="1:77" x14ac:dyDescent="0.25">
      <c r="A151" s="4"/>
      <c r="B151" s="129"/>
      <c r="C151" s="129"/>
      <c r="D151" s="130"/>
      <c r="E151" s="130"/>
      <c r="F151" s="130"/>
      <c r="G151" s="130"/>
      <c r="H151" s="131"/>
      <c r="I151" s="132"/>
      <c r="J151" s="133"/>
      <c r="K151" s="133"/>
      <c r="L151" s="14"/>
      <c r="M151" s="14"/>
      <c r="N151" s="14"/>
      <c r="O151" s="14"/>
      <c r="P151" s="6"/>
      <c r="Q151" s="6"/>
      <c r="AA151" s="6"/>
      <c r="AB151" s="6"/>
      <c r="AC151" s="6"/>
      <c r="AD151" s="6"/>
      <c r="AE151" s="6"/>
      <c r="AF151" s="6"/>
      <c r="AG151" s="8"/>
      <c r="AH151" s="9"/>
      <c r="AI151" s="9"/>
      <c r="AJ151" s="9"/>
      <c r="AK151" s="9"/>
      <c r="AL151" s="9"/>
      <c r="AM151" s="9"/>
      <c r="AN151" s="10"/>
      <c r="AO151" s="6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6"/>
      <c r="BC151" s="9"/>
      <c r="BD151" s="9"/>
      <c r="BE151" s="9"/>
      <c r="BF151" s="9"/>
      <c r="BG151" s="9"/>
      <c r="BH151" s="9"/>
      <c r="BI151" s="6"/>
      <c r="BJ151" s="12"/>
      <c r="BK151" s="12"/>
      <c r="BL151" s="12"/>
      <c r="BM151" s="12"/>
      <c r="BN151" s="12"/>
      <c r="BO151" s="12"/>
      <c r="BP151" s="6"/>
      <c r="BQ151" s="6"/>
      <c r="BR151" s="6"/>
      <c r="BS151" s="6"/>
      <c r="BT151" s="6"/>
      <c r="BU151" s="6"/>
      <c r="BV151" s="6"/>
      <c r="BW151" s="6"/>
      <c r="BX151" s="6"/>
      <c r="BY151" s="6"/>
    </row>
    <row r="152" spans="1:77" x14ac:dyDescent="0.25">
      <c r="A152" s="4"/>
      <c r="B152" s="129"/>
      <c r="C152" s="129"/>
      <c r="D152" s="130"/>
      <c r="E152" s="130"/>
      <c r="F152" s="130"/>
      <c r="G152" s="130"/>
      <c r="H152" s="131"/>
      <c r="I152" s="132"/>
      <c r="J152" s="133"/>
      <c r="K152" s="133"/>
      <c r="L152" s="14"/>
      <c r="M152" s="14"/>
      <c r="N152" s="14"/>
      <c r="O152" s="14"/>
      <c r="P152" s="6"/>
      <c r="Q152" s="6"/>
      <c r="AA152" s="6"/>
      <c r="AB152" s="6"/>
      <c r="AC152" s="6"/>
      <c r="AD152" s="6"/>
      <c r="AE152" s="6"/>
      <c r="AF152" s="6"/>
      <c r="AG152" s="8"/>
      <c r="AH152" s="9"/>
      <c r="AI152" s="9"/>
      <c r="AJ152" s="9"/>
      <c r="AK152" s="9"/>
      <c r="AL152" s="9"/>
      <c r="AM152" s="9"/>
      <c r="AN152" s="10"/>
      <c r="AO152" s="6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6"/>
      <c r="BC152" s="9"/>
      <c r="BD152" s="9"/>
      <c r="BE152" s="9"/>
      <c r="BF152" s="9"/>
      <c r="BG152" s="9"/>
      <c r="BH152" s="9"/>
      <c r="BI152" s="6"/>
      <c r="BJ152" s="12"/>
      <c r="BK152" s="12"/>
      <c r="BL152" s="12"/>
      <c r="BM152" s="12"/>
      <c r="BN152" s="12"/>
      <c r="BO152" s="12"/>
      <c r="BP152" s="6"/>
      <c r="BQ152" s="6"/>
      <c r="BR152" s="6"/>
      <c r="BS152" s="6"/>
      <c r="BT152" s="6"/>
      <c r="BU152" s="6"/>
      <c r="BV152" s="6"/>
      <c r="BW152" s="6"/>
      <c r="BX152" s="6"/>
      <c r="BY152" s="6"/>
    </row>
    <row r="153" spans="1:77" x14ac:dyDescent="0.25">
      <c r="A153" s="4"/>
      <c r="B153" s="129"/>
      <c r="C153" s="129"/>
      <c r="D153" s="130"/>
      <c r="E153" s="130"/>
      <c r="F153" s="130"/>
      <c r="G153" s="130"/>
      <c r="H153" s="131"/>
      <c r="I153" s="132"/>
      <c r="J153" s="133"/>
      <c r="K153" s="133"/>
      <c r="L153" s="14"/>
      <c r="M153" s="14"/>
      <c r="N153" s="14"/>
      <c r="O153" s="14"/>
      <c r="P153" s="6"/>
      <c r="Q153" s="6"/>
      <c r="AA153" s="6"/>
      <c r="AB153" s="6"/>
      <c r="AC153" s="6"/>
      <c r="AD153" s="6"/>
      <c r="AE153" s="6"/>
      <c r="AF153" s="6"/>
      <c r="AG153" s="8"/>
      <c r="AH153" s="9"/>
      <c r="AI153" s="9"/>
      <c r="AJ153" s="9"/>
      <c r="AK153" s="9"/>
      <c r="AL153" s="9"/>
      <c r="AM153" s="9"/>
      <c r="AN153" s="10"/>
      <c r="AO153" s="6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6"/>
      <c r="BC153" s="9"/>
      <c r="BD153" s="9"/>
      <c r="BE153" s="9"/>
      <c r="BF153" s="9"/>
      <c r="BG153" s="9"/>
      <c r="BH153" s="9"/>
      <c r="BI153" s="6"/>
      <c r="BJ153" s="12"/>
      <c r="BK153" s="12"/>
      <c r="BL153" s="12"/>
      <c r="BM153" s="12"/>
      <c r="BN153" s="12"/>
      <c r="BO153" s="12"/>
      <c r="BP153" s="6"/>
      <c r="BQ153" s="6"/>
      <c r="BR153" s="6"/>
      <c r="BS153" s="6"/>
      <c r="BT153" s="6"/>
      <c r="BU153" s="6"/>
      <c r="BV153" s="6"/>
      <c r="BW153" s="6"/>
      <c r="BX153" s="6"/>
      <c r="BY153" s="6"/>
    </row>
    <row r="154" spans="1:77" x14ac:dyDescent="0.25">
      <c r="A154" s="4"/>
      <c r="B154" s="129"/>
      <c r="C154" s="129"/>
      <c r="D154" s="130"/>
      <c r="E154" s="130"/>
      <c r="F154" s="130"/>
      <c r="G154" s="130"/>
      <c r="H154" s="131"/>
      <c r="I154" s="132"/>
      <c r="J154" s="133"/>
      <c r="K154" s="133"/>
      <c r="L154" s="14"/>
      <c r="M154" s="14"/>
      <c r="N154" s="14"/>
      <c r="O154" s="14"/>
      <c r="P154" s="6"/>
      <c r="Q154" s="6"/>
      <c r="AA154" s="6"/>
      <c r="AB154" s="6"/>
      <c r="AC154" s="6"/>
      <c r="AD154" s="6"/>
      <c r="AE154" s="6"/>
      <c r="AF154" s="6"/>
      <c r="AG154" s="8"/>
      <c r="AH154" s="9"/>
      <c r="AI154" s="9"/>
      <c r="AJ154" s="9"/>
      <c r="AK154" s="9"/>
      <c r="AL154" s="9"/>
      <c r="AM154" s="9"/>
      <c r="AN154" s="10"/>
      <c r="AO154" s="6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6"/>
      <c r="BC154" s="9"/>
      <c r="BD154" s="9"/>
      <c r="BE154" s="9"/>
      <c r="BF154" s="9"/>
      <c r="BG154" s="9"/>
      <c r="BH154" s="9"/>
      <c r="BI154" s="6"/>
      <c r="BJ154" s="12"/>
      <c r="BK154" s="12"/>
      <c r="BL154" s="12"/>
      <c r="BM154" s="12"/>
      <c r="BN154" s="12"/>
      <c r="BO154" s="12"/>
      <c r="BP154" s="6"/>
      <c r="BQ154" s="6"/>
      <c r="BR154" s="6"/>
      <c r="BS154" s="6"/>
      <c r="BT154" s="6"/>
      <c r="BU154" s="6"/>
      <c r="BV154" s="6"/>
      <c r="BW154" s="6"/>
      <c r="BX154" s="6"/>
      <c r="BY154" s="6"/>
    </row>
    <row r="155" spans="1:77" x14ac:dyDescent="0.25">
      <c r="A155" s="4"/>
      <c r="B155" s="129"/>
      <c r="C155" s="129"/>
      <c r="D155" s="130"/>
      <c r="E155" s="130"/>
      <c r="F155" s="130"/>
      <c r="G155" s="130"/>
      <c r="H155" s="131"/>
      <c r="I155" s="132"/>
      <c r="J155" s="133"/>
      <c r="K155" s="133"/>
      <c r="L155" s="14"/>
      <c r="M155" s="14"/>
      <c r="N155" s="14"/>
      <c r="O155" s="14"/>
      <c r="P155" s="6"/>
      <c r="Q155" s="6"/>
      <c r="AA155" s="6"/>
      <c r="AB155" s="6"/>
      <c r="AC155" s="6"/>
      <c r="AD155" s="6"/>
      <c r="AE155" s="6"/>
      <c r="AF155" s="6"/>
      <c r="AG155" s="8"/>
      <c r="AH155" s="9"/>
      <c r="AI155" s="9"/>
      <c r="AJ155" s="9"/>
      <c r="AK155" s="9"/>
      <c r="AL155" s="9"/>
      <c r="AM155" s="9"/>
      <c r="AN155" s="10"/>
      <c r="AO155" s="6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6"/>
      <c r="BC155" s="9"/>
      <c r="BD155" s="9"/>
      <c r="BE155" s="9"/>
      <c r="BF155" s="9"/>
      <c r="BG155" s="9"/>
      <c r="BH155" s="9"/>
      <c r="BI155" s="6"/>
      <c r="BJ155" s="12"/>
      <c r="BK155" s="12"/>
      <c r="BL155" s="12"/>
      <c r="BM155" s="12"/>
      <c r="BN155" s="12"/>
      <c r="BO155" s="12"/>
      <c r="BP155" s="6"/>
      <c r="BQ155" s="6"/>
      <c r="BR155" s="6"/>
      <c r="BS155" s="6"/>
      <c r="BT155" s="6"/>
      <c r="BU155" s="6"/>
      <c r="BV155" s="6"/>
      <c r="BW155" s="6"/>
      <c r="BX155" s="6"/>
      <c r="BY155" s="6"/>
    </row>
    <row r="156" spans="1:77" x14ac:dyDescent="0.25">
      <c r="A156" s="4"/>
      <c r="B156" s="129"/>
      <c r="C156" s="129"/>
      <c r="D156" s="130"/>
      <c r="E156" s="130"/>
      <c r="F156" s="130"/>
      <c r="G156" s="130"/>
      <c r="H156" s="131"/>
      <c r="I156" s="132"/>
      <c r="J156" s="133"/>
      <c r="K156" s="133"/>
      <c r="L156" s="14"/>
      <c r="M156" s="14"/>
      <c r="N156" s="14"/>
      <c r="O156" s="14"/>
      <c r="P156" s="6"/>
      <c r="Q156" s="6"/>
      <c r="AA156" s="6"/>
      <c r="AB156" s="6"/>
      <c r="AC156" s="6"/>
      <c r="AD156" s="6"/>
      <c r="AE156" s="6"/>
      <c r="AF156" s="6"/>
      <c r="AG156" s="8"/>
      <c r="AH156" s="9"/>
      <c r="AI156" s="9"/>
      <c r="AJ156" s="9"/>
      <c r="AK156" s="9"/>
      <c r="AL156" s="9"/>
      <c r="AM156" s="9"/>
      <c r="AN156" s="10"/>
      <c r="AO156" s="6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6"/>
      <c r="BC156" s="9"/>
      <c r="BD156" s="9"/>
      <c r="BE156" s="9"/>
      <c r="BF156" s="9"/>
      <c r="BG156" s="9"/>
      <c r="BH156" s="9"/>
      <c r="BI156" s="6"/>
      <c r="BJ156" s="12"/>
      <c r="BK156" s="12"/>
      <c r="BL156" s="12"/>
      <c r="BM156" s="12"/>
      <c r="BN156" s="12"/>
      <c r="BO156" s="12"/>
      <c r="BP156" s="6"/>
      <c r="BQ156" s="6"/>
      <c r="BR156" s="6"/>
      <c r="BS156" s="6"/>
      <c r="BT156" s="6"/>
      <c r="BU156" s="6"/>
      <c r="BV156" s="6"/>
      <c r="BW156" s="6"/>
      <c r="BX156" s="6"/>
      <c r="BY156" s="6"/>
    </row>
    <row r="157" spans="1:77" x14ac:dyDescent="0.25">
      <c r="A157" s="4"/>
      <c r="B157" s="129"/>
      <c r="C157" s="129"/>
      <c r="D157" s="130"/>
      <c r="E157" s="130"/>
      <c r="F157" s="130"/>
      <c r="G157" s="130"/>
      <c r="H157" s="131"/>
      <c r="I157" s="132"/>
      <c r="J157" s="134"/>
      <c r="K157" s="134"/>
      <c r="L157" s="7"/>
      <c r="M157" s="6"/>
      <c r="N157" s="6"/>
      <c r="O157" s="6"/>
      <c r="P157" s="6"/>
      <c r="Q157" s="6"/>
      <c r="AA157" s="6"/>
      <c r="AB157" s="6"/>
      <c r="AC157" s="6"/>
      <c r="AD157" s="6"/>
      <c r="AE157" s="6"/>
      <c r="AF157" s="6"/>
      <c r="AG157" s="8"/>
      <c r="AH157" s="9"/>
      <c r="AI157" s="9"/>
      <c r="AJ157" s="9"/>
      <c r="AK157" s="9"/>
      <c r="AL157" s="9"/>
      <c r="AM157" s="9"/>
      <c r="AN157" s="10"/>
      <c r="AO157" s="6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6"/>
      <c r="BC157" s="9"/>
      <c r="BD157" s="9"/>
      <c r="BE157" s="9"/>
      <c r="BF157" s="9"/>
      <c r="BG157" s="9"/>
      <c r="BH157" s="9"/>
      <c r="BI157" s="6"/>
      <c r="BJ157" s="12"/>
      <c r="BK157" s="12"/>
      <c r="BL157" s="12"/>
      <c r="BM157" s="12"/>
      <c r="BN157" s="12"/>
      <c r="BO157" s="12"/>
      <c r="BP157" s="6"/>
      <c r="BQ157" s="6"/>
      <c r="BR157" s="6"/>
      <c r="BS157" s="6"/>
      <c r="BT157" s="6"/>
      <c r="BU157" s="6"/>
      <c r="BV157" s="6"/>
      <c r="BW157" s="6"/>
      <c r="BX157" s="6"/>
      <c r="BY157" s="6"/>
    </row>
    <row r="158" spans="1:77" x14ac:dyDescent="0.25">
      <c r="A158" s="4"/>
      <c r="B158" s="129"/>
      <c r="C158" s="129"/>
      <c r="D158" s="130"/>
      <c r="E158" s="130"/>
      <c r="F158" s="130"/>
      <c r="G158" s="130"/>
      <c r="H158" s="131"/>
      <c r="I158" s="132"/>
      <c r="J158" s="133"/>
      <c r="K158" s="133"/>
      <c r="L158" s="14"/>
      <c r="M158" s="14"/>
      <c r="N158" s="14"/>
      <c r="O158" s="14"/>
      <c r="P158" s="6"/>
      <c r="Q158" s="6"/>
      <c r="AA158" s="6"/>
      <c r="AB158" s="6"/>
      <c r="AC158" s="6"/>
      <c r="AD158" s="6"/>
      <c r="AE158" s="6"/>
      <c r="AF158" s="6"/>
      <c r="AG158" s="8"/>
      <c r="AH158" s="9"/>
      <c r="AI158" s="9"/>
      <c r="AJ158" s="9"/>
      <c r="AK158" s="9"/>
      <c r="AL158" s="9"/>
      <c r="AM158" s="9"/>
      <c r="AN158" s="10"/>
      <c r="AO158" s="6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6"/>
      <c r="BC158" s="9"/>
      <c r="BD158" s="9"/>
      <c r="BE158" s="9"/>
      <c r="BF158" s="9"/>
      <c r="BG158" s="9"/>
      <c r="BH158" s="9"/>
      <c r="BI158" s="6"/>
      <c r="BJ158" s="12"/>
      <c r="BK158" s="12"/>
      <c r="BL158" s="12"/>
      <c r="BM158" s="12"/>
      <c r="BN158" s="12"/>
      <c r="BO158" s="12"/>
      <c r="BP158" s="6"/>
      <c r="BQ158" s="6"/>
      <c r="BR158" s="6"/>
      <c r="BS158" s="6"/>
      <c r="BT158" s="6"/>
      <c r="BU158" s="6"/>
      <c r="BV158" s="6"/>
      <c r="BW158" s="6"/>
      <c r="BX158" s="6"/>
      <c r="BY158" s="6"/>
    </row>
    <row r="159" spans="1:77" x14ac:dyDescent="0.25">
      <c r="A159" s="4"/>
      <c r="B159" s="129"/>
      <c r="C159" s="129"/>
      <c r="D159" s="130"/>
      <c r="E159" s="130"/>
      <c r="F159" s="130"/>
      <c r="G159" s="130"/>
      <c r="H159" s="131"/>
      <c r="I159" s="132"/>
      <c r="J159" s="133"/>
      <c r="K159" s="133"/>
      <c r="L159" s="14"/>
      <c r="M159" s="14"/>
      <c r="N159" s="14"/>
      <c r="O159" s="14"/>
      <c r="P159" s="6"/>
      <c r="Q159" s="6"/>
      <c r="AA159" s="6"/>
      <c r="AB159" s="6"/>
      <c r="AC159" s="6"/>
      <c r="AD159" s="6"/>
      <c r="AE159" s="6"/>
      <c r="AF159" s="6"/>
      <c r="AG159" s="8"/>
      <c r="AH159" s="9"/>
      <c r="AI159" s="9"/>
      <c r="AJ159" s="9"/>
      <c r="AK159" s="9"/>
      <c r="AL159" s="9"/>
      <c r="AM159" s="9"/>
      <c r="AN159" s="10"/>
      <c r="AO159" s="6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6"/>
      <c r="BC159" s="9"/>
      <c r="BD159" s="9"/>
      <c r="BE159" s="9"/>
      <c r="BF159" s="9"/>
      <c r="BG159" s="9"/>
      <c r="BH159" s="9"/>
      <c r="BI159" s="6"/>
      <c r="BJ159" s="12"/>
      <c r="BK159" s="12"/>
      <c r="BL159" s="12"/>
      <c r="BM159" s="12"/>
      <c r="BN159" s="12"/>
      <c r="BO159" s="12"/>
      <c r="BP159" s="6"/>
      <c r="BQ159" s="6"/>
      <c r="BR159" s="6"/>
      <c r="BS159" s="6"/>
      <c r="BT159" s="6"/>
      <c r="BU159" s="6"/>
      <c r="BV159" s="6"/>
      <c r="BW159" s="6"/>
      <c r="BX159" s="6"/>
      <c r="BY159" s="6"/>
    </row>
    <row r="160" spans="1:77" x14ac:dyDescent="0.25">
      <c r="A160" s="4"/>
      <c r="B160" s="129"/>
      <c r="C160" s="129"/>
      <c r="D160" s="130"/>
      <c r="E160" s="130"/>
      <c r="F160" s="130"/>
      <c r="G160" s="130"/>
      <c r="H160" s="131"/>
      <c r="I160" s="132"/>
      <c r="J160" s="133"/>
      <c r="K160" s="133"/>
      <c r="L160" s="14"/>
      <c r="M160" s="14"/>
      <c r="N160" s="14"/>
      <c r="O160" s="14"/>
      <c r="P160" s="6"/>
      <c r="Q160" s="6"/>
      <c r="AA160" s="6"/>
      <c r="AB160" s="6"/>
      <c r="AC160" s="6"/>
      <c r="AD160" s="6"/>
      <c r="AE160" s="6"/>
      <c r="AF160" s="6"/>
      <c r="AG160" s="8"/>
      <c r="AH160" s="9"/>
      <c r="AI160" s="9"/>
      <c r="AJ160" s="9"/>
      <c r="AK160" s="9"/>
      <c r="AL160" s="9"/>
      <c r="AM160" s="9"/>
      <c r="AN160" s="10"/>
      <c r="AO160" s="6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6"/>
      <c r="BC160" s="9"/>
      <c r="BD160" s="9"/>
      <c r="BE160" s="9"/>
      <c r="BF160" s="9"/>
      <c r="BG160" s="9"/>
      <c r="BH160" s="9"/>
      <c r="BI160" s="6"/>
      <c r="BJ160" s="12"/>
      <c r="BK160" s="12"/>
      <c r="BL160" s="12"/>
      <c r="BM160" s="12"/>
      <c r="BN160" s="12"/>
      <c r="BO160" s="12"/>
      <c r="BP160" s="6"/>
      <c r="BQ160" s="6"/>
      <c r="BR160" s="6"/>
      <c r="BS160" s="6"/>
      <c r="BT160" s="6"/>
      <c r="BU160" s="6"/>
      <c r="BV160" s="6"/>
      <c r="BW160" s="6"/>
      <c r="BX160" s="6"/>
      <c r="BY160" s="6"/>
    </row>
    <row r="161" spans="1:77" x14ac:dyDescent="0.25">
      <c r="A161" s="4"/>
      <c r="B161" s="129"/>
      <c r="C161" s="129"/>
      <c r="D161" s="130"/>
      <c r="E161" s="130"/>
      <c r="F161" s="130"/>
      <c r="G161" s="130"/>
      <c r="H161" s="131"/>
      <c r="I161" s="132"/>
      <c r="J161" s="133"/>
      <c r="K161" s="133"/>
      <c r="L161" s="14"/>
      <c r="M161" s="14"/>
      <c r="N161" s="14"/>
      <c r="O161" s="14"/>
      <c r="P161" s="6"/>
      <c r="Q161" s="6"/>
      <c r="AA161" s="6"/>
      <c r="AB161" s="6"/>
      <c r="AC161" s="6"/>
      <c r="AD161" s="6"/>
      <c r="AE161" s="6"/>
      <c r="AF161" s="6"/>
      <c r="AG161" s="8"/>
      <c r="AH161" s="9"/>
      <c r="AI161" s="9"/>
      <c r="AJ161" s="9"/>
      <c r="AK161" s="9"/>
      <c r="AL161" s="9"/>
      <c r="AM161" s="9"/>
      <c r="AN161" s="10"/>
      <c r="AO161" s="6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6"/>
      <c r="BC161" s="9"/>
      <c r="BD161" s="9"/>
      <c r="BE161" s="9"/>
      <c r="BF161" s="9"/>
      <c r="BG161" s="9"/>
      <c r="BH161" s="9"/>
      <c r="BI161" s="6"/>
      <c r="BJ161" s="12"/>
      <c r="BK161" s="12"/>
      <c r="BL161" s="12"/>
      <c r="BM161" s="12"/>
      <c r="BN161" s="12"/>
      <c r="BO161" s="12"/>
      <c r="BP161" s="6"/>
      <c r="BQ161" s="6"/>
      <c r="BR161" s="6"/>
      <c r="BS161" s="6"/>
      <c r="BT161" s="6"/>
      <c r="BU161" s="6"/>
      <c r="BV161" s="6"/>
      <c r="BW161" s="6"/>
      <c r="BX161" s="6"/>
      <c r="BY161" s="6"/>
    </row>
    <row r="162" spans="1:77" x14ac:dyDescent="0.25">
      <c r="A162" s="4"/>
      <c r="B162" s="129"/>
      <c r="C162" s="129"/>
      <c r="D162" s="130"/>
      <c r="E162" s="130"/>
      <c r="F162" s="130"/>
      <c r="G162" s="130"/>
      <c r="H162" s="131"/>
      <c r="I162" s="132"/>
      <c r="J162" s="133"/>
      <c r="K162" s="133"/>
      <c r="L162" s="14"/>
      <c r="M162" s="14"/>
      <c r="N162" s="14"/>
      <c r="O162" s="14"/>
      <c r="P162" s="6"/>
      <c r="Q162" s="6"/>
      <c r="AA162" s="6"/>
      <c r="AB162" s="6"/>
      <c r="AC162" s="6"/>
      <c r="AD162" s="6"/>
      <c r="AE162" s="6"/>
      <c r="AF162" s="6"/>
      <c r="AG162" s="8"/>
      <c r="AH162" s="9"/>
      <c r="AI162" s="9"/>
      <c r="AJ162" s="9"/>
      <c r="AK162" s="9"/>
      <c r="AL162" s="9"/>
      <c r="AM162" s="9"/>
      <c r="AN162" s="10"/>
      <c r="AO162" s="6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6"/>
      <c r="BC162" s="9"/>
      <c r="BD162" s="9"/>
      <c r="BE162" s="9"/>
      <c r="BF162" s="9"/>
      <c r="BG162" s="9"/>
      <c r="BH162" s="9"/>
      <c r="BI162" s="6"/>
      <c r="BJ162" s="12"/>
      <c r="BK162" s="12"/>
      <c r="BL162" s="12"/>
      <c r="BM162" s="12"/>
      <c r="BN162" s="12"/>
      <c r="BO162" s="12"/>
      <c r="BP162" s="6"/>
      <c r="BQ162" s="6"/>
      <c r="BR162" s="6"/>
      <c r="BS162" s="6"/>
      <c r="BT162" s="6"/>
      <c r="BU162" s="6"/>
      <c r="BV162" s="6"/>
      <c r="BW162" s="6"/>
      <c r="BX162" s="6"/>
      <c r="BY162" s="6"/>
    </row>
    <row r="163" spans="1:77" x14ac:dyDescent="0.25">
      <c r="A163" s="4"/>
      <c r="B163" s="129"/>
      <c r="C163" s="129"/>
      <c r="D163" s="130"/>
      <c r="E163" s="130"/>
      <c r="F163" s="130"/>
      <c r="G163" s="130"/>
      <c r="H163" s="131"/>
      <c r="I163" s="132"/>
      <c r="J163" s="133"/>
      <c r="K163" s="133"/>
      <c r="L163" s="14"/>
      <c r="M163" s="14"/>
      <c r="N163" s="14"/>
      <c r="O163" s="14"/>
      <c r="P163" s="6"/>
      <c r="Q163" s="6"/>
      <c r="AA163" s="6"/>
      <c r="AB163" s="6"/>
      <c r="AC163" s="6"/>
      <c r="AD163" s="6"/>
      <c r="AE163" s="6"/>
      <c r="AF163" s="6"/>
      <c r="AG163" s="8"/>
      <c r="AH163" s="9"/>
      <c r="AI163" s="9"/>
      <c r="AJ163" s="9"/>
      <c r="AK163" s="9"/>
      <c r="AL163" s="9"/>
      <c r="AM163" s="9"/>
      <c r="AN163" s="10"/>
      <c r="AO163" s="6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6"/>
      <c r="BC163" s="9"/>
      <c r="BD163" s="9"/>
      <c r="BE163" s="9"/>
      <c r="BF163" s="9"/>
      <c r="BG163" s="9"/>
      <c r="BH163" s="9"/>
      <c r="BI163" s="6"/>
      <c r="BJ163" s="12"/>
      <c r="BK163" s="12"/>
      <c r="BL163" s="12"/>
      <c r="BM163" s="12"/>
      <c r="BN163" s="12"/>
      <c r="BO163" s="12"/>
      <c r="BP163" s="6"/>
      <c r="BQ163" s="6"/>
      <c r="BR163" s="6"/>
      <c r="BS163" s="6"/>
      <c r="BT163" s="6"/>
      <c r="BU163" s="6"/>
      <c r="BV163" s="6"/>
      <c r="BW163" s="6"/>
      <c r="BX163" s="6"/>
      <c r="BY163" s="6"/>
    </row>
    <row r="164" spans="1:77" x14ac:dyDescent="0.25">
      <c r="A164" s="4"/>
      <c r="B164" s="129"/>
      <c r="C164" s="129"/>
      <c r="D164" s="130"/>
      <c r="E164" s="130"/>
      <c r="F164" s="130"/>
      <c r="G164" s="130"/>
      <c r="H164" s="131"/>
      <c r="I164" s="132"/>
      <c r="J164" s="134"/>
      <c r="K164" s="134"/>
      <c r="L164" s="7"/>
      <c r="M164" s="6"/>
      <c r="N164" s="6"/>
      <c r="O164" s="6"/>
      <c r="P164" s="6"/>
      <c r="Q164" s="6"/>
      <c r="AA164" s="6"/>
      <c r="AB164" s="6"/>
      <c r="AC164" s="6"/>
      <c r="AD164" s="6"/>
      <c r="AE164" s="6"/>
      <c r="AF164" s="6"/>
      <c r="AG164" s="8"/>
      <c r="AH164" s="9"/>
      <c r="AI164" s="9"/>
      <c r="AJ164" s="9"/>
      <c r="AK164" s="9"/>
      <c r="AL164" s="9"/>
      <c r="AM164" s="9"/>
      <c r="AN164" s="10"/>
      <c r="AO164" s="6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6"/>
      <c r="BC164" s="9"/>
      <c r="BD164" s="9"/>
      <c r="BE164" s="9"/>
      <c r="BF164" s="9"/>
      <c r="BG164" s="9"/>
      <c r="BH164" s="9"/>
      <c r="BI164" s="6"/>
      <c r="BJ164" s="12"/>
      <c r="BK164" s="12"/>
      <c r="BL164" s="12"/>
      <c r="BM164" s="12"/>
      <c r="BN164" s="12"/>
      <c r="BO164" s="12"/>
      <c r="BP164" s="6"/>
      <c r="BQ164" s="6"/>
      <c r="BR164" s="6"/>
      <c r="BS164" s="6"/>
      <c r="BT164" s="6"/>
      <c r="BU164" s="6"/>
      <c r="BV164" s="6"/>
      <c r="BW164" s="6"/>
      <c r="BX164" s="6"/>
      <c r="BY164" s="6"/>
    </row>
    <row r="165" spans="1:77" x14ac:dyDescent="0.25">
      <c r="A165" s="4"/>
      <c r="B165" s="129"/>
      <c r="C165" s="129"/>
      <c r="D165" s="130"/>
      <c r="E165" s="130"/>
      <c r="F165" s="130"/>
      <c r="G165" s="130"/>
      <c r="H165" s="131"/>
      <c r="I165" s="132"/>
      <c r="J165" s="133"/>
      <c r="K165" s="133"/>
      <c r="L165" s="14"/>
      <c r="M165" s="14"/>
      <c r="N165" s="14"/>
      <c r="O165" s="14"/>
      <c r="P165" s="6"/>
      <c r="Q165" s="6"/>
      <c r="AA165" s="6"/>
      <c r="AB165" s="6"/>
      <c r="AC165" s="6"/>
      <c r="AD165" s="6"/>
      <c r="AE165" s="6"/>
      <c r="AF165" s="6"/>
      <c r="AG165" s="8"/>
      <c r="AH165" s="9"/>
      <c r="AI165" s="9"/>
      <c r="AJ165" s="9"/>
      <c r="AK165" s="9"/>
      <c r="AL165" s="9"/>
      <c r="AM165" s="9"/>
      <c r="AN165" s="10"/>
      <c r="AO165" s="6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6"/>
      <c r="BC165" s="9"/>
      <c r="BD165" s="9"/>
      <c r="BE165" s="9"/>
      <c r="BF165" s="9"/>
      <c r="BG165" s="9"/>
      <c r="BH165" s="9"/>
      <c r="BI165" s="6"/>
      <c r="BJ165" s="12"/>
      <c r="BK165" s="12"/>
      <c r="BL165" s="12"/>
      <c r="BM165" s="12"/>
      <c r="BN165" s="12"/>
      <c r="BO165" s="12"/>
      <c r="BP165" s="6"/>
      <c r="BQ165" s="6"/>
      <c r="BR165" s="6"/>
      <c r="BS165" s="6"/>
      <c r="BT165" s="6"/>
      <c r="BU165" s="6"/>
      <c r="BV165" s="6"/>
      <c r="BW165" s="6"/>
      <c r="BX165" s="6"/>
      <c r="BY165" s="6"/>
    </row>
    <row r="166" spans="1:77" x14ac:dyDescent="0.25">
      <c r="A166" s="4"/>
      <c r="B166" s="129"/>
      <c r="C166" s="129"/>
      <c r="D166" s="130"/>
      <c r="E166" s="130"/>
      <c r="F166" s="130"/>
      <c r="G166" s="130"/>
      <c r="H166" s="131"/>
      <c r="I166" s="132"/>
      <c r="J166" s="133"/>
      <c r="K166" s="133"/>
      <c r="L166" s="14"/>
      <c r="M166" s="14"/>
      <c r="N166" s="14"/>
      <c r="O166" s="14"/>
      <c r="P166" s="6"/>
      <c r="Q166" s="6"/>
      <c r="AA166" s="6"/>
      <c r="AB166" s="6"/>
      <c r="AC166" s="6"/>
      <c r="AD166" s="6"/>
      <c r="AE166" s="6"/>
      <c r="AF166" s="6"/>
      <c r="AG166" s="6"/>
      <c r="AH166" s="9"/>
      <c r="AI166" s="9"/>
      <c r="AJ166" s="9"/>
      <c r="AK166" s="9"/>
      <c r="AL166" s="9"/>
      <c r="AM166" s="9"/>
      <c r="AN166" s="6"/>
      <c r="AO166" s="6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6"/>
      <c r="BC166" s="9"/>
      <c r="BD166" s="9"/>
      <c r="BE166" s="9"/>
      <c r="BF166" s="9"/>
      <c r="BG166" s="9"/>
      <c r="BH166" s="9"/>
      <c r="BI166" s="6"/>
      <c r="BJ166" s="12"/>
      <c r="BK166" s="12"/>
      <c r="BL166" s="12"/>
      <c r="BM166" s="12"/>
      <c r="BN166" s="12"/>
      <c r="BO166" s="12"/>
      <c r="BP166" s="6"/>
      <c r="BQ166" s="6"/>
      <c r="BR166" s="6"/>
      <c r="BS166" s="6"/>
      <c r="BT166" s="6"/>
      <c r="BU166" s="6"/>
      <c r="BV166" s="6"/>
      <c r="BW166" s="6"/>
      <c r="BX166" s="6"/>
      <c r="BY166" s="6"/>
    </row>
    <row r="167" spans="1:77" x14ac:dyDescent="0.25">
      <c r="A167" s="4"/>
      <c r="B167" s="129"/>
      <c r="C167" s="129"/>
      <c r="D167" s="130"/>
      <c r="E167" s="130"/>
      <c r="F167" s="130"/>
      <c r="G167" s="130"/>
      <c r="H167" s="131"/>
      <c r="I167" s="132"/>
      <c r="J167" s="133"/>
      <c r="K167" s="133"/>
      <c r="L167" s="14"/>
      <c r="M167" s="14"/>
      <c r="N167" s="14"/>
      <c r="O167" s="14"/>
      <c r="P167" s="6"/>
      <c r="Q167" s="6"/>
      <c r="AA167" s="6"/>
      <c r="AB167" s="6"/>
      <c r="AC167" s="6"/>
      <c r="AD167" s="6"/>
      <c r="AE167" s="6"/>
      <c r="AF167" s="6"/>
      <c r="AG167" s="6"/>
      <c r="AH167" s="9"/>
      <c r="AI167" s="9"/>
      <c r="AJ167" s="9"/>
      <c r="AK167" s="9"/>
      <c r="AL167" s="9"/>
      <c r="AM167" s="9"/>
      <c r="AN167" s="6"/>
      <c r="AO167" s="6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6"/>
      <c r="BC167" s="9"/>
      <c r="BD167" s="9"/>
      <c r="BE167" s="9"/>
      <c r="BF167" s="9"/>
      <c r="BG167" s="9"/>
      <c r="BH167" s="9"/>
      <c r="BI167" s="6"/>
      <c r="BJ167" s="12"/>
      <c r="BK167" s="12"/>
      <c r="BL167" s="12"/>
      <c r="BM167" s="12"/>
      <c r="BN167" s="12"/>
      <c r="BO167" s="12"/>
      <c r="BP167" s="6"/>
      <c r="BQ167" s="6"/>
      <c r="BR167" s="6"/>
      <c r="BS167" s="6"/>
      <c r="BT167" s="6"/>
      <c r="BU167" s="6"/>
      <c r="BV167" s="6"/>
      <c r="BW167" s="6"/>
      <c r="BX167" s="6"/>
      <c r="BY167" s="6"/>
    </row>
    <row r="168" spans="1:77" x14ac:dyDescent="0.25">
      <c r="A168" s="4"/>
      <c r="B168" s="129"/>
      <c r="C168" s="129"/>
      <c r="D168" s="130"/>
      <c r="E168" s="130"/>
      <c r="F168" s="130"/>
      <c r="G168" s="130"/>
      <c r="H168" s="131"/>
      <c r="I168" s="132"/>
      <c r="J168" s="133"/>
      <c r="K168" s="133"/>
      <c r="L168" s="14"/>
      <c r="M168" s="14"/>
      <c r="N168" s="14"/>
      <c r="O168" s="14"/>
      <c r="P168" s="6"/>
      <c r="Q168" s="6"/>
      <c r="AA168" s="6"/>
      <c r="AB168" s="6"/>
      <c r="AC168" s="6"/>
      <c r="AD168" s="6"/>
      <c r="AE168" s="6"/>
      <c r="AF168" s="6"/>
      <c r="AG168" s="6"/>
      <c r="AH168" s="9"/>
      <c r="AI168" s="9"/>
      <c r="AJ168" s="9"/>
      <c r="AK168" s="9"/>
      <c r="AL168" s="9"/>
      <c r="AM168" s="9"/>
      <c r="AN168" s="6"/>
      <c r="AO168" s="6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6"/>
      <c r="BC168" s="9"/>
      <c r="BD168" s="9"/>
      <c r="BE168" s="9"/>
      <c r="BF168" s="9"/>
      <c r="BG168" s="9"/>
      <c r="BH168" s="9"/>
      <c r="BI168" s="6"/>
      <c r="BJ168" s="12"/>
      <c r="BK168" s="12"/>
      <c r="BL168" s="12"/>
      <c r="BM168" s="12"/>
      <c r="BN168" s="12"/>
      <c r="BO168" s="12"/>
      <c r="BP168" s="6"/>
      <c r="BQ168" s="6"/>
      <c r="BR168" s="6"/>
      <c r="BS168" s="6"/>
      <c r="BT168" s="6"/>
      <c r="BU168" s="6"/>
      <c r="BV168" s="6"/>
      <c r="BW168" s="6"/>
      <c r="BX168" s="6"/>
      <c r="BY168" s="6"/>
    </row>
    <row r="169" spans="1:77" x14ac:dyDescent="0.25">
      <c r="A169" s="4"/>
      <c r="B169" s="129"/>
      <c r="C169" s="129"/>
      <c r="D169" s="130"/>
      <c r="E169" s="130"/>
      <c r="F169" s="130"/>
      <c r="G169" s="130"/>
      <c r="H169" s="131"/>
      <c r="I169" s="132"/>
      <c r="J169" s="133"/>
      <c r="K169" s="133"/>
      <c r="L169" s="14"/>
      <c r="M169" s="14"/>
      <c r="N169" s="14"/>
      <c r="O169" s="14"/>
      <c r="P169" s="6"/>
      <c r="Q169" s="6"/>
      <c r="AA169" s="6"/>
      <c r="AB169" s="6"/>
      <c r="AC169" s="6"/>
      <c r="AD169" s="6"/>
      <c r="AE169" s="6"/>
      <c r="AF169" s="6"/>
      <c r="AG169" s="6"/>
      <c r="AH169" s="9"/>
      <c r="AI169" s="9"/>
      <c r="AJ169" s="9"/>
      <c r="AK169" s="9"/>
      <c r="AL169" s="9"/>
      <c r="AM169" s="9"/>
      <c r="AN169" s="6"/>
      <c r="AO169" s="6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6"/>
      <c r="BC169" s="9"/>
      <c r="BD169" s="9"/>
      <c r="BE169" s="9"/>
      <c r="BF169" s="9"/>
      <c r="BG169" s="9"/>
      <c r="BH169" s="9"/>
      <c r="BI169" s="6"/>
      <c r="BJ169" s="12"/>
      <c r="BK169" s="12"/>
      <c r="BL169" s="12"/>
      <c r="BM169" s="12"/>
      <c r="BN169" s="12"/>
      <c r="BO169" s="12"/>
      <c r="BP169" s="6"/>
      <c r="BQ169" s="6"/>
      <c r="BR169" s="6"/>
      <c r="BS169" s="6"/>
      <c r="BT169" s="6"/>
      <c r="BU169" s="6"/>
      <c r="BV169" s="6"/>
      <c r="BW169" s="6"/>
      <c r="BX169" s="6"/>
      <c r="BY169" s="6"/>
    </row>
    <row r="170" spans="1:77" x14ac:dyDescent="0.25">
      <c r="A170" s="4"/>
      <c r="B170" s="129"/>
      <c r="C170" s="129"/>
      <c r="D170" s="130"/>
      <c r="E170" s="130"/>
      <c r="F170" s="130"/>
      <c r="G170" s="130"/>
      <c r="H170" s="131"/>
      <c r="I170" s="132"/>
      <c r="J170" s="133"/>
      <c r="K170" s="133"/>
      <c r="L170" s="14"/>
      <c r="M170" s="14"/>
      <c r="N170" s="14"/>
      <c r="O170" s="14"/>
      <c r="P170" s="6"/>
      <c r="Q170" s="6"/>
      <c r="AA170" s="6"/>
      <c r="AB170" s="6"/>
      <c r="AC170" s="6"/>
      <c r="AD170" s="6"/>
      <c r="AE170" s="6"/>
      <c r="AF170" s="6"/>
      <c r="AG170" s="6"/>
      <c r="AH170" s="9"/>
      <c r="AI170" s="9"/>
      <c r="AJ170" s="9"/>
      <c r="AK170" s="9"/>
      <c r="AL170" s="9"/>
      <c r="AM170" s="9"/>
      <c r="AN170" s="6"/>
      <c r="AO170" s="6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6"/>
      <c r="BC170" s="9"/>
      <c r="BD170" s="9"/>
      <c r="BE170" s="9"/>
      <c r="BF170" s="9"/>
      <c r="BG170" s="9"/>
      <c r="BH170" s="9"/>
      <c r="BI170" s="6"/>
      <c r="BJ170" s="12"/>
      <c r="BK170" s="12"/>
      <c r="BL170" s="12"/>
      <c r="BM170" s="12"/>
      <c r="BN170" s="12"/>
      <c r="BO170" s="12"/>
      <c r="BP170" s="6"/>
      <c r="BQ170" s="6"/>
      <c r="BR170" s="6"/>
      <c r="BS170" s="6"/>
      <c r="BT170" s="6"/>
      <c r="BU170" s="6"/>
      <c r="BV170" s="6"/>
      <c r="BW170" s="6"/>
      <c r="BX170" s="6"/>
      <c r="BY170" s="6"/>
    </row>
    <row r="171" spans="1:77" x14ac:dyDescent="0.25">
      <c r="A171" s="4"/>
      <c r="B171" s="129"/>
      <c r="C171" s="129"/>
      <c r="D171" s="130"/>
      <c r="E171" s="130"/>
      <c r="F171" s="130"/>
      <c r="G171" s="130"/>
      <c r="H171" s="131"/>
      <c r="I171" s="134"/>
      <c r="J171" s="134"/>
      <c r="K171" s="134"/>
      <c r="L171" s="7"/>
      <c r="M171" s="6"/>
      <c r="N171" s="6"/>
      <c r="O171" s="6"/>
      <c r="P171" s="6"/>
      <c r="Q171" s="6"/>
      <c r="AA171" s="6"/>
      <c r="AB171" s="6"/>
      <c r="AC171" s="6"/>
      <c r="AD171" s="6"/>
      <c r="AE171" s="6"/>
      <c r="AF171" s="6"/>
      <c r="AG171" s="6"/>
      <c r="AH171" s="9"/>
      <c r="AI171" s="9"/>
      <c r="AJ171" s="9"/>
      <c r="AK171" s="9"/>
      <c r="AL171" s="9"/>
      <c r="AM171" s="9"/>
      <c r="AN171" s="6"/>
      <c r="AO171" s="6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6"/>
      <c r="BC171" s="9"/>
      <c r="BD171" s="9"/>
      <c r="BE171" s="9"/>
      <c r="BF171" s="9"/>
      <c r="BG171" s="9"/>
      <c r="BH171" s="9"/>
      <c r="BI171" s="6"/>
      <c r="BJ171" s="12"/>
      <c r="BK171" s="12"/>
      <c r="BL171" s="12"/>
      <c r="BM171" s="12"/>
      <c r="BN171" s="12"/>
      <c r="BO171" s="12"/>
      <c r="BP171" s="6"/>
      <c r="BQ171" s="6"/>
      <c r="BR171" s="6"/>
      <c r="BS171" s="6"/>
      <c r="BT171" s="6"/>
      <c r="BU171" s="6"/>
      <c r="BV171" s="6"/>
      <c r="BW171" s="6"/>
      <c r="BX171" s="6"/>
      <c r="BY171" s="6"/>
    </row>
    <row r="172" spans="1:77" x14ac:dyDescent="0.25">
      <c r="A172" s="4"/>
      <c r="B172" s="129"/>
      <c r="C172" s="129"/>
      <c r="D172" s="130"/>
      <c r="E172" s="130"/>
      <c r="F172" s="130"/>
      <c r="G172" s="130"/>
      <c r="H172" s="131"/>
      <c r="I172" s="135"/>
      <c r="J172" s="135"/>
      <c r="K172" s="133"/>
      <c r="L172" s="14"/>
      <c r="M172" s="15"/>
      <c r="N172" s="15"/>
      <c r="O172" s="15"/>
      <c r="P172" s="15"/>
      <c r="Q172" s="6"/>
      <c r="AA172" s="6"/>
      <c r="AB172" s="6"/>
      <c r="AC172" s="6"/>
      <c r="AD172" s="6"/>
      <c r="AE172" s="6"/>
      <c r="AF172" s="6"/>
      <c r="AG172" s="6"/>
      <c r="AH172" s="9"/>
      <c r="AI172" s="9"/>
      <c r="AJ172" s="9"/>
      <c r="AK172" s="9"/>
      <c r="AL172" s="9"/>
      <c r="AM172" s="9"/>
      <c r="AN172" s="6"/>
      <c r="AO172" s="6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6"/>
      <c r="BC172" s="9"/>
      <c r="BD172" s="9"/>
      <c r="BE172" s="9"/>
      <c r="BF172" s="9"/>
      <c r="BG172" s="9"/>
      <c r="BH172" s="9"/>
      <c r="BI172" s="6"/>
      <c r="BJ172" s="12"/>
      <c r="BK172" s="12"/>
      <c r="BL172" s="12"/>
      <c r="BM172" s="12"/>
      <c r="BN172" s="12"/>
      <c r="BO172" s="12"/>
      <c r="BP172" s="6"/>
      <c r="BQ172" s="6"/>
      <c r="BR172" s="6"/>
      <c r="BS172" s="6"/>
      <c r="BT172" s="6"/>
      <c r="BU172" s="6"/>
      <c r="BV172" s="6"/>
      <c r="BW172" s="6"/>
      <c r="BX172" s="6"/>
      <c r="BY172" s="6"/>
    </row>
    <row r="173" spans="1:77" x14ac:dyDescent="0.25">
      <c r="A173" s="4"/>
      <c r="B173" s="129"/>
      <c r="C173" s="129"/>
      <c r="D173" s="130"/>
      <c r="E173" s="130"/>
      <c r="F173" s="130"/>
      <c r="G173" s="130"/>
      <c r="H173" s="131"/>
      <c r="I173" s="135"/>
      <c r="J173" s="135"/>
      <c r="K173" s="142"/>
      <c r="L173" s="14"/>
      <c r="M173" s="15"/>
      <c r="N173" s="15"/>
      <c r="O173" s="15"/>
      <c r="P173" s="15"/>
      <c r="Q173" s="6"/>
      <c r="AA173" s="6"/>
      <c r="AB173" s="6"/>
      <c r="AC173" s="6"/>
      <c r="AD173" s="6"/>
      <c r="AE173" s="6"/>
      <c r="AF173" s="6"/>
      <c r="AG173" s="6"/>
      <c r="AH173" s="9"/>
      <c r="AI173" s="9"/>
      <c r="AJ173" s="9"/>
      <c r="AK173" s="9"/>
      <c r="AL173" s="9"/>
      <c r="AM173" s="9"/>
      <c r="AN173" s="6"/>
      <c r="AO173" s="6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6"/>
      <c r="BC173" s="9"/>
      <c r="BD173" s="9"/>
      <c r="BE173" s="9"/>
      <c r="BF173" s="9"/>
      <c r="BG173" s="9"/>
      <c r="BH173" s="9"/>
      <c r="BI173" s="6"/>
      <c r="BJ173" s="12"/>
      <c r="BK173" s="12"/>
      <c r="BL173" s="12"/>
      <c r="BM173" s="12"/>
      <c r="BN173" s="12"/>
      <c r="BO173" s="12"/>
      <c r="BP173" s="6"/>
      <c r="BQ173" s="6"/>
      <c r="BR173" s="6"/>
      <c r="BS173" s="6"/>
      <c r="BT173" s="6"/>
      <c r="BU173" s="6"/>
      <c r="BV173" s="6"/>
      <c r="BW173" s="6"/>
      <c r="BX173" s="6"/>
      <c r="BY173" s="6"/>
    </row>
    <row r="174" spans="1:77" x14ac:dyDescent="0.25">
      <c r="A174" s="4"/>
      <c r="B174" s="129"/>
      <c r="C174" s="129"/>
      <c r="D174" s="130"/>
      <c r="E174" s="130"/>
      <c r="F174" s="130"/>
      <c r="G174" s="130"/>
      <c r="H174" s="131"/>
      <c r="I174" s="135"/>
      <c r="J174" s="135"/>
      <c r="K174" s="142"/>
      <c r="L174" s="14"/>
      <c r="M174" s="15"/>
      <c r="N174" s="15"/>
      <c r="O174" s="15"/>
      <c r="P174" s="15"/>
      <c r="Q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9"/>
      <c r="AL174" s="9"/>
      <c r="AM174" s="9"/>
      <c r="AN174" s="6"/>
      <c r="AO174" s="6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</row>
    <row r="175" spans="1:77" x14ac:dyDescent="0.25">
      <c r="A175" s="4"/>
      <c r="B175" s="129"/>
      <c r="C175" s="129"/>
      <c r="D175" s="130"/>
      <c r="E175" s="130"/>
      <c r="F175" s="130"/>
      <c r="G175" s="130"/>
      <c r="H175" s="131"/>
      <c r="I175" s="135"/>
      <c r="J175" s="135"/>
      <c r="K175" s="142"/>
      <c r="L175" s="14"/>
      <c r="M175" s="15"/>
      <c r="N175" s="15"/>
      <c r="O175" s="15"/>
      <c r="P175" s="15"/>
      <c r="Q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</row>
    <row r="176" spans="1:77" x14ac:dyDescent="0.25">
      <c r="A176" s="4"/>
      <c r="B176" s="129"/>
      <c r="C176" s="129"/>
      <c r="D176" s="130"/>
      <c r="E176" s="130"/>
      <c r="F176" s="130"/>
      <c r="G176" s="130"/>
      <c r="H176" s="131"/>
      <c r="I176" s="135"/>
      <c r="J176" s="135"/>
      <c r="K176" s="142"/>
      <c r="L176" s="14"/>
      <c r="M176" s="15"/>
      <c r="N176" s="15"/>
      <c r="O176" s="15"/>
      <c r="P176" s="15"/>
      <c r="Q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</row>
    <row r="177" spans="1:77" x14ac:dyDescent="0.25">
      <c r="A177" s="4"/>
      <c r="B177" s="129"/>
      <c r="C177" s="129"/>
      <c r="D177" s="130"/>
      <c r="E177" s="130"/>
      <c r="F177" s="130"/>
      <c r="G177" s="130"/>
      <c r="H177" s="131"/>
      <c r="I177" s="135"/>
      <c r="J177" s="135"/>
      <c r="K177" s="142"/>
      <c r="L177" s="14"/>
      <c r="M177" s="15"/>
      <c r="N177" s="15"/>
      <c r="O177" s="15"/>
      <c r="P177" s="15"/>
      <c r="Q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</row>
    <row r="178" spans="1:77" x14ac:dyDescent="0.25">
      <c r="A178" s="4"/>
      <c r="B178" s="129"/>
      <c r="C178" s="129"/>
      <c r="D178" s="130"/>
      <c r="E178" s="130"/>
      <c r="F178" s="130"/>
      <c r="G178" s="130"/>
      <c r="H178" s="131"/>
      <c r="I178" s="135"/>
      <c r="J178" s="135"/>
      <c r="K178" s="142"/>
      <c r="L178" s="14"/>
      <c r="M178" s="15"/>
      <c r="N178" s="15"/>
      <c r="O178" s="15"/>
      <c r="P178" s="15"/>
      <c r="Q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</row>
    <row r="179" spans="1:77" x14ac:dyDescent="0.25">
      <c r="A179" s="4"/>
      <c r="B179" s="129"/>
      <c r="C179" s="129"/>
      <c r="D179" s="130"/>
      <c r="E179" s="130"/>
      <c r="F179" s="130"/>
      <c r="G179" s="130"/>
      <c r="H179" s="131"/>
      <c r="I179" s="135"/>
      <c r="J179" s="135"/>
      <c r="K179" s="142"/>
      <c r="L179" s="14"/>
      <c r="M179" s="15"/>
      <c r="N179" s="15"/>
      <c r="O179" s="15"/>
      <c r="P179" s="15"/>
      <c r="Q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</row>
    <row r="180" spans="1:77" x14ac:dyDescent="0.25">
      <c r="A180" s="4"/>
      <c r="B180" s="129"/>
      <c r="C180" s="129"/>
      <c r="D180" s="130"/>
      <c r="E180" s="130"/>
      <c r="F180" s="130"/>
      <c r="G180" s="130"/>
      <c r="H180" s="131"/>
      <c r="I180" s="135"/>
      <c r="J180" s="135"/>
      <c r="K180" s="133"/>
      <c r="L180" s="14"/>
      <c r="M180" s="15"/>
      <c r="N180" s="15"/>
      <c r="O180" s="15"/>
      <c r="P180" s="15"/>
      <c r="Q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</row>
    <row r="181" spans="1:77" x14ac:dyDescent="0.25">
      <c r="A181" s="4"/>
      <c r="B181" s="129"/>
      <c r="C181" s="129"/>
      <c r="D181" s="130"/>
      <c r="E181" s="130"/>
      <c r="F181" s="130"/>
      <c r="G181" s="130"/>
      <c r="H181" s="131"/>
      <c r="I181" s="135"/>
      <c r="J181" s="135"/>
      <c r="K181" s="133"/>
      <c r="L181" s="14"/>
      <c r="M181" s="15"/>
      <c r="N181" s="15"/>
      <c r="O181" s="15"/>
      <c r="P181" s="15"/>
      <c r="Q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</row>
    <row r="182" spans="1:77" x14ac:dyDescent="0.25">
      <c r="A182" s="4"/>
      <c r="B182" s="129"/>
      <c r="C182" s="129"/>
      <c r="D182" s="130"/>
      <c r="E182" s="130"/>
      <c r="F182" s="130"/>
      <c r="G182" s="130"/>
      <c r="H182" s="131"/>
      <c r="I182" s="135"/>
      <c r="J182" s="135"/>
      <c r="K182" s="133"/>
      <c r="L182" s="14"/>
      <c r="M182" s="15"/>
      <c r="N182" s="15"/>
      <c r="O182" s="15"/>
      <c r="P182" s="15"/>
      <c r="Q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</row>
    <row r="183" spans="1:77" x14ac:dyDescent="0.25">
      <c r="A183" s="4"/>
      <c r="B183" s="129"/>
      <c r="C183" s="129"/>
      <c r="D183" s="130"/>
      <c r="E183" s="130"/>
      <c r="F183" s="130"/>
      <c r="G183" s="130"/>
      <c r="H183" s="131"/>
      <c r="I183" s="135"/>
      <c r="J183" s="135"/>
      <c r="K183" s="133"/>
      <c r="L183" s="14"/>
      <c r="M183" s="15"/>
      <c r="N183" s="15"/>
      <c r="O183" s="15"/>
      <c r="P183" s="15"/>
      <c r="Q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</row>
    <row r="184" spans="1:77" x14ac:dyDescent="0.25">
      <c r="A184" s="4"/>
      <c r="B184" s="129"/>
      <c r="C184" s="129"/>
      <c r="D184" s="130"/>
      <c r="E184" s="130"/>
      <c r="F184" s="130"/>
      <c r="G184" s="130"/>
      <c r="H184" s="131"/>
      <c r="I184" s="135"/>
      <c r="J184" s="135"/>
      <c r="K184" s="133"/>
      <c r="L184" s="14"/>
      <c r="M184" s="15"/>
      <c r="N184" s="15"/>
      <c r="O184" s="15"/>
      <c r="P184" s="15"/>
      <c r="Q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</row>
    <row r="185" spans="1:77" x14ac:dyDescent="0.25">
      <c r="A185" s="4"/>
      <c r="B185" s="129"/>
      <c r="C185" s="129"/>
      <c r="D185" s="130"/>
      <c r="E185" s="130"/>
      <c r="F185" s="130"/>
      <c r="G185" s="130"/>
      <c r="H185" s="131"/>
      <c r="I185" s="135"/>
      <c r="J185" s="135"/>
      <c r="K185" s="133"/>
      <c r="L185" s="14"/>
      <c r="M185" s="15"/>
      <c r="N185" s="15"/>
      <c r="O185" s="15"/>
      <c r="P185" s="15"/>
      <c r="Q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</row>
    <row r="186" spans="1:77" x14ac:dyDescent="0.25">
      <c r="A186" s="4"/>
      <c r="B186" s="129"/>
      <c r="C186" s="129"/>
      <c r="D186" s="130"/>
      <c r="E186" s="130"/>
      <c r="F186" s="130"/>
      <c r="G186" s="130"/>
      <c r="H186" s="131"/>
      <c r="I186" s="135"/>
      <c r="J186" s="135"/>
      <c r="K186" s="133"/>
      <c r="L186" s="14"/>
      <c r="M186" s="15"/>
      <c r="N186" s="15"/>
      <c r="O186" s="15"/>
      <c r="P186" s="15"/>
      <c r="Q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</row>
    <row r="187" spans="1:77" x14ac:dyDescent="0.25">
      <c r="A187" s="4"/>
      <c r="B187" s="129"/>
      <c r="C187" s="129"/>
      <c r="D187" s="130"/>
      <c r="E187" s="130"/>
      <c r="F187" s="130"/>
      <c r="G187" s="130"/>
      <c r="H187" s="131"/>
      <c r="I187" s="135"/>
      <c r="J187" s="135"/>
      <c r="K187" s="133"/>
      <c r="L187" s="14"/>
      <c r="M187" s="15"/>
      <c r="N187" s="15"/>
      <c r="O187" s="15"/>
      <c r="P187" s="15"/>
      <c r="Q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</row>
    <row r="188" spans="1:77" x14ac:dyDescent="0.25">
      <c r="A188" s="4"/>
      <c r="B188" s="129"/>
      <c r="C188" s="129"/>
      <c r="D188" s="130"/>
      <c r="E188" s="130"/>
      <c r="F188" s="130"/>
      <c r="G188" s="130"/>
      <c r="H188" s="131"/>
      <c r="I188" s="135"/>
      <c r="J188" s="136"/>
      <c r="K188" s="133"/>
      <c r="L188" s="14"/>
      <c r="M188" s="15"/>
      <c r="N188" s="15"/>
      <c r="O188" s="15"/>
      <c r="P188" s="15"/>
      <c r="Q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</row>
    <row r="189" spans="1:77" x14ac:dyDescent="0.25">
      <c r="A189" s="4"/>
      <c r="B189" s="129"/>
      <c r="C189" s="129"/>
      <c r="D189" s="130"/>
      <c r="E189" s="130"/>
      <c r="F189" s="130"/>
      <c r="G189" s="130"/>
      <c r="H189" s="131"/>
      <c r="I189" s="135"/>
      <c r="J189" s="136"/>
      <c r="K189" s="133"/>
      <c r="L189" s="14"/>
      <c r="M189" s="15"/>
      <c r="N189" s="15"/>
      <c r="O189" s="15"/>
      <c r="P189" s="15"/>
      <c r="Q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</row>
    <row r="190" spans="1:77" x14ac:dyDescent="0.25">
      <c r="A190" s="4"/>
      <c r="B190" s="129"/>
      <c r="C190" s="129"/>
      <c r="D190" s="130"/>
      <c r="E190" s="130"/>
      <c r="F190" s="130"/>
      <c r="G190" s="130"/>
      <c r="H190" s="131"/>
      <c r="I190" s="135"/>
      <c r="J190" s="135"/>
      <c r="K190" s="133"/>
      <c r="L190" s="14"/>
      <c r="M190" s="15"/>
      <c r="N190" s="15"/>
      <c r="O190" s="15"/>
      <c r="P190" s="15"/>
      <c r="Q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</row>
    <row r="191" spans="1:77" x14ac:dyDescent="0.25">
      <c r="A191" s="4"/>
      <c r="B191" s="129"/>
      <c r="C191" s="129"/>
      <c r="D191" s="130"/>
      <c r="E191" s="130"/>
      <c r="F191" s="130"/>
      <c r="G191" s="130"/>
      <c r="H191" s="131"/>
      <c r="I191" s="135"/>
      <c r="J191" s="135"/>
      <c r="K191" s="133"/>
      <c r="L191" s="14"/>
      <c r="M191" s="15"/>
      <c r="N191" s="15"/>
      <c r="O191" s="15"/>
      <c r="P191" s="15"/>
      <c r="Q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</row>
    <row r="192" spans="1:77" x14ac:dyDescent="0.25">
      <c r="A192" s="4"/>
      <c r="B192" s="129"/>
      <c r="C192" s="129"/>
      <c r="D192" s="130"/>
      <c r="E192" s="130"/>
      <c r="F192" s="130"/>
      <c r="G192" s="130"/>
      <c r="H192" s="131"/>
      <c r="I192" s="135"/>
      <c r="J192" s="135"/>
      <c r="K192" s="133"/>
      <c r="L192" s="14"/>
      <c r="M192" s="15"/>
      <c r="N192" s="15"/>
      <c r="O192" s="15"/>
      <c r="P192" s="15"/>
      <c r="Q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</row>
    <row r="193" spans="1:77" x14ac:dyDescent="0.25">
      <c r="A193" s="4"/>
      <c r="B193" s="129"/>
      <c r="C193" s="129"/>
      <c r="D193" s="130"/>
      <c r="E193" s="130"/>
      <c r="F193" s="130"/>
      <c r="G193" s="130"/>
      <c r="H193" s="131"/>
      <c r="I193" s="135"/>
      <c r="J193" s="135"/>
      <c r="K193" s="133"/>
      <c r="L193" s="14"/>
      <c r="M193" s="15"/>
      <c r="N193" s="15"/>
      <c r="O193" s="15"/>
      <c r="P193" s="15"/>
      <c r="Q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</row>
    <row r="194" spans="1:77" x14ac:dyDescent="0.25">
      <c r="A194" s="4"/>
      <c r="B194" s="129"/>
      <c r="C194" s="129"/>
      <c r="D194" s="130"/>
      <c r="E194" s="130"/>
      <c r="F194" s="130"/>
      <c r="G194" s="130"/>
      <c r="H194" s="131"/>
      <c r="I194" s="135"/>
      <c r="J194" s="135"/>
      <c r="K194" s="133"/>
      <c r="L194" s="14"/>
      <c r="M194" s="15"/>
      <c r="N194" s="15"/>
      <c r="O194" s="15"/>
      <c r="P194" s="15"/>
      <c r="Q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</row>
    <row r="195" spans="1:77" x14ac:dyDescent="0.25">
      <c r="A195" s="4"/>
      <c r="B195" s="129"/>
      <c r="C195" s="129"/>
      <c r="D195" s="130"/>
      <c r="E195" s="130"/>
      <c r="F195" s="130"/>
      <c r="G195" s="130"/>
      <c r="H195" s="131"/>
      <c r="I195" s="135"/>
      <c r="J195" s="135"/>
      <c r="K195" s="133"/>
      <c r="L195" s="14"/>
      <c r="M195" s="15"/>
      <c r="N195" s="15"/>
      <c r="O195" s="15"/>
      <c r="P195" s="15"/>
      <c r="Q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</row>
    <row r="196" spans="1:77" x14ac:dyDescent="0.25">
      <c r="A196" s="4"/>
      <c r="B196" s="129"/>
      <c r="C196" s="129"/>
      <c r="D196" s="130"/>
      <c r="E196" s="130"/>
      <c r="F196" s="130"/>
      <c r="G196" s="130"/>
      <c r="H196" s="131"/>
      <c r="I196" s="135"/>
      <c r="J196" s="135"/>
      <c r="K196" s="133"/>
      <c r="L196" s="14"/>
      <c r="M196" s="15"/>
      <c r="N196" s="15"/>
      <c r="O196" s="15"/>
      <c r="P196" s="15"/>
      <c r="Q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</row>
    <row r="197" spans="1:77" x14ac:dyDescent="0.25">
      <c r="A197" s="4"/>
      <c r="B197" s="129"/>
      <c r="C197" s="129"/>
      <c r="D197" s="130"/>
      <c r="E197" s="130"/>
      <c r="F197" s="130"/>
      <c r="G197" s="130"/>
      <c r="H197" s="131"/>
      <c r="I197" s="135"/>
      <c r="J197" s="135"/>
      <c r="K197" s="133"/>
      <c r="L197" s="14"/>
      <c r="M197" s="15"/>
      <c r="N197" s="15"/>
      <c r="O197" s="15"/>
      <c r="P197" s="15"/>
      <c r="Q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</row>
    <row r="198" spans="1:77" x14ac:dyDescent="0.25">
      <c r="A198" s="4"/>
      <c r="B198" s="129"/>
      <c r="C198" s="129"/>
      <c r="D198" s="130"/>
      <c r="E198" s="130"/>
      <c r="F198" s="130"/>
      <c r="G198" s="130"/>
      <c r="H198" s="131"/>
      <c r="I198" s="135"/>
      <c r="J198" s="135"/>
      <c r="K198" s="133"/>
      <c r="L198" s="14"/>
      <c r="M198" s="15"/>
      <c r="N198" s="15"/>
      <c r="O198" s="15"/>
      <c r="P198" s="15"/>
      <c r="Q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</row>
    <row r="199" spans="1:77" x14ac:dyDescent="0.25">
      <c r="A199" s="4"/>
      <c r="B199" s="129"/>
      <c r="C199" s="129"/>
      <c r="D199" s="130"/>
      <c r="E199" s="130"/>
      <c r="F199" s="130"/>
      <c r="G199" s="130"/>
      <c r="H199" s="131"/>
      <c r="I199" s="135"/>
      <c r="J199" s="135"/>
      <c r="K199" s="133"/>
      <c r="L199" s="14"/>
      <c r="M199" s="15"/>
      <c r="N199" s="15"/>
      <c r="O199" s="15"/>
      <c r="P199" s="15"/>
      <c r="Q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</row>
    <row r="200" spans="1:77" x14ac:dyDescent="0.25">
      <c r="A200" s="4"/>
      <c r="B200" s="129"/>
      <c r="C200" s="129"/>
      <c r="D200" s="130"/>
      <c r="E200" s="130"/>
      <c r="F200" s="130"/>
      <c r="G200" s="130"/>
      <c r="H200" s="131"/>
      <c r="I200" s="135"/>
      <c r="J200" s="135"/>
      <c r="K200" s="133"/>
      <c r="L200" s="14"/>
      <c r="M200" s="15"/>
      <c r="N200" s="15"/>
      <c r="O200" s="15"/>
      <c r="P200" s="15"/>
      <c r="Q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</row>
    <row r="201" spans="1:77" x14ac:dyDescent="0.25">
      <c r="A201" s="4"/>
      <c r="B201" s="129"/>
      <c r="C201" s="129"/>
      <c r="D201" s="130"/>
      <c r="E201" s="130"/>
      <c r="F201" s="130"/>
      <c r="G201" s="130"/>
      <c r="H201" s="131"/>
      <c r="I201" s="135"/>
      <c r="J201" s="135"/>
      <c r="K201" s="133"/>
      <c r="L201" s="14"/>
      <c r="M201" s="15"/>
      <c r="N201" s="15"/>
      <c r="O201" s="15"/>
      <c r="P201" s="15"/>
      <c r="Q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</row>
    <row r="202" spans="1:77" x14ac:dyDescent="0.25">
      <c r="A202" s="4"/>
      <c r="B202" s="129"/>
      <c r="C202" s="129"/>
      <c r="D202" s="130"/>
      <c r="E202" s="130"/>
      <c r="F202" s="130"/>
      <c r="G202" s="130"/>
      <c r="H202" s="131"/>
      <c r="I202" s="135"/>
      <c r="J202" s="135"/>
      <c r="K202" s="133"/>
      <c r="L202" s="14"/>
      <c r="M202" s="15"/>
      <c r="N202" s="15"/>
      <c r="O202" s="15"/>
      <c r="P202" s="15"/>
      <c r="Q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</row>
    <row r="203" spans="1:77" x14ac:dyDescent="0.25">
      <c r="A203" s="4"/>
      <c r="B203" s="129"/>
      <c r="C203" s="129"/>
      <c r="D203" s="130"/>
      <c r="E203" s="130"/>
      <c r="F203" s="130"/>
      <c r="G203" s="130"/>
      <c r="H203" s="131"/>
      <c r="I203" s="135"/>
      <c r="J203" s="135"/>
      <c r="K203" s="133"/>
      <c r="L203" s="14"/>
      <c r="M203" s="15"/>
      <c r="N203" s="15"/>
      <c r="O203" s="15"/>
      <c r="P203" s="15"/>
      <c r="Q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</row>
    <row r="204" spans="1:77" x14ac:dyDescent="0.25">
      <c r="A204" s="4"/>
      <c r="B204" s="129"/>
      <c r="C204" s="129"/>
      <c r="D204" s="130"/>
      <c r="E204" s="130"/>
      <c r="F204" s="130"/>
      <c r="G204" s="130"/>
      <c r="H204" s="131"/>
      <c r="I204" s="135"/>
      <c r="J204" s="135"/>
      <c r="K204" s="143"/>
      <c r="L204" s="15"/>
      <c r="M204" s="15"/>
      <c r="N204" s="15"/>
      <c r="O204" s="15"/>
      <c r="P204" s="15"/>
      <c r="Q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</row>
    <row r="205" spans="1:77" x14ac:dyDescent="0.25">
      <c r="A205" s="4"/>
      <c r="B205" s="129"/>
      <c r="C205" s="129"/>
      <c r="D205" s="130"/>
      <c r="E205" s="130"/>
      <c r="F205" s="130"/>
      <c r="G205" s="130"/>
      <c r="H205" s="131"/>
      <c r="I205" s="135"/>
      <c r="J205" s="135"/>
      <c r="K205" s="143"/>
      <c r="L205" s="15"/>
      <c r="M205" s="15"/>
      <c r="N205" s="15"/>
      <c r="O205" s="15"/>
      <c r="P205" s="15"/>
      <c r="Q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</row>
    <row r="206" spans="1:77" x14ac:dyDescent="0.25">
      <c r="A206" s="4"/>
      <c r="B206" s="129"/>
      <c r="C206" s="129"/>
      <c r="D206" s="130"/>
      <c r="E206" s="130"/>
      <c r="F206" s="130"/>
      <c r="G206" s="130"/>
      <c r="H206" s="131"/>
      <c r="I206" s="135"/>
      <c r="J206" s="135"/>
      <c r="K206" s="143"/>
      <c r="L206" s="15"/>
      <c r="M206" s="15"/>
      <c r="N206" s="15"/>
      <c r="O206" s="15"/>
      <c r="P206" s="15"/>
      <c r="Q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</row>
    <row r="207" spans="1:77" x14ac:dyDescent="0.25">
      <c r="A207" s="4"/>
      <c r="B207" s="129"/>
      <c r="C207" s="129"/>
      <c r="D207" s="130"/>
      <c r="E207" s="130"/>
      <c r="F207" s="130"/>
      <c r="G207" s="130"/>
      <c r="H207" s="131"/>
      <c r="I207" s="135"/>
      <c r="J207" s="135"/>
      <c r="K207" s="143"/>
      <c r="L207" s="15"/>
      <c r="M207" s="15"/>
      <c r="N207" s="15"/>
      <c r="O207" s="15"/>
      <c r="P207" s="15"/>
      <c r="Q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</row>
    <row r="208" spans="1:77" x14ac:dyDescent="0.25">
      <c r="A208" s="4"/>
      <c r="B208" s="129"/>
      <c r="C208" s="129"/>
      <c r="D208" s="130"/>
      <c r="E208" s="130"/>
      <c r="F208" s="130"/>
      <c r="G208" s="130"/>
      <c r="H208" s="131"/>
      <c r="I208" s="135"/>
      <c r="J208" s="135"/>
      <c r="K208" s="143"/>
      <c r="L208" s="15"/>
      <c r="M208" s="15"/>
      <c r="N208" s="15"/>
      <c r="O208" s="15"/>
      <c r="P208" s="15"/>
      <c r="Q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</row>
    <row r="209" spans="1:77" x14ac:dyDescent="0.25">
      <c r="A209" s="4"/>
      <c r="B209" s="129"/>
      <c r="C209" s="129"/>
      <c r="D209" s="130"/>
      <c r="E209" s="130"/>
      <c r="F209" s="130"/>
      <c r="G209" s="130"/>
      <c r="H209" s="131"/>
      <c r="I209" s="135"/>
      <c r="J209" s="135"/>
      <c r="K209" s="143"/>
      <c r="L209" s="15"/>
      <c r="M209" s="15"/>
      <c r="N209" s="15"/>
      <c r="O209" s="15"/>
      <c r="P209" s="15"/>
      <c r="Q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</row>
    <row r="210" spans="1:77" x14ac:dyDescent="0.25">
      <c r="A210" s="4"/>
      <c r="B210" s="129"/>
      <c r="C210" s="129"/>
      <c r="D210" s="130"/>
      <c r="E210" s="130"/>
      <c r="F210" s="130"/>
      <c r="G210" s="130"/>
      <c r="H210" s="131"/>
      <c r="I210" s="135"/>
      <c r="J210" s="135"/>
      <c r="K210" s="143"/>
      <c r="L210" s="15"/>
      <c r="M210" s="15"/>
      <c r="N210" s="15"/>
      <c r="O210" s="15"/>
      <c r="P210" s="15"/>
      <c r="Q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</row>
    <row r="211" spans="1:77" x14ac:dyDescent="0.25">
      <c r="A211" s="4"/>
      <c r="B211" s="129"/>
      <c r="C211" s="129"/>
      <c r="D211" s="130"/>
      <c r="E211" s="130"/>
      <c r="F211" s="130"/>
      <c r="G211" s="130"/>
      <c r="H211" s="131"/>
      <c r="I211" s="135"/>
      <c r="J211" s="135"/>
      <c r="K211" s="143"/>
      <c r="L211" s="15"/>
      <c r="M211" s="15"/>
      <c r="N211" s="15"/>
      <c r="O211" s="15"/>
      <c r="P211" s="15"/>
      <c r="Q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</row>
    <row r="212" spans="1:77" x14ac:dyDescent="0.25">
      <c r="A212" s="4"/>
      <c r="B212" s="129"/>
      <c r="C212" s="129"/>
      <c r="D212" s="130"/>
      <c r="E212" s="130"/>
      <c r="F212" s="130"/>
      <c r="G212" s="130"/>
      <c r="H212" s="131"/>
      <c r="I212" s="135"/>
      <c r="J212" s="135"/>
      <c r="K212" s="143"/>
      <c r="L212" s="15"/>
      <c r="M212" s="15"/>
      <c r="N212" s="15"/>
      <c r="O212" s="15"/>
      <c r="P212" s="15"/>
      <c r="Q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</row>
    <row r="213" spans="1:77" x14ac:dyDescent="0.25">
      <c r="A213" s="4"/>
      <c r="B213" s="129"/>
      <c r="C213" s="129"/>
      <c r="D213" s="130"/>
      <c r="E213" s="130"/>
      <c r="F213" s="130"/>
      <c r="G213" s="130"/>
      <c r="H213" s="131"/>
      <c r="I213" s="135"/>
      <c r="J213" s="135"/>
      <c r="K213" s="143"/>
      <c r="L213" s="15"/>
      <c r="M213" s="15"/>
      <c r="N213" s="15"/>
      <c r="O213" s="15"/>
      <c r="P213" s="15"/>
      <c r="Q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</row>
    <row r="214" spans="1:77" x14ac:dyDescent="0.25">
      <c r="A214" s="4"/>
      <c r="B214" s="129"/>
      <c r="C214" s="129"/>
      <c r="D214" s="130"/>
      <c r="E214" s="130"/>
      <c r="F214" s="130"/>
      <c r="G214" s="130"/>
      <c r="H214" s="131"/>
      <c r="I214" s="135"/>
      <c r="J214" s="135"/>
      <c r="K214" s="135"/>
      <c r="L214" s="6"/>
      <c r="M214" s="6"/>
      <c r="N214" s="6"/>
      <c r="O214" s="6"/>
      <c r="P214" s="6"/>
      <c r="Q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</row>
    <row r="215" spans="1:77" x14ac:dyDescent="0.25">
      <c r="A215" s="4"/>
      <c r="B215" s="129"/>
      <c r="C215" s="129"/>
      <c r="D215" s="130"/>
      <c r="E215" s="130"/>
      <c r="F215" s="130"/>
      <c r="G215" s="130"/>
      <c r="H215" s="131"/>
      <c r="I215" s="135"/>
      <c r="J215" s="135"/>
      <c r="K215" s="135"/>
      <c r="L215" s="6"/>
      <c r="M215" s="6"/>
      <c r="N215" s="6"/>
      <c r="O215" s="6"/>
      <c r="P215" s="6"/>
      <c r="Q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</row>
    <row r="216" spans="1:77" x14ac:dyDescent="0.25">
      <c r="A216" s="4"/>
      <c r="B216" s="129"/>
      <c r="C216" s="129"/>
      <c r="D216" s="130"/>
      <c r="E216" s="130"/>
      <c r="F216" s="130"/>
      <c r="G216" s="130"/>
      <c r="H216" s="131"/>
      <c r="I216" s="135"/>
      <c r="J216" s="135"/>
      <c r="K216" s="135"/>
      <c r="L216" s="6"/>
      <c r="M216" s="6"/>
      <c r="N216" s="6"/>
      <c r="O216" s="6"/>
      <c r="P216" s="6"/>
      <c r="Q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</row>
    <row r="217" spans="1:77" x14ac:dyDescent="0.25">
      <c r="A217" s="4"/>
      <c r="B217" s="129"/>
      <c r="C217" s="129"/>
      <c r="D217" s="130"/>
      <c r="E217" s="130"/>
      <c r="F217" s="130"/>
      <c r="G217" s="130"/>
      <c r="H217" s="131"/>
      <c r="I217" s="135"/>
      <c r="J217" s="135"/>
      <c r="K217" s="135"/>
      <c r="L217" s="6"/>
      <c r="M217" s="6"/>
      <c r="N217" s="6"/>
      <c r="O217" s="6"/>
      <c r="P217" s="6"/>
      <c r="Q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</row>
    <row r="218" spans="1:77" x14ac:dyDescent="0.25">
      <c r="A218" s="4"/>
      <c r="B218" s="129"/>
      <c r="C218" s="129"/>
      <c r="D218" s="130"/>
      <c r="E218" s="130"/>
      <c r="F218" s="130"/>
      <c r="G218" s="130"/>
      <c r="H218" s="131"/>
      <c r="I218" s="135"/>
      <c r="J218" s="135"/>
      <c r="K218" s="135"/>
      <c r="L218" s="6"/>
      <c r="M218" s="6"/>
      <c r="N218" s="6"/>
      <c r="O218" s="6"/>
      <c r="P218" s="6"/>
      <c r="Q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</row>
    <row r="219" spans="1:77" x14ac:dyDescent="0.25">
      <c r="A219" s="4"/>
      <c r="B219" s="129"/>
      <c r="C219" s="129"/>
      <c r="D219" s="130"/>
      <c r="E219" s="130"/>
      <c r="F219" s="130"/>
      <c r="G219" s="130"/>
      <c r="H219" s="131"/>
      <c r="I219" s="135"/>
      <c r="J219" s="135"/>
      <c r="K219" s="135"/>
      <c r="L219" s="6"/>
      <c r="M219" s="6"/>
      <c r="N219" s="6"/>
      <c r="O219" s="6"/>
      <c r="P219" s="6"/>
      <c r="Q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</row>
    <row r="220" spans="1:77" x14ac:dyDescent="0.25">
      <c r="A220" s="4"/>
      <c r="B220" s="129"/>
      <c r="C220" s="129"/>
      <c r="D220" s="130"/>
      <c r="E220" s="130"/>
      <c r="F220" s="130"/>
      <c r="G220" s="130"/>
      <c r="H220" s="131"/>
      <c r="I220" s="135"/>
      <c r="J220" s="135"/>
      <c r="K220" s="135"/>
      <c r="L220" s="6"/>
      <c r="M220" s="6"/>
      <c r="N220" s="6"/>
      <c r="O220" s="6"/>
      <c r="P220" s="6"/>
      <c r="Q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</row>
    <row r="221" spans="1:77" x14ac:dyDescent="0.25">
      <c r="A221" s="4"/>
      <c r="B221" s="129"/>
      <c r="C221" s="129"/>
      <c r="D221" s="130"/>
      <c r="E221" s="130"/>
      <c r="F221" s="130"/>
      <c r="G221" s="130"/>
      <c r="H221" s="131"/>
      <c r="I221" s="135"/>
      <c r="J221" s="135"/>
      <c r="K221" s="135"/>
      <c r="L221" s="6"/>
      <c r="M221" s="6"/>
      <c r="N221" s="6"/>
      <c r="O221" s="6"/>
      <c r="P221" s="6"/>
      <c r="Q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</row>
    <row r="222" spans="1:77" x14ac:dyDescent="0.25">
      <c r="A222" s="4"/>
      <c r="B222" s="129"/>
      <c r="C222" s="129"/>
      <c r="D222" s="130"/>
      <c r="E222" s="130"/>
      <c r="F222" s="130"/>
      <c r="G222" s="130"/>
      <c r="H222" s="131"/>
      <c r="I222" s="135"/>
      <c r="J222" s="135"/>
      <c r="K222" s="135"/>
      <c r="L222" s="6"/>
      <c r="M222" s="6"/>
      <c r="N222" s="6"/>
      <c r="O222" s="6"/>
      <c r="P222" s="6"/>
      <c r="Q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</row>
    <row r="223" spans="1:77" x14ac:dyDescent="0.25">
      <c r="A223" s="4"/>
      <c r="B223" s="129"/>
      <c r="C223" s="129"/>
      <c r="D223" s="130"/>
      <c r="E223" s="130"/>
      <c r="F223" s="130"/>
      <c r="G223" s="130"/>
      <c r="H223" s="131"/>
      <c r="I223" s="135"/>
      <c r="J223" s="135"/>
      <c r="K223" s="135"/>
      <c r="L223" s="6"/>
      <c r="M223" s="6"/>
      <c r="N223" s="6"/>
      <c r="O223" s="6"/>
      <c r="P223" s="6"/>
      <c r="Q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</row>
    <row r="224" spans="1:77" x14ac:dyDescent="0.25">
      <c r="A224" s="4"/>
      <c r="B224" s="129"/>
      <c r="C224" s="129"/>
      <c r="D224" s="130"/>
      <c r="E224" s="130"/>
      <c r="F224" s="130"/>
      <c r="G224" s="130"/>
      <c r="H224" s="131"/>
      <c r="I224" s="135"/>
      <c r="J224" s="135"/>
      <c r="K224" s="135"/>
      <c r="L224" s="6"/>
      <c r="M224" s="6"/>
      <c r="N224" s="6"/>
      <c r="O224" s="6"/>
      <c r="P224" s="6"/>
      <c r="Q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</row>
    <row r="225" spans="1:77" x14ac:dyDescent="0.25">
      <c r="A225" s="4"/>
      <c r="B225" s="129"/>
      <c r="C225" s="129"/>
      <c r="D225" s="130"/>
      <c r="E225" s="130"/>
      <c r="F225" s="130"/>
      <c r="G225" s="130"/>
      <c r="H225" s="131"/>
      <c r="I225" s="135"/>
      <c r="J225" s="135"/>
      <c r="K225" s="135"/>
      <c r="L225" s="6"/>
      <c r="M225" s="6"/>
      <c r="N225" s="6"/>
      <c r="O225" s="6"/>
      <c r="P225" s="6"/>
      <c r="Q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</row>
    <row r="226" spans="1:77" x14ac:dyDescent="0.25">
      <c r="A226" s="4"/>
      <c r="B226" s="129"/>
      <c r="C226" s="129"/>
      <c r="D226" s="130"/>
      <c r="E226" s="130"/>
      <c r="F226" s="130"/>
      <c r="G226" s="130"/>
      <c r="H226" s="131"/>
      <c r="I226" s="135"/>
      <c r="J226" s="135"/>
      <c r="K226" s="135"/>
      <c r="L226" s="6"/>
      <c r="M226" s="6"/>
      <c r="N226" s="6"/>
      <c r="O226" s="6"/>
      <c r="P226" s="6"/>
      <c r="Q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</row>
    <row r="227" spans="1:77" x14ac:dyDescent="0.25">
      <c r="A227" s="4"/>
      <c r="B227" s="129"/>
      <c r="C227" s="129"/>
      <c r="D227" s="130"/>
      <c r="E227" s="130"/>
      <c r="F227" s="130"/>
      <c r="G227" s="130"/>
      <c r="H227" s="131"/>
      <c r="I227" s="135"/>
      <c r="J227" s="135"/>
      <c r="K227" s="135"/>
      <c r="L227" s="6"/>
      <c r="M227" s="6"/>
      <c r="N227" s="6"/>
      <c r="O227" s="6"/>
      <c r="P227" s="6"/>
      <c r="Q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</row>
    <row r="228" spans="1:77" x14ac:dyDescent="0.25">
      <c r="A228" s="4"/>
      <c r="B228" s="129"/>
      <c r="C228" s="129"/>
      <c r="D228" s="130"/>
      <c r="E228" s="130"/>
      <c r="F228" s="130"/>
      <c r="G228" s="130"/>
      <c r="H228" s="131"/>
      <c r="I228" s="135"/>
      <c r="J228" s="135"/>
      <c r="K228" s="135"/>
      <c r="L228" s="6"/>
      <c r="M228" s="6"/>
      <c r="N228" s="6"/>
      <c r="O228" s="6"/>
      <c r="P228" s="6"/>
      <c r="Q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</row>
    <row r="229" spans="1:77" x14ac:dyDescent="0.25">
      <c r="A229" s="4"/>
      <c r="B229" s="129"/>
      <c r="C229" s="129"/>
      <c r="D229" s="130"/>
      <c r="E229" s="130"/>
      <c r="F229" s="130"/>
      <c r="G229" s="130"/>
      <c r="H229" s="131"/>
      <c r="I229" s="135"/>
      <c r="J229" s="135"/>
      <c r="K229" s="135"/>
      <c r="L229" s="6"/>
      <c r="M229" s="6"/>
      <c r="N229" s="6"/>
      <c r="O229" s="6"/>
      <c r="P229" s="6"/>
      <c r="Q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</row>
    <row r="230" spans="1:77" x14ac:dyDescent="0.25">
      <c r="A230" s="4"/>
      <c r="B230" s="129"/>
      <c r="C230" s="129"/>
      <c r="D230" s="130"/>
      <c r="E230" s="130"/>
      <c r="F230" s="130"/>
      <c r="G230" s="130"/>
      <c r="H230" s="131"/>
      <c r="I230" s="135"/>
      <c r="J230" s="135"/>
      <c r="K230" s="135"/>
      <c r="L230" s="6"/>
      <c r="M230" s="6"/>
      <c r="N230" s="6"/>
      <c r="O230" s="6"/>
      <c r="P230" s="6"/>
      <c r="Q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</row>
    <row r="231" spans="1:77" x14ac:dyDescent="0.25">
      <c r="A231" s="4"/>
      <c r="B231" s="129"/>
      <c r="C231" s="129"/>
      <c r="D231" s="130"/>
      <c r="E231" s="130"/>
      <c r="F231" s="130"/>
      <c r="G231" s="130"/>
      <c r="H231" s="131"/>
      <c r="I231" s="135"/>
      <c r="J231" s="135"/>
      <c r="K231" s="135"/>
      <c r="L231" s="6"/>
      <c r="M231" s="6"/>
      <c r="N231" s="6"/>
      <c r="O231" s="6"/>
      <c r="P231" s="6"/>
      <c r="Q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</row>
    <row r="232" spans="1:77" x14ac:dyDescent="0.25">
      <c r="A232" s="4"/>
      <c r="B232" s="129"/>
      <c r="C232" s="129"/>
      <c r="D232" s="130"/>
      <c r="E232" s="130"/>
      <c r="F232" s="130"/>
      <c r="G232" s="130"/>
      <c r="H232" s="131"/>
      <c r="I232" s="135"/>
      <c r="J232" s="135"/>
      <c r="K232" s="135"/>
      <c r="L232" s="6"/>
      <c r="M232" s="6"/>
      <c r="N232" s="6"/>
      <c r="O232" s="6"/>
      <c r="P232" s="6"/>
      <c r="Q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</row>
    <row r="233" spans="1:77" x14ac:dyDescent="0.25">
      <c r="A233" s="4"/>
      <c r="B233" s="129"/>
      <c r="C233" s="129"/>
      <c r="D233" s="130"/>
      <c r="E233" s="130"/>
      <c r="F233" s="130"/>
      <c r="G233" s="130"/>
      <c r="H233" s="131"/>
      <c r="I233" s="135"/>
      <c r="J233" s="135"/>
      <c r="K233" s="135"/>
      <c r="L233" s="6"/>
      <c r="M233" s="6"/>
      <c r="N233" s="6"/>
      <c r="O233" s="6"/>
      <c r="P233" s="6"/>
      <c r="Q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</row>
    <row r="234" spans="1:77" x14ac:dyDescent="0.25">
      <c r="A234" s="4"/>
      <c r="B234" s="129"/>
      <c r="C234" s="129"/>
      <c r="D234" s="130"/>
      <c r="E234" s="130"/>
      <c r="F234" s="130"/>
      <c r="G234" s="130"/>
      <c r="H234" s="131"/>
      <c r="I234" s="135"/>
      <c r="J234" s="135"/>
      <c r="K234" s="135"/>
      <c r="L234" s="6"/>
      <c r="M234" s="6"/>
      <c r="N234" s="6"/>
      <c r="O234" s="6"/>
      <c r="P234" s="6"/>
      <c r="Q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</row>
    <row r="235" spans="1:77" x14ac:dyDescent="0.25">
      <c r="A235" s="4"/>
      <c r="B235" s="129"/>
      <c r="C235" s="129"/>
      <c r="D235" s="130"/>
      <c r="E235" s="130"/>
      <c r="F235" s="130"/>
      <c r="G235" s="130"/>
      <c r="H235" s="131"/>
      <c r="I235" s="135"/>
      <c r="J235" s="135"/>
      <c r="K235" s="135"/>
      <c r="L235" s="6"/>
      <c r="M235" s="6"/>
      <c r="N235" s="6"/>
      <c r="O235" s="6"/>
      <c r="P235" s="6"/>
      <c r="Q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</row>
    <row r="236" spans="1:77" x14ac:dyDescent="0.25">
      <c r="A236" s="4"/>
      <c r="B236" s="129"/>
      <c r="C236" s="129"/>
      <c r="D236" s="130"/>
      <c r="E236" s="130"/>
      <c r="F236" s="130"/>
      <c r="G236" s="130"/>
      <c r="H236" s="131"/>
      <c r="I236" s="135"/>
      <c r="J236" s="135"/>
      <c r="K236" s="135"/>
      <c r="L236" s="6"/>
      <c r="M236" s="6"/>
      <c r="N236" s="6"/>
      <c r="O236" s="6"/>
      <c r="P236" s="6"/>
      <c r="Q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</row>
    <row r="237" spans="1:77" x14ac:dyDescent="0.25">
      <c r="A237" s="4"/>
      <c r="B237" s="129"/>
      <c r="C237" s="129"/>
      <c r="D237" s="130"/>
      <c r="E237" s="130"/>
      <c r="F237" s="130"/>
      <c r="G237" s="130"/>
      <c r="H237" s="131"/>
      <c r="I237" s="135"/>
      <c r="J237" s="135"/>
      <c r="K237" s="135"/>
      <c r="L237" s="6"/>
      <c r="M237" s="6"/>
      <c r="N237" s="6"/>
      <c r="O237" s="6"/>
      <c r="P237" s="6"/>
      <c r="Q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</row>
    <row r="238" spans="1:77" x14ac:dyDescent="0.25">
      <c r="A238" s="4"/>
      <c r="B238" s="129"/>
      <c r="C238" s="129"/>
      <c r="D238" s="130"/>
      <c r="E238" s="130"/>
      <c r="F238" s="130"/>
      <c r="G238" s="130"/>
      <c r="H238" s="131"/>
      <c r="I238" s="135"/>
      <c r="J238" s="135"/>
      <c r="K238" s="135"/>
      <c r="L238" s="6"/>
      <c r="M238" s="6"/>
      <c r="N238" s="6"/>
      <c r="O238" s="6"/>
      <c r="P238" s="6"/>
      <c r="Q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</row>
    <row r="239" spans="1:77" x14ac:dyDescent="0.25">
      <c r="A239" s="4"/>
      <c r="B239" s="129"/>
      <c r="C239" s="129"/>
      <c r="D239" s="130"/>
      <c r="E239" s="130"/>
      <c r="F239" s="130"/>
      <c r="G239" s="130"/>
      <c r="H239" s="131"/>
      <c r="I239" s="135"/>
      <c r="J239" s="135"/>
      <c r="K239" s="135"/>
      <c r="L239" s="6"/>
      <c r="M239" s="6"/>
      <c r="N239" s="6"/>
      <c r="O239" s="6"/>
      <c r="P239" s="6"/>
      <c r="Q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</row>
    <row r="240" spans="1:77" x14ac:dyDescent="0.25">
      <c r="A240" s="4"/>
      <c r="B240" s="129"/>
      <c r="C240" s="129"/>
      <c r="D240" s="130"/>
      <c r="E240" s="130"/>
      <c r="F240" s="130"/>
      <c r="G240" s="130"/>
      <c r="H240" s="131"/>
      <c r="I240" s="135"/>
      <c r="J240" s="135"/>
      <c r="K240" s="135"/>
      <c r="L240" s="6"/>
      <c r="M240" s="6"/>
      <c r="N240" s="6"/>
      <c r="O240" s="6"/>
      <c r="P240" s="6"/>
      <c r="Q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</row>
    <row r="241" spans="1:77" x14ac:dyDescent="0.25">
      <c r="A241" s="4"/>
      <c r="B241" s="129"/>
      <c r="C241" s="129"/>
      <c r="D241" s="130"/>
      <c r="E241" s="130"/>
      <c r="F241" s="130"/>
      <c r="G241" s="130"/>
      <c r="H241" s="131"/>
      <c r="I241" s="135"/>
      <c r="J241" s="135"/>
      <c r="K241" s="135"/>
      <c r="L241" s="6"/>
      <c r="M241" s="6"/>
      <c r="N241" s="6"/>
      <c r="O241" s="6"/>
      <c r="P241" s="6"/>
      <c r="Q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</row>
    <row r="242" spans="1:77" x14ac:dyDescent="0.25">
      <c r="A242" s="4"/>
      <c r="B242" s="129"/>
      <c r="C242" s="129"/>
      <c r="D242" s="130"/>
      <c r="E242" s="130"/>
      <c r="F242" s="130"/>
      <c r="G242" s="130"/>
      <c r="H242" s="131"/>
      <c r="I242" s="135"/>
      <c r="J242" s="135"/>
      <c r="K242" s="135"/>
      <c r="L242" s="6"/>
      <c r="M242" s="6"/>
      <c r="N242" s="6"/>
      <c r="O242" s="6"/>
      <c r="P242" s="6"/>
      <c r="Q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</row>
    <row r="243" spans="1:77" x14ac:dyDescent="0.25">
      <c r="A243" s="4"/>
      <c r="B243" s="129"/>
      <c r="C243" s="129"/>
      <c r="D243" s="130"/>
      <c r="E243" s="130"/>
      <c r="F243" s="130"/>
      <c r="G243" s="130"/>
      <c r="H243" s="131"/>
      <c r="I243" s="135"/>
      <c r="J243" s="135"/>
      <c r="K243" s="135"/>
      <c r="L243" s="6"/>
      <c r="M243" s="6"/>
      <c r="N243" s="6"/>
      <c r="O243" s="6"/>
      <c r="P243" s="6"/>
      <c r="Q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</row>
    <row r="244" spans="1:77" x14ac:dyDescent="0.25">
      <c r="A244" s="4"/>
      <c r="B244" s="129"/>
      <c r="C244" s="129"/>
      <c r="D244" s="130"/>
      <c r="E244" s="130"/>
      <c r="F244" s="130"/>
      <c r="G244" s="130"/>
      <c r="H244" s="131"/>
      <c r="I244" s="135"/>
      <c r="J244" s="135"/>
      <c r="K244" s="135"/>
      <c r="L244" s="6"/>
      <c r="M244" s="6"/>
      <c r="N244" s="6"/>
      <c r="O244" s="6"/>
      <c r="P244" s="6"/>
      <c r="Q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</row>
    <row r="245" spans="1:77" x14ac:dyDescent="0.25">
      <c r="A245" s="4"/>
      <c r="B245" s="129"/>
      <c r="C245" s="129"/>
      <c r="D245" s="130"/>
      <c r="E245" s="130"/>
      <c r="F245" s="130"/>
      <c r="G245" s="130"/>
      <c r="H245" s="131"/>
      <c r="I245" s="135"/>
      <c r="J245" s="135"/>
      <c r="K245" s="135"/>
      <c r="L245" s="6"/>
      <c r="M245" s="6"/>
      <c r="N245" s="6"/>
      <c r="O245" s="6"/>
      <c r="P245" s="6"/>
      <c r="Q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</row>
    <row r="246" spans="1:77" x14ac:dyDescent="0.25">
      <c r="A246" s="4"/>
      <c r="B246" s="129"/>
      <c r="C246" s="129"/>
      <c r="D246" s="130"/>
      <c r="E246" s="130"/>
      <c r="F246" s="130"/>
      <c r="G246" s="130"/>
      <c r="H246" s="131"/>
      <c r="I246" s="135"/>
      <c r="J246" s="135"/>
      <c r="K246" s="135"/>
      <c r="L246" s="6"/>
      <c r="M246" s="6"/>
      <c r="N246" s="6"/>
      <c r="O246" s="6"/>
      <c r="P246" s="6"/>
      <c r="Q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</row>
    <row r="247" spans="1:77" x14ac:dyDescent="0.25">
      <c r="A247" s="4"/>
      <c r="B247" s="129"/>
      <c r="C247" s="129"/>
      <c r="D247" s="130"/>
      <c r="E247" s="130"/>
      <c r="F247" s="130"/>
      <c r="G247" s="130"/>
      <c r="H247" s="131"/>
      <c r="I247" s="135"/>
      <c r="J247" s="135"/>
      <c r="K247" s="135"/>
      <c r="L247" s="6"/>
      <c r="M247" s="6"/>
      <c r="N247" s="6"/>
      <c r="O247" s="6"/>
      <c r="P247" s="6"/>
      <c r="Q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</row>
    <row r="248" spans="1:77" x14ac:dyDescent="0.25">
      <c r="A248" s="4"/>
      <c r="B248" s="129"/>
      <c r="C248" s="129"/>
      <c r="D248" s="130"/>
      <c r="E248" s="130"/>
      <c r="F248" s="130"/>
      <c r="G248" s="130"/>
      <c r="H248" s="131"/>
      <c r="I248" s="135"/>
      <c r="J248" s="135"/>
      <c r="K248" s="135"/>
      <c r="L248" s="6"/>
      <c r="M248" s="6"/>
      <c r="N248" s="6"/>
      <c r="O248" s="6"/>
      <c r="P248" s="6"/>
      <c r="Q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</row>
    <row r="249" spans="1:77" x14ac:dyDescent="0.25">
      <c r="A249" s="4"/>
      <c r="B249" s="129"/>
      <c r="C249" s="129"/>
      <c r="D249" s="130"/>
      <c r="E249" s="130"/>
      <c r="F249" s="130"/>
      <c r="G249" s="130"/>
      <c r="H249" s="131"/>
      <c r="I249" s="135"/>
      <c r="J249" s="135"/>
      <c r="K249" s="135"/>
      <c r="L249" s="6"/>
      <c r="M249" s="6"/>
      <c r="N249" s="6"/>
      <c r="O249" s="6"/>
      <c r="P249" s="6"/>
      <c r="Q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</row>
    <row r="250" spans="1:77" x14ac:dyDescent="0.25">
      <c r="A250" s="4"/>
      <c r="B250" s="129"/>
      <c r="C250" s="129"/>
      <c r="D250" s="130"/>
      <c r="E250" s="130"/>
      <c r="F250" s="130"/>
      <c r="G250" s="130"/>
      <c r="H250" s="131"/>
      <c r="I250" s="135"/>
      <c r="J250" s="135"/>
      <c r="K250" s="135"/>
      <c r="L250" s="6"/>
      <c r="M250" s="6"/>
      <c r="N250" s="6"/>
      <c r="O250" s="6"/>
      <c r="P250" s="6"/>
      <c r="Q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</row>
    <row r="251" spans="1:77" x14ac:dyDescent="0.25">
      <c r="A251" s="4"/>
      <c r="B251" s="129"/>
      <c r="C251" s="129"/>
      <c r="D251" s="130"/>
      <c r="E251" s="130"/>
      <c r="F251" s="130"/>
      <c r="G251" s="130"/>
      <c r="H251" s="131"/>
      <c r="I251" s="135"/>
      <c r="J251" s="135"/>
      <c r="K251" s="135"/>
      <c r="L251" s="6"/>
      <c r="M251" s="6"/>
      <c r="N251" s="6"/>
      <c r="O251" s="6"/>
      <c r="P251" s="6"/>
      <c r="Q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</row>
    <row r="252" spans="1:77" x14ac:dyDescent="0.25">
      <c r="A252" s="4"/>
      <c r="B252" s="129"/>
      <c r="C252" s="129"/>
      <c r="D252" s="130"/>
      <c r="E252" s="130"/>
      <c r="F252" s="130"/>
      <c r="G252" s="130"/>
      <c r="H252" s="131"/>
      <c r="I252" s="135"/>
      <c r="J252" s="135"/>
      <c r="K252" s="135"/>
      <c r="L252" s="6"/>
      <c r="M252" s="6"/>
      <c r="N252" s="6"/>
      <c r="O252" s="6"/>
      <c r="P252" s="6"/>
      <c r="Q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</row>
    <row r="253" spans="1:77" x14ac:dyDescent="0.25">
      <c r="A253" s="4"/>
      <c r="B253" s="129"/>
      <c r="C253" s="129"/>
      <c r="D253" s="130"/>
      <c r="E253" s="130"/>
      <c r="F253" s="130"/>
      <c r="G253" s="130"/>
      <c r="H253" s="131"/>
      <c r="I253" s="135"/>
      <c r="J253" s="135"/>
      <c r="K253" s="135"/>
      <c r="L253" s="6"/>
      <c r="M253" s="6"/>
      <c r="N253" s="6"/>
      <c r="O253" s="6"/>
      <c r="P253" s="6"/>
      <c r="Q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</row>
    <row r="254" spans="1:77" x14ac:dyDescent="0.25">
      <c r="A254" s="4"/>
      <c r="B254" s="129"/>
      <c r="C254" s="129"/>
      <c r="D254" s="130"/>
      <c r="E254" s="130"/>
      <c r="F254" s="130"/>
      <c r="G254" s="130"/>
      <c r="H254" s="131"/>
      <c r="I254" s="135"/>
      <c r="J254" s="135"/>
      <c r="K254" s="135"/>
      <c r="L254" s="6"/>
      <c r="M254" s="6"/>
      <c r="N254" s="6"/>
      <c r="O254" s="6"/>
      <c r="P254" s="6"/>
      <c r="Q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</row>
    <row r="255" spans="1:77" x14ac:dyDescent="0.25">
      <c r="A255" s="4"/>
      <c r="B255" s="129"/>
      <c r="C255" s="129"/>
      <c r="D255" s="130"/>
      <c r="E255" s="130"/>
      <c r="F255" s="130"/>
      <c r="G255" s="130"/>
      <c r="H255" s="131"/>
      <c r="I255" s="135"/>
      <c r="J255" s="135"/>
      <c r="K255" s="135"/>
      <c r="L255" s="6"/>
      <c r="M255" s="6"/>
      <c r="N255" s="6"/>
      <c r="O255" s="6"/>
      <c r="P255" s="6"/>
      <c r="Q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</row>
    <row r="256" spans="1:77" x14ac:dyDescent="0.25">
      <c r="A256" s="4"/>
      <c r="B256" s="129"/>
      <c r="C256" s="129"/>
      <c r="D256" s="130"/>
      <c r="E256" s="130"/>
      <c r="F256" s="130"/>
      <c r="G256" s="130"/>
      <c r="H256" s="131"/>
      <c r="I256" s="135"/>
      <c r="J256" s="135"/>
      <c r="K256" s="135"/>
      <c r="L256" s="6"/>
      <c r="M256" s="6"/>
      <c r="N256" s="6"/>
      <c r="O256" s="6"/>
      <c r="P256" s="6"/>
      <c r="Q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</row>
    <row r="257" spans="1:77" x14ac:dyDescent="0.25">
      <c r="A257" s="4"/>
      <c r="B257" s="129"/>
      <c r="C257" s="129"/>
      <c r="D257" s="130"/>
      <c r="E257" s="130"/>
      <c r="F257" s="130"/>
      <c r="G257" s="130"/>
      <c r="H257" s="131"/>
      <c r="I257" s="135"/>
      <c r="J257" s="135"/>
      <c r="K257" s="135"/>
      <c r="L257" s="6"/>
      <c r="M257" s="6"/>
      <c r="N257" s="6"/>
      <c r="O257" s="6"/>
      <c r="P257" s="6"/>
      <c r="Q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</row>
    <row r="258" spans="1:77" x14ac:dyDescent="0.25">
      <c r="A258" s="4"/>
      <c r="B258" s="129"/>
      <c r="C258" s="129"/>
      <c r="D258" s="130"/>
      <c r="E258" s="130"/>
      <c r="F258" s="130"/>
      <c r="G258" s="130"/>
      <c r="H258" s="131"/>
      <c r="I258" s="135"/>
      <c r="J258" s="135"/>
      <c r="K258" s="135"/>
      <c r="L258" s="6"/>
      <c r="M258" s="6"/>
      <c r="N258" s="6"/>
      <c r="O258" s="6"/>
      <c r="P258" s="6"/>
      <c r="Q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</row>
    <row r="259" spans="1:77" x14ac:dyDescent="0.25">
      <c r="A259" s="4"/>
      <c r="B259" s="129"/>
      <c r="C259" s="129"/>
      <c r="D259" s="130"/>
      <c r="E259" s="130"/>
      <c r="F259" s="130"/>
      <c r="G259" s="130"/>
      <c r="H259" s="131"/>
      <c r="I259" s="135"/>
      <c r="J259" s="135"/>
      <c r="K259" s="135"/>
      <c r="L259" s="6"/>
      <c r="M259" s="6"/>
      <c r="N259" s="6"/>
      <c r="O259" s="6"/>
      <c r="P259" s="6"/>
      <c r="Q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</row>
    <row r="260" spans="1:77" x14ac:dyDescent="0.25">
      <c r="A260" s="4"/>
      <c r="B260" s="129"/>
      <c r="C260" s="129"/>
      <c r="D260" s="130"/>
      <c r="E260" s="130"/>
      <c r="F260" s="130"/>
      <c r="G260" s="130"/>
      <c r="H260" s="131"/>
      <c r="I260" s="135"/>
      <c r="J260" s="135"/>
      <c r="K260" s="135"/>
      <c r="L260" s="6"/>
      <c r="M260" s="6"/>
      <c r="N260" s="6"/>
      <c r="O260" s="6"/>
      <c r="P260" s="6"/>
      <c r="Q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</row>
    <row r="261" spans="1:77" x14ac:dyDescent="0.25">
      <c r="A261" s="4"/>
      <c r="B261" s="129"/>
      <c r="C261" s="129"/>
      <c r="D261" s="130"/>
      <c r="E261" s="130"/>
      <c r="F261" s="130"/>
      <c r="G261" s="130"/>
      <c r="H261" s="131"/>
      <c r="I261" s="135"/>
      <c r="J261" s="135"/>
      <c r="K261" s="135"/>
      <c r="L261" s="6"/>
      <c r="M261" s="6"/>
      <c r="N261" s="6"/>
      <c r="O261" s="6"/>
      <c r="P261" s="6"/>
      <c r="Q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</row>
    <row r="262" spans="1:77" x14ac:dyDescent="0.25">
      <c r="A262" s="4"/>
      <c r="B262" s="129"/>
      <c r="C262" s="129"/>
      <c r="D262" s="130"/>
      <c r="E262" s="130"/>
      <c r="F262" s="130"/>
      <c r="G262" s="130"/>
      <c r="H262" s="131"/>
      <c r="I262" s="135"/>
      <c r="J262" s="135"/>
      <c r="K262" s="135"/>
      <c r="L262" s="6"/>
      <c r="M262" s="6"/>
      <c r="N262" s="6"/>
      <c r="O262" s="6"/>
      <c r="P262" s="6"/>
      <c r="Q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</row>
    <row r="263" spans="1:77" x14ac:dyDescent="0.25">
      <c r="A263" s="4"/>
      <c r="B263" s="129"/>
      <c r="C263" s="129"/>
      <c r="D263" s="130"/>
      <c r="E263" s="130"/>
      <c r="F263" s="130"/>
      <c r="G263" s="130"/>
      <c r="H263" s="131"/>
      <c r="I263" s="135"/>
      <c r="J263" s="135"/>
      <c r="K263" s="135"/>
      <c r="L263" s="6"/>
      <c r="M263" s="6"/>
      <c r="N263" s="6"/>
      <c r="O263" s="6"/>
      <c r="P263" s="6"/>
      <c r="Q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</row>
    <row r="264" spans="1:77" x14ac:dyDescent="0.25">
      <c r="A264" s="4"/>
      <c r="B264" s="129"/>
      <c r="C264" s="129"/>
      <c r="D264" s="130"/>
      <c r="E264" s="130"/>
      <c r="F264" s="130"/>
      <c r="G264" s="130"/>
      <c r="H264" s="131"/>
      <c r="I264" s="135"/>
      <c r="J264" s="135"/>
      <c r="K264" s="135"/>
      <c r="L264" s="6"/>
      <c r="M264" s="6"/>
      <c r="N264" s="6"/>
      <c r="O264" s="6"/>
      <c r="P264" s="6"/>
      <c r="Q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</row>
    <row r="265" spans="1:77" x14ac:dyDescent="0.25">
      <c r="A265" s="4"/>
      <c r="B265" s="129"/>
      <c r="C265" s="129"/>
      <c r="D265" s="130"/>
      <c r="E265" s="130"/>
      <c r="F265" s="130"/>
      <c r="G265" s="130"/>
      <c r="H265" s="131"/>
      <c r="I265" s="135"/>
      <c r="J265" s="135"/>
      <c r="K265" s="135"/>
      <c r="L265" s="6"/>
      <c r="M265" s="6"/>
      <c r="N265" s="6"/>
      <c r="O265" s="6"/>
      <c r="P265" s="6"/>
      <c r="Q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</row>
    <row r="266" spans="1:77" x14ac:dyDescent="0.25">
      <c r="A266" s="4"/>
      <c r="B266" s="129"/>
      <c r="C266" s="129"/>
      <c r="D266" s="130"/>
      <c r="E266" s="130"/>
      <c r="F266" s="130"/>
      <c r="G266" s="130"/>
      <c r="H266" s="131"/>
      <c r="I266" s="135"/>
      <c r="J266" s="135"/>
      <c r="K266" s="135"/>
      <c r="L266" s="6"/>
      <c r="M266" s="6"/>
      <c r="N266" s="6"/>
      <c r="O266" s="6"/>
      <c r="P266" s="6"/>
      <c r="Q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</row>
    <row r="267" spans="1:77" x14ac:dyDescent="0.25">
      <c r="A267" s="4"/>
      <c r="B267" s="129"/>
      <c r="C267" s="129"/>
      <c r="D267" s="130"/>
      <c r="E267" s="130"/>
      <c r="F267" s="130"/>
      <c r="G267" s="130"/>
      <c r="H267" s="131"/>
      <c r="I267" s="135"/>
      <c r="J267" s="135"/>
      <c r="K267" s="135"/>
      <c r="L267" s="6"/>
      <c r="M267" s="6"/>
      <c r="N267" s="6"/>
      <c r="O267" s="6"/>
      <c r="P267" s="6"/>
      <c r="Q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</row>
    <row r="268" spans="1:77" x14ac:dyDescent="0.25">
      <c r="A268" s="4"/>
      <c r="B268" s="129"/>
      <c r="C268" s="129"/>
      <c r="D268" s="130"/>
      <c r="E268" s="130"/>
      <c r="F268" s="130"/>
      <c r="G268" s="130"/>
      <c r="H268" s="131"/>
      <c r="I268" s="135"/>
      <c r="J268" s="135"/>
      <c r="K268" s="135"/>
      <c r="L268" s="6"/>
      <c r="M268" s="6"/>
      <c r="N268" s="6"/>
      <c r="O268" s="6"/>
      <c r="P268" s="6"/>
      <c r="Q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</row>
    <row r="269" spans="1:77" x14ac:dyDescent="0.25">
      <c r="A269" s="4"/>
      <c r="B269" s="129"/>
      <c r="C269" s="129"/>
      <c r="D269" s="130"/>
      <c r="E269" s="130"/>
      <c r="F269" s="130"/>
      <c r="G269" s="130"/>
      <c r="H269" s="131"/>
      <c r="I269" s="135"/>
      <c r="J269" s="135"/>
      <c r="K269" s="135"/>
      <c r="L269" s="6"/>
      <c r="M269" s="6"/>
      <c r="N269" s="6"/>
      <c r="O269" s="6"/>
      <c r="P269" s="6"/>
      <c r="Q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</row>
    <row r="270" spans="1:77" x14ac:dyDescent="0.25">
      <c r="A270" s="4"/>
      <c r="B270" s="129"/>
      <c r="C270" s="129"/>
      <c r="D270" s="130"/>
      <c r="E270" s="130"/>
      <c r="F270" s="130"/>
      <c r="G270" s="130"/>
      <c r="H270" s="131"/>
      <c r="I270" s="135"/>
      <c r="J270" s="135"/>
      <c r="K270" s="135"/>
      <c r="L270" s="6"/>
      <c r="M270" s="6"/>
      <c r="N270" s="6"/>
      <c r="O270" s="6"/>
      <c r="P270" s="6"/>
      <c r="Q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</row>
    <row r="271" spans="1:77" x14ac:dyDescent="0.25">
      <c r="A271" s="4"/>
      <c r="B271" s="129"/>
      <c r="C271" s="129"/>
      <c r="D271" s="130"/>
      <c r="E271" s="130"/>
      <c r="F271" s="130"/>
      <c r="G271" s="130"/>
      <c r="H271" s="131"/>
      <c r="I271" s="135"/>
      <c r="J271" s="135"/>
      <c r="K271" s="135"/>
      <c r="L271" s="6"/>
      <c r="M271" s="6"/>
      <c r="N271" s="6"/>
      <c r="O271" s="6"/>
      <c r="P271" s="6"/>
      <c r="Q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</row>
    <row r="272" spans="1:77" x14ac:dyDescent="0.25">
      <c r="A272" s="4"/>
      <c r="B272" s="129"/>
      <c r="C272" s="129"/>
      <c r="D272" s="130"/>
      <c r="E272" s="130"/>
      <c r="F272" s="130"/>
      <c r="G272" s="130"/>
      <c r="H272" s="131"/>
      <c r="I272" s="135"/>
      <c r="J272" s="135"/>
      <c r="K272" s="135"/>
      <c r="L272" s="6"/>
      <c r="M272" s="6"/>
      <c r="N272" s="6"/>
      <c r="O272" s="6"/>
      <c r="P272" s="6"/>
      <c r="Q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</row>
    <row r="273" spans="1:77" x14ac:dyDescent="0.25">
      <c r="A273" s="4"/>
      <c r="B273" s="129"/>
      <c r="C273" s="129"/>
      <c r="D273" s="130"/>
      <c r="E273" s="130"/>
      <c r="F273" s="130"/>
      <c r="G273" s="130"/>
      <c r="H273" s="131"/>
      <c r="I273" s="135"/>
      <c r="J273" s="135"/>
      <c r="K273" s="135"/>
      <c r="L273" s="6"/>
      <c r="M273" s="6"/>
      <c r="N273" s="6"/>
      <c r="O273" s="6"/>
      <c r="P273" s="6"/>
      <c r="Q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</row>
    <row r="274" spans="1:77" x14ac:dyDescent="0.25">
      <c r="A274" s="4"/>
      <c r="B274" s="129"/>
      <c r="C274" s="129"/>
      <c r="D274" s="130"/>
      <c r="E274" s="130"/>
      <c r="F274" s="130"/>
      <c r="G274" s="130"/>
      <c r="H274" s="131"/>
      <c r="I274" s="135"/>
      <c r="J274" s="135"/>
      <c r="K274" s="135"/>
      <c r="L274" s="6"/>
      <c r="M274" s="6"/>
      <c r="N274" s="6"/>
      <c r="O274" s="6"/>
      <c r="P274" s="6"/>
      <c r="Q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</row>
    <row r="275" spans="1:77" x14ac:dyDescent="0.25">
      <c r="A275" s="4"/>
      <c r="B275" s="129"/>
      <c r="C275" s="129"/>
      <c r="D275" s="130"/>
      <c r="E275" s="130"/>
      <c r="F275" s="130"/>
      <c r="G275" s="130"/>
      <c r="H275" s="131"/>
      <c r="I275" s="135"/>
      <c r="J275" s="135"/>
      <c r="K275" s="135"/>
      <c r="L275" s="6"/>
      <c r="M275" s="6"/>
      <c r="N275" s="6"/>
      <c r="O275" s="6"/>
      <c r="P275" s="6"/>
      <c r="Q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</row>
    <row r="276" spans="1:77" x14ac:dyDescent="0.25">
      <c r="A276" s="4"/>
      <c r="B276" s="129"/>
      <c r="C276" s="129"/>
      <c r="D276" s="130"/>
      <c r="E276" s="130"/>
      <c r="F276" s="130"/>
      <c r="G276" s="130"/>
      <c r="H276" s="131"/>
      <c r="I276" s="135"/>
      <c r="J276" s="135"/>
      <c r="K276" s="135"/>
      <c r="L276" s="6"/>
      <c r="M276" s="6"/>
      <c r="N276" s="6"/>
      <c r="O276" s="6"/>
      <c r="P276" s="6"/>
      <c r="Q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</row>
    <row r="277" spans="1:77" x14ac:dyDescent="0.25">
      <c r="A277" s="4"/>
      <c r="B277" s="129"/>
      <c r="C277" s="129"/>
      <c r="D277" s="130"/>
      <c r="E277" s="130"/>
      <c r="F277" s="130"/>
      <c r="G277" s="130"/>
      <c r="H277" s="131"/>
      <c r="I277" s="135"/>
      <c r="J277" s="135"/>
      <c r="K277" s="135"/>
      <c r="L277" s="6"/>
      <c r="M277" s="6"/>
      <c r="N277" s="6"/>
      <c r="O277" s="6"/>
      <c r="P277" s="6"/>
      <c r="Q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</row>
    <row r="278" spans="1:77" x14ac:dyDescent="0.25">
      <c r="A278" s="4"/>
      <c r="B278" s="129"/>
      <c r="C278" s="129"/>
      <c r="D278" s="130"/>
      <c r="E278" s="130"/>
      <c r="F278" s="130"/>
      <c r="G278" s="130"/>
      <c r="H278" s="131"/>
      <c r="I278" s="135"/>
      <c r="J278" s="135"/>
      <c r="K278" s="135"/>
      <c r="L278" s="6"/>
      <c r="M278" s="6"/>
      <c r="N278" s="6"/>
      <c r="O278" s="6"/>
      <c r="P278" s="6"/>
      <c r="Q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</row>
    <row r="279" spans="1:77" x14ac:dyDescent="0.25">
      <c r="A279" s="4"/>
      <c r="B279" s="129"/>
      <c r="C279" s="129"/>
      <c r="D279" s="130"/>
      <c r="E279" s="130"/>
      <c r="F279" s="130"/>
      <c r="G279" s="130"/>
      <c r="H279" s="131"/>
      <c r="I279" s="135"/>
      <c r="J279" s="135"/>
      <c r="K279" s="135"/>
      <c r="L279" s="6"/>
      <c r="M279" s="6"/>
      <c r="N279" s="6"/>
      <c r="O279" s="6"/>
      <c r="P279" s="6"/>
      <c r="Q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</row>
    <row r="280" spans="1:77" x14ac:dyDescent="0.25">
      <c r="A280" s="4"/>
      <c r="B280" s="129"/>
      <c r="C280" s="129"/>
      <c r="D280" s="130"/>
      <c r="E280" s="130"/>
      <c r="F280" s="130"/>
      <c r="G280" s="130"/>
      <c r="H280" s="131"/>
      <c r="I280" s="135"/>
      <c r="J280" s="135"/>
      <c r="K280" s="135"/>
      <c r="L280" s="6"/>
      <c r="M280" s="6"/>
      <c r="N280" s="6"/>
      <c r="O280" s="6"/>
      <c r="P280" s="6"/>
      <c r="Q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</row>
    <row r="281" spans="1:77" x14ac:dyDescent="0.25">
      <c r="A281" s="4"/>
      <c r="B281" s="129"/>
      <c r="C281" s="129"/>
      <c r="D281" s="130"/>
      <c r="E281" s="130"/>
      <c r="F281" s="130"/>
      <c r="G281" s="130"/>
      <c r="H281" s="131"/>
      <c r="I281" s="135"/>
      <c r="J281" s="135"/>
      <c r="K281" s="135"/>
      <c r="L281" s="6"/>
      <c r="M281" s="6"/>
      <c r="N281" s="6"/>
      <c r="O281" s="6"/>
      <c r="P281" s="6"/>
      <c r="Q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</row>
    <row r="282" spans="1:77" x14ac:dyDescent="0.25">
      <c r="A282" s="4"/>
      <c r="B282" s="129"/>
      <c r="C282" s="129"/>
      <c r="D282" s="130"/>
      <c r="E282" s="130"/>
      <c r="F282" s="130"/>
      <c r="G282" s="130"/>
      <c r="H282" s="131"/>
      <c r="I282" s="135"/>
      <c r="J282" s="135"/>
      <c r="K282" s="135"/>
      <c r="L282" s="6"/>
      <c r="M282" s="6"/>
      <c r="N282" s="6"/>
      <c r="O282" s="6"/>
      <c r="P282" s="6"/>
      <c r="Q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</row>
    <row r="283" spans="1:77" x14ac:dyDescent="0.25">
      <c r="A283" s="4"/>
      <c r="B283" s="129"/>
      <c r="C283" s="129"/>
      <c r="D283" s="130"/>
      <c r="E283" s="130"/>
      <c r="F283" s="130"/>
      <c r="G283" s="130"/>
      <c r="H283" s="131"/>
      <c r="I283" s="135"/>
      <c r="J283" s="135"/>
      <c r="K283" s="135"/>
      <c r="L283" s="6"/>
      <c r="M283" s="6"/>
      <c r="N283" s="6"/>
      <c r="O283" s="6"/>
      <c r="P283" s="6"/>
      <c r="Q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</row>
    <row r="284" spans="1:77" x14ac:dyDescent="0.25">
      <c r="A284" s="4"/>
      <c r="B284" s="129"/>
      <c r="C284" s="129"/>
      <c r="D284" s="130"/>
      <c r="E284" s="130"/>
      <c r="F284" s="130"/>
      <c r="G284" s="130"/>
      <c r="H284" s="131"/>
      <c r="I284" s="135"/>
      <c r="J284" s="135"/>
      <c r="K284" s="135"/>
      <c r="L284" s="6"/>
      <c r="M284" s="6"/>
      <c r="N284" s="6"/>
      <c r="O284" s="6"/>
      <c r="P284" s="6"/>
      <c r="Q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</row>
    <row r="285" spans="1:77" x14ac:dyDescent="0.25">
      <c r="A285" s="4"/>
      <c r="B285" s="129"/>
      <c r="C285" s="129"/>
      <c r="D285" s="130"/>
      <c r="E285" s="130"/>
      <c r="F285" s="130"/>
      <c r="G285" s="130"/>
      <c r="H285" s="131"/>
      <c r="I285" s="135"/>
      <c r="J285" s="135"/>
      <c r="K285" s="135"/>
      <c r="L285" s="6"/>
      <c r="M285" s="6"/>
      <c r="N285" s="6"/>
      <c r="O285" s="6"/>
      <c r="P285" s="6"/>
      <c r="Q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</row>
    <row r="286" spans="1:77" x14ac:dyDescent="0.25">
      <c r="A286" s="4"/>
      <c r="B286" s="129"/>
      <c r="C286" s="129"/>
      <c r="D286" s="130"/>
      <c r="E286" s="130"/>
      <c r="F286" s="130"/>
      <c r="G286" s="130"/>
      <c r="H286" s="131"/>
      <c r="I286" s="135"/>
      <c r="J286" s="135"/>
      <c r="K286" s="135"/>
      <c r="L286" s="6"/>
      <c r="M286" s="6"/>
      <c r="N286" s="6"/>
      <c r="O286" s="6"/>
      <c r="P286" s="6"/>
      <c r="Q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</row>
    <row r="287" spans="1:77" x14ac:dyDescent="0.25">
      <c r="A287" s="4"/>
      <c r="B287" s="129"/>
      <c r="C287" s="129"/>
      <c r="D287" s="130"/>
      <c r="E287" s="130"/>
      <c r="F287" s="130"/>
      <c r="G287" s="130"/>
      <c r="H287" s="131"/>
      <c r="I287" s="135"/>
      <c r="J287" s="135"/>
      <c r="K287" s="135"/>
      <c r="L287" s="6"/>
      <c r="M287" s="6"/>
      <c r="N287" s="6"/>
      <c r="O287" s="6"/>
      <c r="P287" s="6"/>
      <c r="Q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</row>
    <row r="288" spans="1:77" x14ac:dyDescent="0.25">
      <c r="A288" s="4"/>
      <c r="B288" s="129"/>
      <c r="C288" s="129"/>
      <c r="D288" s="130"/>
      <c r="E288" s="130"/>
      <c r="F288" s="130"/>
      <c r="G288" s="130"/>
      <c r="H288" s="131"/>
      <c r="I288" s="135"/>
      <c r="J288" s="135"/>
      <c r="K288" s="135"/>
      <c r="L288" s="6"/>
      <c r="M288" s="6"/>
      <c r="N288" s="6"/>
      <c r="O288" s="6"/>
      <c r="P288" s="6"/>
      <c r="Q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</row>
    <row r="289" spans="1:77" x14ac:dyDescent="0.25">
      <c r="A289" s="4"/>
      <c r="B289" s="129"/>
      <c r="C289" s="129"/>
      <c r="D289" s="130"/>
      <c r="E289" s="130"/>
      <c r="F289" s="130"/>
      <c r="G289" s="130"/>
      <c r="H289" s="131"/>
      <c r="I289" s="135"/>
      <c r="J289" s="135"/>
      <c r="K289" s="135"/>
      <c r="L289" s="6"/>
      <c r="M289" s="6"/>
      <c r="N289" s="6"/>
      <c r="O289" s="6"/>
      <c r="P289" s="6"/>
      <c r="Q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</row>
    <row r="290" spans="1:77" x14ac:dyDescent="0.25">
      <c r="A290" s="4"/>
      <c r="B290" s="129"/>
      <c r="C290" s="129"/>
      <c r="D290" s="130"/>
      <c r="E290" s="130"/>
      <c r="F290" s="130"/>
      <c r="G290" s="130"/>
      <c r="H290" s="131"/>
      <c r="I290" s="135"/>
      <c r="J290" s="135"/>
      <c r="K290" s="135"/>
      <c r="L290" s="6"/>
      <c r="M290" s="6"/>
      <c r="N290" s="6"/>
      <c r="O290" s="6"/>
      <c r="P290" s="6"/>
      <c r="Q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</row>
    <row r="291" spans="1:77" x14ac:dyDescent="0.25">
      <c r="A291" s="4"/>
      <c r="B291" s="129"/>
      <c r="C291" s="129"/>
      <c r="D291" s="130"/>
      <c r="E291" s="130"/>
      <c r="F291" s="130"/>
      <c r="G291" s="130"/>
      <c r="H291" s="131"/>
      <c r="I291" s="135"/>
      <c r="J291" s="135"/>
      <c r="K291" s="135"/>
      <c r="L291" s="6"/>
      <c r="M291" s="6"/>
      <c r="N291" s="6"/>
      <c r="O291" s="6"/>
      <c r="P291" s="6"/>
      <c r="Q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</row>
    <row r="292" spans="1:77" x14ac:dyDescent="0.25">
      <c r="A292" s="4"/>
      <c r="B292" s="129"/>
      <c r="C292" s="129"/>
      <c r="D292" s="130"/>
      <c r="E292" s="130"/>
      <c r="F292" s="130"/>
      <c r="G292" s="130"/>
      <c r="H292" s="131"/>
      <c r="I292" s="135"/>
      <c r="J292" s="135"/>
      <c r="K292" s="135"/>
      <c r="L292" s="6"/>
      <c r="M292" s="6"/>
      <c r="N292" s="6"/>
      <c r="O292" s="6"/>
      <c r="P292" s="6"/>
      <c r="Q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</row>
    <row r="293" spans="1:77" x14ac:dyDescent="0.25">
      <c r="A293" s="4"/>
      <c r="B293" s="129"/>
      <c r="C293" s="129"/>
      <c r="D293" s="130"/>
      <c r="E293" s="130"/>
      <c r="F293" s="130"/>
      <c r="G293" s="130"/>
      <c r="H293" s="131"/>
      <c r="I293" s="135"/>
      <c r="J293" s="135"/>
      <c r="K293" s="135"/>
      <c r="L293" s="6"/>
      <c r="M293" s="6"/>
      <c r="N293" s="6"/>
      <c r="O293" s="6"/>
      <c r="P293" s="6"/>
      <c r="Q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</row>
    <row r="294" spans="1:77" x14ac:dyDescent="0.25">
      <c r="A294" s="4"/>
      <c r="B294" s="129"/>
      <c r="C294" s="129"/>
      <c r="D294" s="130"/>
      <c r="E294" s="130"/>
      <c r="F294" s="130"/>
      <c r="G294" s="130"/>
      <c r="H294" s="131"/>
      <c r="I294" s="135"/>
      <c r="J294" s="135"/>
      <c r="K294" s="135"/>
      <c r="L294" s="6"/>
      <c r="M294" s="6"/>
      <c r="N294" s="6"/>
      <c r="O294" s="6"/>
      <c r="P294" s="6"/>
      <c r="Q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</row>
    <row r="295" spans="1:77" x14ac:dyDescent="0.25">
      <c r="A295" s="4"/>
      <c r="B295" s="129"/>
      <c r="C295" s="129"/>
      <c r="D295" s="130"/>
      <c r="E295" s="130"/>
      <c r="F295" s="130"/>
      <c r="G295" s="130"/>
      <c r="H295" s="131"/>
      <c r="I295" s="135"/>
      <c r="J295" s="135"/>
      <c r="K295" s="135"/>
      <c r="L295" s="6"/>
      <c r="M295" s="6"/>
      <c r="N295" s="6"/>
      <c r="O295" s="6"/>
      <c r="P295" s="6"/>
      <c r="Q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</row>
    <row r="296" spans="1:77" x14ac:dyDescent="0.25">
      <c r="A296" s="4"/>
      <c r="B296" s="129"/>
      <c r="C296" s="129"/>
      <c r="D296" s="130"/>
      <c r="E296" s="130"/>
      <c r="F296" s="130"/>
      <c r="G296" s="130"/>
      <c r="H296" s="131"/>
      <c r="I296" s="135"/>
      <c r="J296" s="135"/>
      <c r="K296" s="135"/>
      <c r="L296" s="6"/>
      <c r="M296" s="6"/>
      <c r="N296" s="6"/>
      <c r="O296" s="6"/>
      <c r="P296" s="6"/>
      <c r="Q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</row>
    <row r="297" spans="1:77" x14ac:dyDescent="0.25">
      <c r="A297" s="4"/>
      <c r="B297" s="129"/>
      <c r="C297" s="129"/>
      <c r="D297" s="130"/>
      <c r="E297" s="130"/>
      <c r="F297" s="130"/>
      <c r="G297" s="130"/>
      <c r="H297" s="131"/>
      <c r="I297" s="135"/>
      <c r="J297" s="135"/>
      <c r="K297" s="135"/>
      <c r="L297" s="6"/>
      <c r="M297" s="6"/>
      <c r="N297" s="6"/>
      <c r="O297" s="6"/>
      <c r="P297" s="6"/>
      <c r="Q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</row>
    <row r="298" spans="1:77" x14ac:dyDescent="0.25">
      <c r="A298" s="4"/>
      <c r="B298" s="129"/>
      <c r="C298" s="129"/>
      <c r="D298" s="130"/>
      <c r="E298" s="130"/>
      <c r="F298" s="130"/>
      <c r="G298" s="130"/>
      <c r="H298" s="131"/>
      <c r="I298" s="135"/>
      <c r="J298" s="135"/>
      <c r="K298" s="135"/>
      <c r="L298" s="6"/>
      <c r="M298" s="6"/>
      <c r="N298" s="6"/>
      <c r="O298" s="6"/>
      <c r="P298" s="6"/>
      <c r="Q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</row>
    <row r="299" spans="1:77" x14ac:dyDescent="0.25">
      <c r="A299" s="4"/>
      <c r="B299" s="129"/>
      <c r="C299" s="129"/>
      <c r="D299" s="130"/>
      <c r="E299" s="130"/>
      <c r="F299" s="130"/>
      <c r="G299" s="130"/>
      <c r="H299" s="131"/>
      <c r="I299" s="135"/>
      <c r="J299" s="135"/>
      <c r="K299" s="135"/>
      <c r="L299" s="6"/>
      <c r="M299" s="6"/>
      <c r="N299" s="6"/>
      <c r="O299" s="6"/>
      <c r="P299" s="6"/>
      <c r="Q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</row>
    <row r="300" spans="1:77" x14ac:dyDescent="0.25">
      <c r="A300" s="4"/>
      <c r="B300" s="129"/>
      <c r="C300" s="129"/>
      <c r="D300" s="130"/>
      <c r="E300" s="130"/>
      <c r="F300" s="130"/>
      <c r="G300" s="130"/>
      <c r="H300" s="131"/>
      <c r="I300" s="135"/>
      <c r="J300" s="135"/>
      <c r="K300" s="135"/>
      <c r="L300" s="6"/>
      <c r="M300" s="6"/>
      <c r="N300" s="6"/>
      <c r="O300" s="6"/>
      <c r="P300" s="6"/>
      <c r="Q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</row>
    <row r="301" spans="1:77" x14ac:dyDescent="0.25">
      <c r="A301" s="4"/>
      <c r="B301" s="129"/>
      <c r="C301" s="129"/>
      <c r="D301" s="130"/>
      <c r="E301" s="130"/>
      <c r="F301" s="130"/>
      <c r="G301" s="130"/>
      <c r="H301" s="131"/>
      <c r="I301" s="135"/>
      <c r="J301" s="135"/>
      <c r="K301" s="135"/>
      <c r="L301" s="6"/>
      <c r="M301" s="6"/>
      <c r="N301" s="6"/>
      <c r="O301" s="6"/>
      <c r="P301" s="6"/>
      <c r="Q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</row>
    <row r="302" spans="1:77" x14ac:dyDescent="0.25">
      <c r="A302" s="4"/>
      <c r="B302" s="129"/>
      <c r="C302" s="129"/>
      <c r="D302" s="130"/>
      <c r="E302" s="130"/>
      <c r="F302" s="130"/>
      <c r="G302" s="130"/>
      <c r="H302" s="131"/>
      <c r="I302" s="135"/>
      <c r="J302" s="135"/>
      <c r="K302" s="135"/>
      <c r="L302" s="6"/>
      <c r="M302" s="6"/>
      <c r="N302" s="6"/>
      <c r="O302" s="6"/>
      <c r="P302" s="6"/>
      <c r="Q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</row>
    <row r="303" spans="1:77" x14ac:dyDescent="0.25">
      <c r="A303" s="4"/>
      <c r="B303" s="129"/>
      <c r="C303" s="129"/>
      <c r="D303" s="130"/>
      <c r="E303" s="130"/>
      <c r="F303" s="130"/>
      <c r="G303" s="130"/>
      <c r="H303" s="131"/>
      <c r="I303" s="135"/>
      <c r="J303" s="135"/>
      <c r="K303" s="135"/>
      <c r="L303" s="6"/>
      <c r="M303" s="6"/>
      <c r="N303" s="6"/>
      <c r="O303" s="6"/>
      <c r="P303" s="6"/>
      <c r="Q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</row>
    <row r="304" spans="1:77" x14ac:dyDescent="0.25">
      <c r="A304" s="4"/>
      <c r="B304" s="129"/>
      <c r="C304" s="129"/>
      <c r="D304" s="130"/>
      <c r="E304" s="130"/>
      <c r="F304" s="130"/>
      <c r="G304" s="130"/>
      <c r="H304" s="131"/>
      <c r="I304" s="135"/>
      <c r="J304" s="135"/>
      <c r="K304" s="135"/>
      <c r="L304" s="6"/>
      <c r="M304" s="6"/>
      <c r="N304" s="6"/>
      <c r="O304" s="6"/>
      <c r="P304" s="6"/>
      <c r="Q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</row>
    <row r="305" spans="1:77" x14ac:dyDescent="0.25">
      <c r="A305" s="4"/>
      <c r="B305" s="129"/>
      <c r="C305" s="129"/>
      <c r="D305" s="130"/>
      <c r="E305" s="130"/>
      <c r="F305" s="130"/>
      <c r="G305" s="130"/>
      <c r="H305" s="131"/>
      <c r="I305" s="135"/>
      <c r="J305" s="135"/>
      <c r="K305" s="135"/>
      <c r="L305" s="6"/>
      <c r="M305" s="6"/>
      <c r="N305" s="6"/>
      <c r="O305" s="6"/>
      <c r="P305" s="6"/>
      <c r="Q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</row>
    <row r="306" spans="1:77" x14ac:dyDescent="0.25">
      <c r="A306" s="4"/>
      <c r="B306" s="129"/>
      <c r="C306" s="129"/>
      <c r="D306" s="130"/>
      <c r="E306" s="130"/>
      <c r="F306" s="130"/>
      <c r="G306" s="130"/>
      <c r="H306" s="131"/>
      <c r="I306" s="135"/>
      <c r="J306" s="135"/>
      <c r="K306" s="135"/>
      <c r="L306" s="6"/>
      <c r="M306" s="6"/>
      <c r="N306" s="6"/>
      <c r="O306" s="6"/>
      <c r="P306" s="6"/>
      <c r="Q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</row>
    <row r="307" spans="1:77" x14ac:dyDescent="0.25">
      <c r="A307" s="4"/>
      <c r="B307" s="129"/>
      <c r="C307" s="129"/>
      <c r="D307" s="130"/>
      <c r="E307" s="130"/>
      <c r="F307" s="130"/>
      <c r="G307" s="130"/>
      <c r="H307" s="131"/>
      <c r="I307" s="135"/>
      <c r="J307" s="135"/>
      <c r="K307" s="135"/>
      <c r="L307" s="6"/>
      <c r="M307" s="6"/>
      <c r="N307" s="6"/>
      <c r="O307" s="6"/>
      <c r="P307" s="6"/>
      <c r="Q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</row>
    <row r="308" spans="1:77" x14ac:dyDescent="0.25">
      <c r="A308" s="4"/>
      <c r="B308" s="129"/>
      <c r="C308" s="129"/>
      <c r="D308" s="130"/>
      <c r="E308" s="130"/>
      <c r="F308" s="130"/>
      <c r="G308" s="130"/>
      <c r="H308" s="131"/>
      <c r="I308" s="135"/>
      <c r="J308" s="135"/>
      <c r="K308" s="135"/>
      <c r="L308" s="6"/>
      <c r="M308" s="6"/>
      <c r="N308" s="6"/>
      <c r="O308" s="6"/>
      <c r="P308" s="6"/>
      <c r="Q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</row>
    <row r="309" spans="1:77" x14ac:dyDescent="0.25">
      <c r="A309" s="4"/>
      <c r="B309" s="129"/>
      <c r="C309" s="129"/>
      <c r="D309" s="130"/>
      <c r="E309" s="130"/>
      <c r="F309" s="130"/>
      <c r="G309" s="130"/>
      <c r="H309" s="131"/>
      <c r="I309" s="135"/>
      <c r="J309" s="135"/>
      <c r="K309" s="135"/>
      <c r="L309" s="6"/>
      <c r="M309" s="6"/>
      <c r="N309" s="6"/>
      <c r="O309" s="6"/>
      <c r="P309" s="6"/>
      <c r="Q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</row>
    <row r="310" spans="1:77" x14ac:dyDescent="0.25">
      <c r="A310" s="4"/>
      <c r="B310" s="129"/>
      <c r="C310" s="129"/>
      <c r="D310" s="130"/>
      <c r="E310" s="130"/>
      <c r="F310" s="130"/>
      <c r="G310" s="130"/>
      <c r="H310" s="131"/>
      <c r="I310" s="135"/>
      <c r="J310" s="135"/>
      <c r="K310" s="135"/>
      <c r="L310" s="6"/>
      <c r="M310" s="6"/>
      <c r="N310" s="6"/>
      <c r="O310" s="6"/>
      <c r="P310" s="6"/>
      <c r="Q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</row>
    <row r="311" spans="1:77" x14ac:dyDescent="0.25">
      <c r="A311" s="4"/>
      <c r="B311" s="129"/>
      <c r="C311" s="129"/>
      <c r="D311" s="130"/>
      <c r="E311" s="130"/>
      <c r="F311" s="130"/>
      <c r="G311" s="130"/>
      <c r="H311" s="131"/>
      <c r="I311" s="135"/>
      <c r="J311" s="135"/>
      <c r="K311" s="135"/>
      <c r="L311" s="6"/>
      <c r="M311" s="6"/>
      <c r="N311" s="6"/>
      <c r="O311" s="6"/>
      <c r="P311" s="6"/>
      <c r="Q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</row>
    <row r="312" spans="1:77" x14ac:dyDescent="0.25">
      <c r="A312" s="4"/>
      <c r="B312" s="129"/>
      <c r="C312" s="129"/>
      <c r="D312" s="130"/>
      <c r="E312" s="130"/>
      <c r="F312" s="130"/>
      <c r="G312" s="130"/>
      <c r="H312" s="131"/>
      <c r="I312" s="135"/>
      <c r="J312" s="135"/>
      <c r="K312" s="135"/>
      <c r="L312" s="6"/>
      <c r="M312" s="6"/>
      <c r="N312" s="6"/>
      <c r="O312" s="6"/>
      <c r="P312" s="6"/>
      <c r="Q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</row>
    <row r="313" spans="1:77" x14ac:dyDescent="0.25">
      <c r="A313" s="4"/>
      <c r="B313" s="129"/>
      <c r="C313" s="129"/>
      <c r="D313" s="130"/>
      <c r="E313" s="130"/>
      <c r="F313" s="130"/>
      <c r="G313" s="130"/>
      <c r="H313" s="131"/>
      <c r="I313" s="135"/>
      <c r="J313" s="135"/>
      <c r="K313" s="135"/>
      <c r="L313" s="6"/>
      <c r="M313" s="6"/>
      <c r="N313" s="6"/>
      <c r="O313" s="6"/>
      <c r="P313" s="6"/>
      <c r="Q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</row>
    <row r="314" spans="1:77" x14ac:dyDescent="0.25">
      <c r="A314" s="4"/>
      <c r="B314" s="129"/>
      <c r="C314" s="129"/>
      <c r="D314" s="130"/>
      <c r="E314" s="130"/>
      <c r="F314" s="130"/>
      <c r="G314" s="130"/>
      <c r="H314" s="131"/>
      <c r="I314" s="135"/>
      <c r="J314" s="135"/>
      <c r="K314" s="135"/>
      <c r="L314" s="6"/>
      <c r="M314" s="6"/>
      <c r="N314" s="6"/>
      <c r="O314" s="6"/>
      <c r="P314" s="6"/>
      <c r="Q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</row>
    <row r="315" spans="1:77" x14ac:dyDescent="0.25">
      <c r="A315" s="4"/>
      <c r="B315" s="129"/>
      <c r="C315" s="129"/>
      <c r="D315" s="130"/>
      <c r="E315" s="130"/>
      <c r="F315" s="130"/>
      <c r="G315" s="130"/>
      <c r="H315" s="131"/>
      <c r="I315" s="135"/>
      <c r="J315" s="135"/>
      <c r="K315" s="135"/>
      <c r="L315" s="6"/>
      <c r="M315" s="6"/>
      <c r="N315" s="6"/>
      <c r="O315" s="6"/>
      <c r="P315" s="6"/>
      <c r="Q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</row>
    <row r="316" spans="1:77" x14ac:dyDescent="0.25">
      <c r="A316" s="4"/>
      <c r="B316" s="129"/>
      <c r="C316" s="129"/>
      <c r="D316" s="130"/>
      <c r="E316" s="130"/>
      <c r="F316" s="130"/>
      <c r="G316" s="130"/>
      <c r="H316" s="131"/>
      <c r="I316" s="135"/>
      <c r="J316" s="135"/>
      <c r="K316" s="135"/>
      <c r="L316" s="6"/>
      <c r="M316" s="6"/>
      <c r="N316" s="6"/>
      <c r="O316" s="6"/>
      <c r="P316" s="6"/>
      <c r="Q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</row>
    <row r="317" spans="1:77" x14ac:dyDescent="0.25">
      <c r="A317" s="4"/>
      <c r="B317" s="129"/>
      <c r="C317" s="129"/>
      <c r="D317" s="130"/>
      <c r="E317" s="130"/>
      <c r="F317" s="130"/>
      <c r="G317" s="130"/>
      <c r="H317" s="131"/>
      <c r="I317" s="135"/>
      <c r="J317" s="135"/>
      <c r="K317" s="135"/>
      <c r="L317" s="6"/>
      <c r="M317" s="6"/>
      <c r="N317" s="6"/>
      <c r="O317" s="6"/>
      <c r="P317" s="6"/>
      <c r="Q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</row>
    <row r="318" spans="1:77" x14ac:dyDescent="0.25">
      <c r="A318" s="4"/>
      <c r="B318" s="129"/>
      <c r="C318" s="129"/>
      <c r="D318" s="130"/>
      <c r="E318" s="130"/>
      <c r="F318" s="130"/>
      <c r="G318" s="130"/>
      <c r="H318" s="131"/>
      <c r="I318" s="135"/>
      <c r="J318" s="135"/>
      <c r="K318" s="135"/>
      <c r="L318" s="6"/>
      <c r="M318" s="6"/>
      <c r="N318" s="6"/>
      <c r="O318" s="6"/>
      <c r="P318" s="6"/>
      <c r="Q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</row>
    <row r="319" spans="1:77" x14ac:dyDescent="0.25">
      <c r="A319" s="4"/>
      <c r="B319" s="129"/>
      <c r="C319" s="129"/>
      <c r="D319" s="130"/>
      <c r="E319" s="130"/>
      <c r="F319" s="130"/>
      <c r="G319" s="130"/>
      <c r="H319" s="131"/>
      <c r="I319" s="135"/>
      <c r="J319" s="135"/>
      <c r="K319" s="135"/>
      <c r="L319" s="6"/>
      <c r="M319" s="6"/>
      <c r="N319" s="6"/>
      <c r="O319" s="6"/>
      <c r="P319" s="6"/>
      <c r="Q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</row>
    <row r="320" spans="1:77" x14ac:dyDescent="0.25">
      <c r="A320" s="4"/>
      <c r="B320" s="129"/>
      <c r="C320" s="129"/>
      <c r="D320" s="130"/>
      <c r="E320" s="130"/>
      <c r="F320" s="130"/>
      <c r="G320" s="130"/>
      <c r="H320" s="131"/>
      <c r="I320" s="135"/>
      <c r="J320" s="135"/>
      <c r="K320" s="135"/>
      <c r="L320" s="6"/>
      <c r="M320" s="6"/>
      <c r="N320" s="6"/>
      <c r="O320" s="6"/>
      <c r="P320" s="6"/>
      <c r="Q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</row>
    <row r="321" spans="1:77" x14ac:dyDescent="0.25">
      <c r="A321" s="4"/>
      <c r="B321" s="129"/>
      <c r="C321" s="129"/>
      <c r="D321" s="130"/>
      <c r="E321" s="130"/>
      <c r="F321" s="130"/>
      <c r="G321" s="130"/>
      <c r="H321" s="131"/>
      <c r="I321" s="135"/>
      <c r="J321" s="135"/>
      <c r="K321" s="135"/>
      <c r="L321" s="6"/>
      <c r="M321" s="6"/>
      <c r="N321" s="6"/>
      <c r="O321" s="6"/>
      <c r="P321" s="6"/>
      <c r="Q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</row>
    <row r="322" spans="1:77" x14ac:dyDescent="0.25">
      <c r="A322" s="4"/>
      <c r="B322" s="129"/>
      <c r="C322" s="129"/>
      <c r="D322" s="130"/>
      <c r="E322" s="130"/>
      <c r="F322" s="130"/>
      <c r="G322" s="130"/>
      <c r="H322" s="131"/>
      <c r="I322" s="135"/>
      <c r="J322" s="135"/>
      <c r="K322" s="135"/>
      <c r="L322" s="6"/>
      <c r="M322" s="6"/>
      <c r="N322" s="6"/>
      <c r="O322" s="6"/>
      <c r="P322" s="6"/>
      <c r="Q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</row>
    <row r="323" spans="1:77" x14ac:dyDescent="0.25">
      <c r="A323" s="4"/>
      <c r="B323" s="129"/>
      <c r="C323" s="129"/>
      <c r="D323" s="130"/>
      <c r="E323" s="130"/>
      <c r="F323" s="130"/>
      <c r="G323" s="130"/>
      <c r="H323" s="131"/>
      <c r="I323" s="135"/>
      <c r="J323" s="135"/>
      <c r="K323" s="135"/>
      <c r="L323" s="6"/>
      <c r="M323" s="6"/>
      <c r="N323" s="6"/>
      <c r="O323" s="6"/>
      <c r="P323" s="6"/>
      <c r="Q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</row>
    <row r="324" spans="1:77" x14ac:dyDescent="0.25">
      <c r="A324" s="4"/>
      <c r="B324" s="129"/>
      <c r="C324" s="129"/>
      <c r="D324" s="130"/>
      <c r="E324" s="130"/>
      <c r="F324" s="130"/>
      <c r="G324" s="130"/>
      <c r="H324" s="131"/>
      <c r="I324" s="135"/>
      <c r="J324" s="135"/>
      <c r="K324" s="135"/>
      <c r="L324" s="6"/>
      <c r="M324" s="6"/>
      <c r="N324" s="6"/>
      <c r="O324" s="6"/>
      <c r="P324" s="6"/>
      <c r="Q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</row>
    <row r="325" spans="1:77" x14ac:dyDescent="0.25">
      <c r="A325" s="4"/>
      <c r="B325" s="129"/>
      <c r="C325" s="129"/>
      <c r="D325" s="130"/>
      <c r="E325" s="130"/>
      <c r="F325" s="130"/>
      <c r="G325" s="130"/>
      <c r="H325" s="131"/>
      <c r="I325" s="135"/>
      <c r="J325" s="135"/>
      <c r="K325" s="135"/>
      <c r="L325" s="6"/>
      <c r="M325" s="6"/>
      <c r="N325" s="6"/>
      <c r="O325" s="6"/>
      <c r="P325" s="6"/>
      <c r="Q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</row>
    <row r="326" spans="1:77" x14ac:dyDescent="0.25">
      <c r="A326" s="4"/>
      <c r="B326" s="129"/>
      <c r="C326" s="129"/>
      <c r="D326" s="130"/>
      <c r="E326" s="130"/>
      <c r="F326" s="130"/>
      <c r="G326" s="130"/>
      <c r="H326" s="131"/>
      <c r="I326" s="135"/>
      <c r="J326" s="135"/>
      <c r="K326" s="135"/>
      <c r="L326" s="6"/>
      <c r="M326" s="6"/>
      <c r="N326" s="6"/>
      <c r="O326" s="6"/>
      <c r="P326" s="6"/>
      <c r="Q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</row>
    <row r="327" spans="1:77" x14ac:dyDescent="0.25">
      <c r="A327" s="4"/>
      <c r="B327" s="129"/>
      <c r="C327" s="129"/>
      <c r="D327" s="130"/>
      <c r="E327" s="130"/>
      <c r="F327" s="130"/>
      <c r="G327" s="130"/>
      <c r="H327" s="131"/>
      <c r="I327" s="135"/>
      <c r="J327" s="135"/>
      <c r="K327" s="135"/>
      <c r="L327" s="6"/>
      <c r="M327" s="6"/>
      <c r="N327" s="6"/>
      <c r="O327" s="6"/>
      <c r="P327" s="6"/>
      <c r="Q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</row>
    <row r="328" spans="1:77" x14ac:dyDescent="0.25">
      <c r="A328" s="4"/>
      <c r="B328" s="129"/>
      <c r="C328" s="129"/>
      <c r="D328" s="130"/>
      <c r="E328" s="130"/>
      <c r="F328" s="130"/>
      <c r="G328" s="130"/>
      <c r="H328" s="131"/>
      <c r="I328" s="135"/>
      <c r="J328" s="135"/>
      <c r="K328" s="135"/>
      <c r="L328" s="6"/>
      <c r="M328" s="6"/>
      <c r="N328" s="6"/>
      <c r="O328" s="6"/>
      <c r="P328" s="6"/>
      <c r="Q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</row>
    <row r="329" spans="1:77" x14ac:dyDescent="0.25">
      <c r="A329" s="4"/>
      <c r="B329" s="129"/>
      <c r="C329" s="129"/>
      <c r="D329" s="130"/>
      <c r="E329" s="130"/>
      <c r="F329" s="130"/>
      <c r="G329" s="130"/>
      <c r="H329" s="131"/>
      <c r="I329" s="135"/>
      <c r="J329" s="135"/>
      <c r="K329" s="135"/>
      <c r="L329" s="6"/>
      <c r="M329" s="6"/>
      <c r="N329" s="6"/>
      <c r="O329" s="6"/>
      <c r="P329" s="6"/>
      <c r="Q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</row>
    <row r="330" spans="1:77" x14ac:dyDescent="0.25">
      <c r="A330" s="4"/>
      <c r="B330" s="129"/>
      <c r="C330" s="135"/>
      <c r="D330" s="130"/>
      <c r="E330" s="130"/>
      <c r="F330" s="130"/>
      <c r="G330" s="129"/>
      <c r="H330" s="131"/>
      <c r="I330" s="135"/>
      <c r="J330" s="135"/>
      <c r="K330" s="135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</row>
    <row r="331" spans="1:77" x14ac:dyDescent="0.25">
      <c r="A331" s="4"/>
      <c r="B331" s="129"/>
      <c r="C331" s="135"/>
      <c r="D331" s="130"/>
      <c r="E331" s="130"/>
      <c r="F331" s="130"/>
      <c r="G331" s="129"/>
      <c r="H331" s="131"/>
      <c r="I331" s="135"/>
      <c r="J331" s="135"/>
      <c r="K331" s="135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</row>
    <row r="332" spans="1:77" x14ac:dyDescent="0.25">
      <c r="A332" s="4"/>
      <c r="B332" s="129"/>
      <c r="C332" s="135"/>
      <c r="D332" s="130"/>
      <c r="E332" s="130"/>
      <c r="F332" s="130"/>
      <c r="G332" s="129"/>
      <c r="H332" s="131"/>
      <c r="I332" s="135"/>
      <c r="J332" s="135"/>
      <c r="K332" s="135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</row>
    <row r="333" spans="1:77" x14ac:dyDescent="0.25">
      <c r="A333" s="4"/>
      <c r="B333" s="129"/>
      <c r="C333" s="135"/>
      <c r="D333" s="130"/>
      <c r="E333" s="130"/>
      <c r="F333" s="130"/>
      <c r="G333" s="129"/>
      <c r="H333" s="131"/>
      <c r="I333" s="135"/>
      <c r="J333" s="135"/>
      <c r="K333" s="135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</row>
    <row r="334" spans="1:77" x14ac:dyDescent="0.25">
      <c r="A334" s="4"/>
      <c r="B334" s="129"/>
      <c r="C334" s="135"/>
      <c r="D334" s="130"/>
      <c r="E334" s="130"/>
      <c r="F334" s="130"/>
      <c r="G334" s="129"/>
      <c r="H334" s="131"/>
      <c r="I334" s="135"/>
      <c r="J334" s="135"/>
      <c r="K334" s="135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</row>
    <row r="335" spans="1:77" x14ac:dyDescent="0.25">
      <c r="A335" s="4"/>
      <c r="B335" s="129"/>
      <c r="C335" s="135"/>
      <c r="D335" s="130"/>
      <c r="E335" s="130"/>
      <c r="F335" s="130"/>
      <c r="G335" s="129"/>
      <c r="H335" s="131"/>
      <c r="I335" s="135"/>
      <c r="J335" s="135"/>
      <c r="K335" s="135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</row>
    <row r="336" spans="1:77" x14ac:dyDescent="0.25">
      <c r="A336" s="4"/>
      <c r="B336" s="129"/>
      <c r="C336" s="135"/>
      <c r="D336" s="130"/>
      <c r="E336" s="130"/>
      <c r="F336" s="130"/>
      <c r="G336" s="129"/>
      <c r="H336" s="131"/>
      <c r="I336" s="135"/>
      <c r="J336" s="135"/>
      <c r="K336" s="135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</row>
    <row r="337" spans="1:77" x14ac:dyDescent="0.25">
      <c r="A337" s="4"/>
      <c r="B337" s="129"/>
      <c r="C337" s="135"/>
      <c r="D337" s="130"/>
      <c r="E337" s="130"/>
      <c r="F337" s="130"/>
      <c r="G337" s="129"/>
      <c r="H337" s="131"/>
      <c r="I337" s="135"/>
      <c r="J337" s="135"/>
      <c r="K337" s="135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</row>
    <row r="338" spans="1:77" x14ac:dyDescent="0.25">
      <c r="A338" s="4"/>
      <c r="B338" s="129"/>
      <c r="C338" s="135"/>
      <c r="D338" s="130"/>
      <c r="E338" s="130"/>
      <c r="F338" s="130"/>
      <c r="G338" s="129"/>
      <c r="H338" s="131"/>
      <c r="I338" s="135"/>
      <c r="J338" s="135"/>
      <c r="K338" s="135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</row>
    <row r="339" spans="1:77" x14ac:dyDescent="0.25">
      <c r="A339" s="4"/>
      <c r="B339" s="129"/>
      <c r="C339" s="135"/>
      <c r="D339" s="130"/>
      <c r="E339" s="130"/>
      <c r="F339" s="130"/>
      <c r="G339" s="129"/>
      <c r="H339" s="131"/>
      <c r="I339" s="135"/>
      <c r="J339" s="135"/>
      <c r="K339" s="135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</row>
    <row r="340" spans="1:77" x14ac:dyDescent="0.25">
      <c r="A340" s="4"/>
      <c r="B340" s="129"/>
      <c r="C340" s="135"/>
      <c r="D340" s="130"/>
      <c r="E340" s="130"/>
      <c r="F340" s="130"/>
      <c r="G340" s="129"/>
      <c r="H340" s="131"/>
      <c r="I340" s="135"/>
      <c r="J340" s="135"/>
      <c r="K340" s="135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</row>
    <row r="341" spans="1:77" x14ac:dyDescent="0.25">
      <c r="A341" s="4"/>
      <c r="B341" s="129"/>
      <c r="C341" s="135"/>
      <c r="D341" s="130"/>
      <c r="E341" s="130"/>
      <c r="F341" s="130"/>
      <c r="G341" s="129"/>
      <c r="H341" s="131"/>
      <c r="I341" s="135"/>
      <c r="J341" s="135"/>
      <c r="K341" s="135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6"/>
      <c r="BM341" s="6"/>
      <c r="BN341" s="6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</row>
    <row r="342" spans="1:77" x14ac:dyDescent="0.25">
      <c r="A342" s="4"/>
      <c r="B342" s="129"/>
      <c r="C342" s="135"/>
      <c r="D342" s="130"/>
      <c r="E342" s="130"/>
      <c r="F342" s="130"/>
      <c r="G342" s="129"/>
      <c r="H342" s="131"/>
      <c r="I342" s="135"/>
      <c r="J342" s="135"/>
      <c r="K342" s="135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6"/>
      <c r="BM342" s="6"/>
      <c r="BN342" s="6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</row>
    <row r="343" spans="1:77" x14ac:dyDescent="0.25">
      <c r="A343" s="4"/>
      <c r="B343" s="129"/>
      <c r="C343" s="135"/>
      <c r="D343" s="130"/>
      <c r="E343" s="130"/>
      <c r="F343" s="130"/>
      <c r="G343" s="129"/>
      <c r="H343" s="131"/>
      <c r="I343" s="135"/>
      <c r="J343" s="135"/>
      <c r="K343" s="135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</row>
    <row r="344" spans="1:77" x14ac:dyDescent="0.25">
      <c r="A344" s="4"/>
      <c r="B344" s="129"/>
      <c r="C344" s="135"/>
      <c r="D344" s="130"/>
      <c r="E344" s="130"/>
      <c r="F344" s="130"/>
      <c r="G344" s="129"/>
      <c r="H344" s="131"/>
      <c r="I344" s="135"/>
      <c r="J344" s="135"/>
      <c r="K344" s="135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</row>
    <row r="345" spans="1:77" x14ac:dyDescent="0.25">
      <c r="A345" s="4"/>
      <c r="B345" s="129"/>
      <c r="C345" s="135"/>
      <c r="D345" s="130"/>
      <c r="E345" s="130"/>
      <c r="F345" s="130"/>
      <c r="G345" s="129"/>
      <c r="H345" s="131"/>
      <c r="I345" s="135"/>
      <c r="J345" s="135"/>
      <c r="K345" s="135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</row>
    <row r="346" spans="1:77" x14ac:dyDescent="0.25">
      <c r="A346" s="4"/>
      <c r="B346" s="129"/>
      <c r="C346" s="135"/>
      <c r="D346" s="130"/>
      <c r="E346" s="130"/>
      <c r="F346" s="130"/>
      <c r="G346" s="129"/>
      <c r="H346" s="131"/>
      <c r="I346" s="135"/>
      <c r="J346" s="135"/>
      <c r="K346" s="135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</row>
    <row r="347" spans="1:77" x14ac:dyDescent="0.25">
      <c r="A347" s="4"/>
      <c r="B347" s="129"/>
      <c r="C347" s="135"/>
      <c r="D347" s="130"/>
      <c r="E347" s="130"/>
      <c r="F347" s="130"/>
      <c r="G347" s="129"/>
      <c r="H347" s="131"/>
      <c r="I347" s="135"/>
      <c r="J347" s="135"/>
      <c r="K347" s="135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</row>
    <row r="348" spans="1:77" x14ac:dyDescent="0.25">
      <c r="A348" s="4"/>
      <c r="B348" s="129"/>
      <c r="C348" s="135"/>
      <c r="D348" s="130"/>
      <c r="E348" s="130"/>
      <c r="F348" s="130"/>
      <c r="G348" s="129"/>
      <c r="H348" s="131"/>
      <c r="I348" s="135"/>
      <c r="J348" s="135"/>
      <c r="K348" s="135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</row>
    <row r="349" spans="1:77" x14ac:dyDescent="0.25">
      <c r="A349" s="4"/>
      <c r="B349" s="129"/>
      <c r="C349" s="135"/>
      <c r="D349" s="130"/>
      <c r="E349" s="130"/>
      <c r="F349" s="130"/>
      <c r="G349" s="129"/>
      <c r="H349" s="131"/>
      <c r="I349" s="135"/>
      <c r="J349" s="135"/>
      <c r="K349" s="135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</row>
    <row r="350" spans="1:77" x14ac:dyDescent="0.25">
      <c r="A350" s="4"/>
      <c r="B350" s="129"/>
      <c r="C350" s="135"/>
      <c r="D350" s="130"/>
      <c r="E350" s="130"/>
      <c r="F350" s="130"/>
      <c r="G350" s="129"/>
      <c r="H350" s="131"/>
      <c r="I350" s="135"/>
      <c r="J350" s="135"/>
      <c r="K350" s="135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</row>
    <row r="351" spans="1:77" x14ac:dyDescent="0.25">
      <c r="A351" s="4"/>
      <c r="B351" s="129"/>
      <c r="C351" s="135"/>
      <c r="D351" s="130"/>
      <c r="E351" s="130"/>
      <c r="F351" s="130"/>
      <c r="G351" s="129"/>
      <c r="H351" s="131"/>
      <c r="I351" s="135"/>
      <c r="J351" s="135"/>
      <c r="K351" s="135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</row>
    <row r="352" spans="1:77" x14ac:dyDescent="0.25">
      <c r="A352" s="4"/>
      <c r="B352" s="129"/>
      <c r="C352" s="135"/>
      <c r="D352" s="130"/>
      <c r="E352" s="130"/>
      <c r="F352" s="130"/>
      <c r="G352" s="129"/>
      <c r="H352" s="131"/>
      <c r="I352" s="135"/>
      <c r="J352" s="135"/>
      <c r="K352" s="135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</row>
    <row r="353" spans="1:77" x14ac:dyDescent="0.25">
      <c r="A353" s="4"/>
      <c r="B353" s="129"/>
      <c r="C353" s="135"/>
      <c r="D353" s="130"/>
      <c r="E353" s="130"/>
      <c r="F353" s="130"/>
      <c r="G353" s="129"/>
      <c r="H353" s="131"/>
      <c r="I353" s="135"/>
      <c r="J353" s="135"/>
      <c r="K353" s="135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</row>
    <row r="354" spans="1:77" x14ac:dyDescent="0.25">
      <c r="A354" s="4"/>
      <c r="B354" s="129"/>
      <c r="C354" s="135"/>
      <c r="D354" s="130"/>
      <c r="E354" s="130"/>
      <c r="F354" s="130"/>
      <c r="G354" s="129"/>
      <c r="H354" s="131"/>
      <c r="I354" s="135"/>
      <c r="J354" s="135"/>
      <c r="K354" s="135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</row>
    <row r="355" spans="1:77" x14ac:dyDescent="0.25">
      <c r="A355" s="4"/>
      <c r="B355" s="129"/>
      <c r="C355" s="135"/>
      <c r="D355" s="130"/>
      <c r="E355" s="130"/>
      <c r="F355" s="130"/>
      <c r="G355" s="129"/>
      <c r="H355" s="131"/>
      <c r="I355" s="135"/>
      <c r="J355" s="135"/>
      <c r="K355" s="135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</row>
    <row r="356" spans="1:77" x14ac:dyDescent="0.25">
      <c r="A356" s="4"/>
      <c r="B356" s="129"/>
      <c r="C356" s="135"/>
      <c r="D356" s="130"/>
      <c r="E356" s="130"/>
      <c r="F356" s="130"/>
      <c r="G356" s="129"/>
      <c r="H356" s="131"/>
      <c r="I356" s="135"/>
      <c r="J356" s="135"/>
      <c r="K356" s="135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</row>
    <row r="357" spans="1:77" x14ac:dyDescent="0.25">
      <c r="A357" s="4"/>
      <c r="B357" s="129"/>
      <c r="C357" s="135"/>
      <c r="D357" s="130"/>
      <c r="E357" s="130"/>
      <c r="F357" s="130"/>
      <c r="G357" s="129"/>
      <c r="H357" s="131"/>
      <c r="I357" s="135"/>
      <c r="J357" s="135"/>
      <c r="K357" s="135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</row>
    <row r="358" spans="1:77" x14ac:dyDescent="0.25">
      <c r="A358" s="4"/>
      <c r="B358" s="129"/>
      <c r="C358" s="135"/>
      <c r="D358" s="130"/>
      <c r="E358" s="130"/>
      <c r="F358" s="130"/>
      <c r="G358" s="129"/>
      <c r="H358" s="131"/>
      <c r="I358" s="135"/>
      <c r="J358" s="135"/>
      <c r="K358" s="135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</row>
    <row r="359" spans="1:77" x14ac:dyDescent="0.25">
      <c r="A359" s="4"/>
      <c r="B359" s="129"/>
      <c r="C359" s="135"/>
      <c r="D359" s="130"/>
      <c r="E359" s="130"/>
      <c r="F359" s="130"/>
      <c r="G359" s="129"/>
      <c r="H359" s="131"/>
      <c r="I359" s="135"/>
      <c r="J359" s="135"/>
      <c r="K359" s="135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</row>
    <row r="360" spans="1:77" x14ac:dyDescent="0.25">
      <c r="A360" s="4"/>
      <c r="B360" s="129"/>
      <c r="C360" s="135"/>
      <c r="D360" s="130"/>
      <c r="E360" s="130"/>
      <c r="F360" s="130"/>
      <c r="G360" s="129"/>
      <c r="H360" s="131"/>
      <c r="I360" s="135"/>
      <c r="J360" s="135"/>
      <c r="K360" s="135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</row>
    <row r="361" spans="1:77" x14ac:dyDescent="0.25">
      <c r="A361" s="4"/>
      <c r="B361" s="129"/>
      <c r="C361" s="135"/>
      <c r="D361" s="130"/>
      <c r="E361" s="130"/>
      <c r="F361" s="130"/>
      <c r="G361" s="129"/>
      <c r="H361" s="131"/>
      <c r="I361" s="135"/>
      <c r="J361" s="135"/>
      <c r="K361" s="135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</row>
    <row r="362" spans="1:77" x14ac:dyDescent="0.25">
      <c r="A362" s="4"/>
      <c r="B362" s="129"/>
      <c r="C362" s="135"/>
      <c r="D362" s="130"/>
      <c r="E362" s="130"/>
      <c r="F362" s="130"/>
      <c r="G362" s="129"/>
      <c r="H362" s="131"/>
      <c r="I362" s="135"/>
      <c r="J362" s="135"/>
      <c r="K362" s="135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</row>
    <row r="363" spans="1:77" x14ac:dyDescent="0.25">
      <c r="A363" s="4"/>
      <c r="B363" s="129"/>
      <c r="C363" s="135"/>
      <c r="D363" s="130"/>
      <c r="E363" s="130"/>
      <c r="F363" s="130"/>
      <c r="G363" s="129"/>
      <c r="H363" s="131"/>
      <c r="I363" s="135"/>
      <c r="J363" s="135"/>
      <c r="K363" s="135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</row>
    <row r="364" spans="1:77" x14ac:dyDescent="0.25">
      <c r="A364" s="4"/>
      <c r="B364" s="129"/>
      <c r="C364" s="135"/>
      <c r="D364" s="130"/>
      <c r="E364" s="130"/>
      <c r="F364" s="130"/>
      <c r="G364" s="129"/>
      <c r="H364" s="131"/>
      <c r="I364" s="135"/>
      <c r="J364" s="135"/>
      <c r="K364" s="135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</row>
    <row r="365" spans="1:77" x14ac:dyDescent="0.25">
      <c r="A365" s="4"/>
      <c r="B365" s="129"/>
      <c r="C365" s="135"/>
      <c r="D365" s="130"/>
      <c r="E365" s="130"/>
      <c r="F365" s="130"/>
      <c r="G365" s="129"/>
      <c r="H365" s="131"/>
      <c r="I365" s="135"/>
      <c r="J365" s="135"/>
      <c r="K365" s="135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</row>
    <row r="366" spans="1:77" x14ac:dyDescent="0.25">
      <c r="A366" s="4"/>
      <c r="B366" s="129"/>
      <c r="C366" s="135"/>
      <c r="D366" s="130"/>
      <c r="E366" s="130"/>
      <c r="F366" s="130"/>
      <c r="G366" s="129"/>
      <c r="H366" s="131"/>
      <c r="I366" s="135"/>
      <c r="J366" s="135"/>
      <c r="K366" s="135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</row>
    <row r="367" spans="1:77" x14ac:dyDescent="0.25">
      <c r="A367" s="4"/>
      <c r="B367" s="129"/>
      <c r="C367" s="135"/>
      <c r="D367" s="130"/>
      <c r="E367" s="130"/>
      <c r="F367" s="130"/>
      <c r="G367" s="129"/>
      <c r="H367" s="131"/>
      <c r="I367" s="135"/>
      <c r="J367" s="135"/>
      <c r="K367" s="135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</row>
    <row r="368" spans="1:77" x14ac:dyDescent="0.25">
      <c r="A368" s="4"/>
      <c r="B368" s="129"/>
      <c r="C368" s="135"/>
      <c r="D368" s="130"/>
      <c r="E368" s="130"/>
      <c r="F368" s="130"/>
      <c r="G368" s="129"/>
      <c r="H368" s="131"/>
      <c r="I368" s="135"/>
      <c r="J368" s="135"/>
      <c r="K368" s="135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</row>
    <row r="369" spans="1:77" x14ac:dyDescent="0.25">
      <c r="A369" s="4"/>
      <c r="B369" s="129"/>
      <c r="C369" s="135"/>
      <c r="D369" s="130"/>
      <c r="E369" s="130"/>
      <c r="F369" s="130"/>
      <c r="G369" s="129"/>
      <c r="H369" s="131"/>
      <c r="I369" s="135"/>
      <c r="J369" s="135"/>
      <c r="K369" s="135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  <c r="BL369" s="6"/>
      <c r="BM369" s="6"/>
      <c r="BN369" s="6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</row>
    <row r="370" spans="1:77" x14ac:dyDescent="0.25">
      <c r="A370" s="4"/>
      <c r="B370" s="129"/>
      <c r="C370" s="135"/>
      <c r="D370" s="130"/>
      <c r="E370" s="130"/>
      <c r="F370" s="130"/>
      <c r="G370" s="129"/>
      <c r="H370" s="131"/>
      <c r="I370" s="135"/>
      <c r="J370" s="135"/>
      <c r="K370" s="135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  <c r="BL370" s="6"/>
      <c r="BM370" s="6"/>
      <c r="BN370" s="6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</row>
    <row r="371" spans="1:77" x14ac:dyDescent="0.25">
      <c r="A371" s="4"/>
      <c r="B371" s="129"/>
      <c r="C371" s="135"/>
      <c r="D371" s="130"/>
      <c r="E371" s="130"/>
      <c r="F371" s="130"/>
      <c r="G371" s="129"/>
      <c r="H371" s="131"/>
      <c r="I371" s="135"/>
      <c r="J371" s="135"/>
      <c r="K371" s="135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</row>
    <row r="372" spans="1:77" x14ac:dyDescent="0.25">
      <c r="A372" s="4"/>
      <c r="B372" s="129"/>
      <c r="C372" s="135"/>
      <c r="D372" s="130"/>
      <c r="E372" s="130"/>
      <c r="F372" s="130"/>
      <c r="G372" s="129"/>
      <c r="H372" s="131"/>
      <c r="I372" s="135"/>
      <c r="J372" s="135"/>
      <c r="K372" s="135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</row>
    <row r="373" spans="1:77" x14ac:dyDescent="0.25">
      <c r="A373" s="4"/>
      <c r="B373" s="129"/>
      <c r="C373" s="135"/>
      <c r="D373" s="130"/>
      <c r="E373" s="130"/>
      <c r="F373" s="130"/>
      <c r="G373" s="129"/>
      <c r="H373" s="131"/>
      <c r="I373" s="135"/>
      <c r="J373" s="135"/>
      <c r="K373" s="135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  <c r="BL373" s="6"/>
      <c r="BM373" s="6"/>
      <c r="BN373" s="6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</row>
    <row r="374" spans="1:77" x14ac:dyDescent="0.25">
      <c r="A374" s="4"/>
      <c r="B374" s="129"/>
      <c r="C374" s="135"/>
      <c r="D374" s="130"/>
      <c r="E374" s="130"/>
      <c r="F374" s="130"/>
      <c r="G374" s="129"/>
      <c r="H374" s="131"/>
      <c r="I374" s="135"/>
      <c r="J374" s="135"/>
      <c r="K374" s="135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  <c r="BL374" s="6"/>
      <c r="BM374" s="6"/>
      <c r="BN374" s="6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</row>
    <row r="375" spans="1:77" x14ac:dyDescent="0.25">
      <c r="A375" s="4"/>
      <c r="B375" s="129"/>
      <c r="C375" s="135"/>
      <c r="D375" s="130"/>
      <c r="E375" s="130"/>
      <c r="F375" s="130"/>
      <c r="G375" s="129"/>
      <c r="H375" s="131"/>
      <c r="I375" s="135"/>
      <c r="J375" s="135"/>
      <c r="K375" s="135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  <c r="BL375" s="6"/>
      <c r="BM375" s="6"/>
      <c r="BN375" s="6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</row>
    <row r="376" spans="1:77" x14ac:dyDescent="0.25">
      <c r="A376" s="4"/>
      <c r="B376" s="129"/>
      <c r="C376" s="135"/>
      <c r="D376" s="130"/>
      <c r="E376" s="130"/>
      <c r="F376" s="130"/>
      <c r="G376" s="129"/>
      <c r="H376" s="131"/>
      <c r="I376" s="135"/>
      <c r="J376" s="135"/>
      <c r="K376" s="135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</row>
    <row r="377" spans="1:77" x14ac:dyDescent="0.25">
      <c r="A377" s="4"/>
      <c r="B377" s="129"/>
      <c r="C377" s="130"/>
      <c r="D377" s="130"/>
      <c r="E377" s="130"/>
      <c r="F377" s="130"/>
      <c r="G377" s="129"/>
      <c r="H377" s="135"/>
      <c r="I377" s="135"/>
      <c r="J377" s="135"/>
      <c r="K377" s="135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  <c r="BL377" s="6"/>
      <c r="BM377" s="6"/>
      <c r="BN377" s="6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</row>
    <row r="378" spans="1:77" x14ac:dyDescent="0.25">
      <c r="A378" s="4"/>
      <c r="B378" s="129"/>
      <c r="C378" s="130"/>
      <c r="D378" s="130"/>
      <c r="E378" s="130"/>
      <c r="F378" s="130"/>
      <c r="G378" s="129"/>
      <c r="H378" s="135"/>
      <c r="I378" s="135"/>
      <c r="J378" s="135"/>
      <c r="K378" s="135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  <c r="BL378" s="6"/>
      <c r="BM378" s="6"/>
      <c r="BN378" s="6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</row>
    <row r="379" spans="1:77" x14ac:dyDescent="0.25">
      <c r="A379" s="4"/>
      <c r="B379" s="129"/>
      <c r="C379" s="130"/>
      <c r="D379" s="130"/>
      <c r="E379" s="130"/>
      <c r="F379" s="130"/>
      <c r="G379" s="129"/>
      <c r="H379" s="135"/>
      <c r="I379" s="135"/>
      <c r="J379" s="135"/>
      <c r="K379" s="135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</row>
    <row r="380" spans="1:77" x14ac:dyDescent="0.25">
      <c r="A380" s="4"/>
      <c r="B380" s="129"/>
      <c r="C380" s="130"/>
      <c r="D380" s="130"/>
      <c r="E380" s="130"/>
      <c r="F380" s="130"/>
      <c r="G380" s="129"/>
      <c r="H380" s="135"/>
      <c r="I380" s="135"/>
      <c r="J380" s="135"/>
      <c r="K380" s="135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</row>
    <row r="381" spans="1:77" x14ac:dyDescent="0.25">
      <c r="A381" s="4"/>
      <c r="B381" s="129"/>
      <c r="C381" s="130"/>
      <c r="D381" s="130"/>
      <c r="E381" s="130"/>
      <c r="F381" s="130"/>
      <c r="G381" s="129"/>
      <c r="H381" s="135"/>
      <c r="I381" s="135"/>
      <c r="J381" s="135"/>
      <c r="K381" s="135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  <c r="BL381" s="6"/>
      <c r="BM381" s="6"/>
      <c r="BN381" s="6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</row>
    <row r="382" spans="1:77" x14ac:dyDescent="0.25">
      <c r="A382" s="4"/>
      <c r="B382" s="129"/>
      <c r="C382" s="130"/>
      <c r="D382" s="130"/>
      <c r="E382" s="130"/>
      <c r="F382" s="130"/>
      <c r="G382" s="129"/>
      <c r="H382" s="135"/>
      <c r="I382" s="135"/>
      <c r="J382" s="135"/>
      <c r="K382" s="135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  <c r="BL382" s="6"/>
      <c r="BM382" s="6"/>
      <c r="BN382" s="6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</row>
    <row r="383" spans="1:77" x14ac:dyDescent="0.25">
      <c r="A383" s="4"/>
      <c r="B383" s="129"/>
      <c r="C383" s="130"/>
      <c r="D383" s="130"/>
      <c r="E383" s="130"/>
      <c r="F383" s="130"/>
      <c r="G383" s="129"/>
      <c r="H383" s="135"/>
      <c r="I383" s="135"/>
      <c r="J383" s="135"/>
      <c r="K383" s="135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  <c r="BL383" s="6"/>
      <c r="BM383" s="6"/>
      <c r="BN383" s="6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</row>
    <row r="384" spans="1:77" x14ac:dyDescent="0.25">
      <c r="A384" s="4"/>
      <c r="B384" s="129"/>
      <c r="C384" s="130"/>
      <c r="D384" s="130"/>
      <c r="E384" s="130"/>
      <c r="F384" s="130"/>
      <c r="G384" s="129"/>
      <c r="H384" s="135"/>
      <c r="I384" s="135"/>
      <c r="J384" s="135"/>
      <c r="K384" s="135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  <c r="BL384" s="6"/>
      <c r="BM384" s="6"/>
      <c r="BN384" s="6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</row>
    <row r="385" spans="1:77" x14ac:dyDescent="0.25">
      <c r="A385" s="4"/>
      <c r="B385" s="129"/>
      <c r="C385" s="130"/>
      <c r="D385" s="130"/>
      <c r="E385" s="130"/>
      <c r="F385" s="130"/>
      <c r="G385" s="129"/>
      <c r="H385" s="135"/>
      <c r="I385" s="135"/>
      <c r="J385" s="135"/>
      <c r="K385" s="135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</row>
    <row r="386" spans="1:77" x14ac:dyDescent="0.25">
      <c r="A386" s="4"/>
      <c r="B386" s="129"/>
      <c r="C386" s="130"/>
      <c r="D386" s="130"/>
      <c r="E386" s="130"/>
      <c r="F386" s="130"/>
      <c r="G386" s="129"/>
      <c r="H386" s="135"/>
      <c r="I386" s="135"/>
      <c r="J386" s="135"/>
      <c r="K386" s="135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</row>
    <row r="387" spans="1:77" x14ac:dyDescent="0.25">
      <c r="A387" s="4"/>
      <c r="B387" s="129"/>
      <c r="C387" s="130"/>
      <c r="D387" s="130"/>
      <c r="E387" s="130"/>
      <c r="F387" s="130"/>
      <c r="G387" s="129"/>
      <c r="H387" s="135"/>
      <c r="I387" s="135"/>
      <c r="J387" s="135"/>
      <c r="K387" s="135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  <c r="BL387" s="6"/>
      <c r="BM387" s="6"/>
      <c r="BN387" s="6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</row>
    <row r="388" spans="1:77" x14ac:dyDescent="0.25">
      <c r="A388" s="4"/>
      <c r="B388" s="129"/>
      <c r="C388" s="130"/>
      <c r="D388" s="130"/>
      <c r="E388" s="130"/>
      <c r="F388" s="130"/>
      <c r="G388" s="129"/>
      <c r="H388" s="135"/>
      <c r="I388" s="135"/>
      <c r="J388" s="135"/>
      <c r="K388" s="135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  <c r="BL388" s="6"/>
      <c r="BM388" s="6"/>
      <c r="BN388" s="6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</row>
    <row r="389" spans="1:77" x14ac:dyDescent="0.25">
      <c r="A389" s="4"/>
      <c r="B389" s="129"/>
      <c r="C389" s="130"/>
      <c r="D389" s="130"/>
      <c r="E389" s="130"/>
      <c r="F389" s="130"/>
      <c r="G389" s="129"/>
      <c r="H389" s="135"/>
      <c r="I389" s="135"/>
      <c r="J389" s="135"/>
      <c r="K389" s="135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  <c r="BL389" s="6"/>
      <c r="BM389" s="6"/>
      <c r="BN389" s="6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</row>
    <row r="390" spans="1:77" x14ac:dyDescent="0.25">
      <c r="A390" s="4"/>
      <c r="B390" s="129"/>
      <c r="C390" s="130"/>
      <c r="D390" s="130"/>
      <c r="E390" s="130"/>
      <c r="F390" s="130"/>
      <c r="G390" s="129"/>
      <c r="H390" s="135"/>
      <c r="I390" s="135"/>
      <c r="J390" s="135"/>
      <c r="K390" s="135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</row>
    <row r="391" spans="1:77" x14ac:dyDescent="0.25">
      <c r="A391" s="4"/>
      <c r="B391" s="129"/>
      <c r="C391" s="130"/>
      <c r="D391" s="130"/>
      <c r="E391" s="130"/>
      <c r="F391" s="130"/>
      <c r="G391" s="129"/>
      <c r="H391" s="135"/>
      <c r="I391" s="135"/>
      <c r="J391" s="135"/>
      <c r="K391" s="135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</row>
    <row r="392" spans="1:77" x14ac:dyDescent="0.25">
      <c r="A392" s="4"/>
      <c r="B392" s="129"/>
      <c r="C392" s="130"/>
      <c r="D392" s="130"/>
      <c r="E392" s="130"/>
      <c r="F392" s="130"/>
      <c r="G392" s="129"/>
      <c r="H392" s="135"/>
      <c r="I392" s="135"/>
      <c r="J392" s="135"/>
      <c r="K392" s="135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</row>
    <row r="393" spans="1:77" x14ac:dyDescent="0.25">
      <c r="A393" s="4"/>
      <c r="B393" s="129"/>
      <c r="C393" s="130"/>
      <c r="D393" s="130"/>
      <c r="E393" s="130"/>
      <c r="F393" s="130"/>
      <c r="G393" s="129"/>
      <c r="H393" s="135"/>
      <c r="I393" s="135"/>
      <c r="J393" s="135"/>
      <c r="K393" s="135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</row>
    <row r="394" spans="1:77" x14ac:dyDescent="0.25">
      <c r="A394" s="4"/>
      <c r="B394" s="129"/>
      <c r="C394" s="130"/>
      <c r="D394" s="130"/>
      <c r="E394" s="130"/>
      <c r="F394" s="130"/>
      <c r="G394" s="129"/>
      <c r="H394" s="135"/>
      <c r="I394" s="135"/>
      <c r="J394" s="135"/>
      <c r="K394" s="135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</row>
    <row r="395" spans="1:77" x14ac:dyDescent="0.25">
      <c r="A395" s="4"/>
      <c r="B395" s="129"/>
      <c r="C395" s="130"/>
      <c r="D395" s="130"/>
      <c r="E395" s="130"/>
      <c r="F395" s="130"/>
      <c r="G395" s="129"/>
      <c r="H395" s="135"/>
      <c r="I395" s="135"/>
      <c r="J395" s="135"/>
      <c r="K395" s="135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</row>
    <row r="396" spans="1:77" x14ac:dyDescent="0.25">
      <c r="A396" s="4"/>
      <c r="B396" s="129"/>
      <c r="C396" s="130"/>
      <c r="D396" s="130"/>
      <c r="E396" s="130"/>
      <c r="F396" s="130"/>
      <c r="G396" s="129"/>
      <c r="H396" s="135"/>
      <c r="I396" s="135"/>
      <c r="J396" s="135"/>
      <c r="K396" s="135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</row>
    <row r="397" spans="1:77" x14ac:dyDescent="0.25">
      <c r="A397" s="4"/>
      <c r="B397" s="129"/>
      <c r="C397" s="130"/>
      <c r="D397" s="130"/>
      <c r="E397" s="130"/>
      <c r="F397" s="130"/>
      <c r="G397" s="129"/>
      <c r="H397" s="135"/>
      <c r="I397" s="135"/>
      <c r="J397" s="135"/>
      <c r="K397" s="135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</row>
    <row r="398" spans="1:77" x14ac:dyDescent="0.25">
      <c r="A398" s="4"/>
      <c r="B398" s="129"/>
      <c r="C398" s="130"/>
      <c r="D398" s="130"/>
      <c r="E398" s="130"/>
      <c r="F398" s="130"/>
      <c r="G398" s="129"/>
      <c r="H398" s="135"/>
      <c r="I398" s="135"/>
      <c r="J398" s="135"/>
      <c r="K398" s="135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</row>
    <row r="399" spans="1:77" x14ac:dyDescent="0.25">
      <c r="A399" s="4"/>
      <c r="B399" s="129"/>
      <c r="C399" s="130"/>
      <c r="D399" s="130"/>
      <c r="E399" s="130"/>
      <c r="F399" s="130"/>
      <c r="G399" s="129"/>
      <c r="H399" s="135"/>
      <c r="I399" s="135"/>
      <c r="J399" s="135"/>
      <c r="K399" s="135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</row>
    <row r="400" spans="1:77" x14ac:dyDescent="0.25">
      <c r="A400" s="4"/>
      <c r="B400" s="129"/>
      <c r="C400" s="130"/>
      <c r="D400" s="130"/>
      <c r="E400" s="130"/>
      <c r="F400" s="130"/>
      <c r="G400" s="129"/>
      <c r="H400" s="135"/>
      <c r="I400" s="135"/>
      <c r="J400" s="135"/>
      <c r="K400" s="135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</row>
    <row r="401" spans="1:77" x14ac:dyDescent="0.25">
      <c r="A401" s="4"/>
      <c r="B401" s="137"/>
      <c r="C401" s="130"/>
      <c r="D401" s="130"/>
      <c r="E401" s="130"/>
      <c r="F401" s="130"/>
      <c r="G401" s="129"/>
      <c r="H401" s="135"/>
      <c r="I401" s="135"/>
      <c r="J401" s="135"/>
      <c r="K401" s="135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</row>
    <row r="402" spans="1:77" x14ac:dyDescent="0.25">
      <c r="A402" s="4"/>
      <c r="B402" s="137"/>
      <c r="C402" s="130"/>
      <c r="D402" s="130"/>
      <c r="E402" s="130"/>
      <c r="F402" s="130"/>
      <c r="G402" s="129"/>
      <c r="H402" s="135"/>
      <c r="I402" s="135"/>
      <c r="J402" s="135"/>
      <c r="K402" s="135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</row>
    <row r="403" spans="1:77" x14ac:dyDescent="0.25">
      <c r="A403" s="4"/>
      <c r="B403" s="137"/>
      <c r="C403" s="130"/>
      <c r="D403" s="130"/>
      <c r="E403" s="130"/>
      <c r="F403" s="130"/>
      <c r="G403" s="129"/>
      <c r="H403" s="135"/>
      <c r="I403" s="135"/>
      <c r="J403" s="135"/>
      <c r="K403" s="135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</row>
    <row r="404" spans="1:77" x14ac:dyDescent="0.25">
      <c r="A404" s="4"/>
      <c r="B404" s="137"/>
      <c r="C404" s="130"/>
      <c r="D404" s="130"/>
      <c r="E404" s="130"/>
      <c r="F404" s="130"/>
      <c r="G404" s="129"/>
      <c r="H404" s="135"/>
      <c r="I404" s="135"/>
      <c r="J404" s="135"/>
      <c r="K404" s="135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</row>
    <row r="405" spans="1:77" x14ac:dyDescent="0.25">
      <c r="A405" s="4"/>
      <c r="B405" s="137"/>
      <c r="C405" s="130"/>
      <c r="D405" s="130"/>
      <c r="E405" s="130"/>
      <c r="F405" s="130"/>
      <c r="G405" s="129"/>
      <c r="H405" s="135"/>
      <c r="I405" s="135"/>
      <c r="J405" s="135"/>
      <c r="K405" s="135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</row>
    <row r="406" spans="1:77" x14ac:dyDescent="0.25">
      <c r="A406" s="4"/>
      <c r="B406" s="137"/>
      <c r="C406" s="130"/>
      <c r="D406" s="130"/>
      <c r="E406" s="130"/>
      <c r="F406" s="130"/>
      <c r="G406" s="129"/>
      <c r="H406" s="135"/>
      <c r="I406" s="135"/>
      <c r="J406" s="135"/>
      <c r="K406" s="135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</row>
    <row r="407" spans="1:77" x14ac:dyDescent="0.25">
      <c r="A407" s="4"/>
      <c r="B407" s="137"/>
      <c r="C407" s="130"/>
      <c r="D407" s="130"/>
      <c r="E407" s="130"/>
      <c r="F407" s="130"/>
      <c r="G407" s="129"/>
      <c r="H407" s="135"/>
      <c r="I407" s="135"/>
      <c r="J407" s="135"/>
      <c r="K407" s="135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</row>
    <row r="408" spans="1:77" x14ac:dyDescent="0.25">
      <c r="A408" s="4"/>
      <c r="B408" s="137"/>
      <c r="C408" s="130"/>
      <c r="D408" s="130"/>
      <c r="E408" s="130"/>
      <c r="F408" s="130"/>
      <c r="G408" s="129"/>
      <c r="H408" s="135"/>
      <c r="I408" s="135"/>
      <c r="J408" s="135"/>
      <c r="K408" s="135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</row>
    <row r="409" spans="1:77" x14ac:dyDescent="0.25">
      <c r="A409" s="4"/>
      <c r="B409" s="137"/>
      <c r="C409" s="130"/>
      <c r="D409" s="130"/>
      <c r="E409" s="130"/>
      <c r="F409" s="130"/>
      <c r="G409" s="129"/>
      <c r="H409" s="135"/>
      <c r="I409" s="135"/>
      <c r="J409" s="135"/>
      <c r="K409" s="135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</row>
    <row r="410" spans="1:77" x14ac:dyDescent="0.25">
      <c r="A410" s="4"/>
      <c r="B410" s="137"/>
      <c r="C410" s="130"/>
      <c r="D410" s="130"/>
      <c r="E410" s="130"/>
      <c r="F410" s="130"/>
      <c r="G410" s="129"/>
      <c r="H410" s="135"/>
      <c r="I410" s="135"/>
      <c r="J410" s="135"/>
      <c r="K410" s="135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</row>
    <row r="411" spans="1:77" x14ac:dyDescent="0.25">
      <c r="A411" s="4"/>
      <c r="B411" s="137"/>
      <c r="C411" s="130"/>
      <c r="D411" s="130"/>
      <c r="E411" s="130"/>
      <c r="F411" s="130"/>
      <c r="G411" s="129"/>
      <c r="H411" s="135"/>
      <c r="I411" s="135"/>
      <c r="J411" s="135"/>
      <c r="K411" s="135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</row>
    <row r="412" spans="1:77" x14ac:dyDescent="0.25">
      <c r="A412" s="4"/>
      <c r="B412" s="137"/>
      <c r="C412" s="130"/>
      <c r="D412" s="130"/>
      <c r="E412" s="130"/>
      <c r="F412" s="130"/>
      <c r="G412" s="129"/>
      <c r="H412" s="135"/>
      <c r="I412" s="135"/>
      <c r="J412" s="135"/>
      <c r="K412" s="135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</row>
    <row r="413" spans="1:77" x14ac:dyDescent="0.25">
      <c r="A413" s="4"/>
      <c r="B413" s="137"/>
      <c r="C413" s="130"/>
      <c r="D413" s="130"/>
      <c r="E413" s="130"/>
      <c r="F413" s="130"/>
      <c r="G413" s="129"/>
      <c r="H413" s="135"/>
      <c r="I413" s="135"/>
      <c r="J413" s="135"/>
      <c r="K413" s="135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</row>
    <row r="414" spans="1:77" x14ac:dyDescent="0.25">
      <c r="A414" s="4"/>
      <c r="B414" s="137"/>
      <c r="C414" s="130"/>
      <c r="D414" s="130"/>
      <c r="E414" s="130"/>
      <c r="F414" s="130"/>
      <c r="G414" s="129"/>
      <c r="H414" s="135"/>
      <c r="I414" s="135"/>
      <c r="J414" s="135"/>
      <c r="K414" s="135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</row>
    <row r="415" spans="1:77" x14ac:dyDescent="0.25">
      <c r="A415" s="4"/>
      <c r="B415" s="137"/>
      <c r="C415" s="130"/>
      <c r="D415" s="130"/>
      <c r="E415" s="130"/>
      <c r="F415" s="130"/>
      <c r="G415" s="129"/>
      <c r="H415" s="135"/>
      <c r="I415" s="135"/>
      <c r="J415" s="135"/>
      <c r="K415" s="135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</row>
    <row r="416" spans="1:77" x14ac:dyDescent="0.25">
      <c r="A416" s="4"/>
      <c r="B416" s="137"/>
      <c r="C416" s="130"/>
      <c r="D416" s="130"/>
      <c r="E416" s="130"/>
      <c r="F416" s="130"/>
      <c r="G416" s="129"/>
      <c r="H416" s="135"/>
      <c r="I416" s="135"/>
      <c r="J416" s="135"/>
      <c r="K416" s="135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</row>
    <row r="417" spans="1:77" x14ac:dyDescent="0.25">
      <c r="A417" s="4"/>
      <c r="B417" s="137"/>
      <c r="C417" s="130"/>
      <c r="D417" s="130"/>
      <c r="E417" s="130"/>
      <c r="F417" s="130"/>
      <c r="G417" s="129"/>
      <c r="H417" s="135"/>
      <c r="I417" s="135"/>
      <c r="J417" s="135"/>
      <c r="K417" s="135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</row>
    <row r="418" spans="1:77" x14ac:dyDescent="0.25">
      <c r="A418" s="4"/>
      <c r="B418" s="137"/>
      <c r="C418" s="130"/>
      <c r="D418" s="130"/>
      <c r="E418" s="130"/>
      <c r="F418" s="130"/>
      <c r="G418" s="129"/>
      <c r="H418" s="135"/>
      <c r="I418" s="135"/>
      <c r="J418" s="135"/>
      <c r="K418" s="135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</row>
    <row r="419" spans="1:77" x14ac:dyDescent="0.25">
      <c r="A419" s="4"/>
      <c r="B419" s="137"/>
      <c r="C419" s="130"/>
      <c r="D419" s="130"/>
      <c r="E419" s="130"/>
      <c r="F419" s="130"/>
      <c r="G419" s="129"/>
      <c r="H419" s="135"/>
      <c r="I419" s="135"/>
      <c r="J419" s="135"/>
      <c r="K419" s="135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</row>
    <row r="420" spans="1:77" x14ac:dyDescent="0.25">
      <c r="A420" s="4"/>
      <c r="B420" s="137"/>
      <c r="C420" s="130"/>
      <c r="D420" s="130"/>
      <c r="E420" s="130"/>
      <c r="F420" s="130"/>
      <c r="G420" s="129"/>
      <c r="H420" s="135"/>
      <c r="I420" s="135"/>
      <c r="J420" s="135"/>
      <c r="K420" s="135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</row>
    <row r="421" spans="1:77" x14ac:dyDescent="0.25">
      <c r="A421" s="4"/>
      <c r="B421" s="137"/>
      <c r="C421" s="130"/>
      <c r="D421" s="130"/>
      <c r="E421" s="130"/>
      <c r="F421" s="130"/>
      <c r="G421" s="129"/>
      <c r="H421" s="135"/>
      <c r="I421" s="135"/>
      <c r="J421" s="135"/>
      <c r="K421" s="135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</row>
    <row r="422" spans="1:77" x14ac:dyDescent="0.25">
      <c r="A422" s="4"/>
      <c r="B422" s="137"/>
      <c r="C422" s="130"/>
      <c r="D422" s="130"/>
      <c r="E422" s="130"/>
      <c r="F422" s="130"/>
      <c r="G422" s="129"/>
      <c r="H422" s="135"/>
      <c r="I422" s="135"/>
      <c r="J422" s="135"/>
      <c r="K422" s="135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</row>
    <row r="423" spans="1:77" x14ac:dyDescent="0.25">
      <c r="A423" s="4"/>
      <c r="B423" s="137"/>
      <c r="C423" s="130"/>
      <c r="D423" s="130"/>
      <c r="E423" s="130"/>
      <c r="F423" s="130"/>
      <c r="G423" s="129"/>
      <c r="H423" s="135"/>
      <c r="I423" s="135"/>
      <c r="J423" s="135"/>
      <c r="K423" s="135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</row>
    <row r="424" spans="1:77" x14ac:dyDescent="0.25">
      <c r="A424" s="4"/>
      <c r="B424" s="137"/>
      <c r="C424" s="130"/>
      <c r="D424" s="130"/>
      <c r="E424" s="130"/>
      <c r="F424" s="130"/>
      <c r="G424" s="129"/>
      <c r="H424" s="135"/>
      <c r="I424" s="135"/>
      <c r="J424" s="135"/>
      <c r="K424" s="135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</row>
    <row r="425" spans="1:77" x14ac:dyDescent="0.25">
      <c r="A425" s="4"/>
      <c r="B425" s="137"/>
      <c r="C425" s="130"/>
      <c r="D425" s="130"/>
      <c r="E425" s="130"/>
      <c r="F425" s="130"/>
      <c r="G425" s="129"/>
      <c r="H425" s="135"/>
      <c r="I425" s="135"/>
      <c r="J425" s="135"/>
      <c r="K425" s="135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</row>
    <row r="426" spans="1:77" x14ac:dyDescent="0.25">
      <c r="A426" s="4"/>
      <c r="B426" s="137"/>
      <c r="C426" s="130"/>
      <c r="D426" s="130"/>
      <c r="E426" s="130"/>
      <c r="F426" s="130"/>
      <c r="G426" s="129"/>
      <c r="H426" s="135"/>
      <c r="I426" s="135"/>
      <c r="J426" s="135"/>
      <c r="K426" s="135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</row>
    <row r="427" spans="1:77" x14ac:dyDescent="0.25">
      <c r="A427" s="4"/>
      <c r="B427" s="137"/>
      <c r="C427" s="130"/>
      <c r="D427" s="130"/>
      <c r="E427" s="130"/>
      <c r="F427" s="130"/>
      <c r="G427" s="129"/>
      <c r="H427" s="135"/>
      <c r="I427" s="135"/>
      <c r="J427" s="135"/>
      <c r="K427" s="135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</row>
    <row r="428" spans="1:77" x14ac:dyDescent="0.25">
      <c r="A428" s="4"/>
      <c r="B428" s="137"/>
      <c r="C428" s="130"/>
      <c r="D428" s="130"/>
      <c r="E428" s="130"/>
      <c r="F428" s="130"/>
      <c r="G428" s="129"/>
      <c r="H428" s="135"/>
      <c r="I428" s="135"/>
      <c r="J428" s="135"/>
      <c r="K428" s="135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</row>
    <row r="429" spans="1:77" x14ac:dyDescent="0.25">
      <c r="A429" s="4"/>
      <c r="B429" s="137"/>
      <c r="C429" s="130"/>
      <c r="D429" s="130"/>
      <c r="E429" s="130"/>
      <c r="F429" s="130"/>
      <c r="G429" s="129"/>
      <c r="H429" s="135"/>
      <c r="I429" s="135"/>
      <c r="J429" s="135"/>
      <c r="K429" s="135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</row>
    <row r="430" spans="1:77" x14ac:dyDescent="0.25">
      <c r="A430" s="4"/>
      <c r="B430" s="137"/>
      <c r="C430" s="130"/>
      <c r="D430" s="130"/>
      <c r="E430" s="130"/>
      <c r="F430" s="130"/>
      <c r="G430" s="129"/>
      <c r="H430" s="135"/>
      <c r="I430" s="135"/>
      <c r="J430" s="135"/>
      <c r="K430" s="135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</row>
    <row r="431" spans="1:77" x14ac:dyDescent="0.25">
      <c r="A431" s="4"/>
      <c r="B431" s="137"/>
      <c r="C431" s="130"/>
      <c r="D431" s="130"/>
      <c r="E431" s="130"/>
      <c r="F431" s="130"/>
      <c r="G431" s="129"/>
      <c r="H431" s="135"/>
      <c r="I431" s="135"/>
      <c r="J431" s="135"/>
      <c r="K431" s="135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</row>
    <row r="432" spans="1:77" x14ac:dyDescent="0.25">
      <c r="A432" s="4"/>
      <c r="B432" s="137"/>
      <c r="C432" s="130"/>
      <c r="D432" s="130"/>
      <c r="E432" s="130"/>
      <c r="F432" s="130"/>
      <c r="G432" s="129"/>
      <c r="H432" s="135"/>
      <c r="I432" s="135"/>
      <c r="J432" s="135"/>
      <c r="K432" s="135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</row>
    <row r="433" spans="1:77" x14ac:dyDescent="0.25">
      <c r="A433" s="4"/>
      <c r="B433" s="137"/>
      <c r="C433" s="130"/>
      <c r="D433" s="130"/>
      <c r="E433" s="130"/>
      <c r="F433" s="130"/>
      <c r="G433" s="129"/>
      <c r="H433" s="135"/>
      <c r="I433" s="135"/>
      <c r="J433" s="135"/>
      <c r="K433" s="135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</row>
    <row r="434" spans="1:77" x14ac:dyDescent="0.25">
      <c r="A434" s="4"/>
      <c r="B434" s="137"/>
      <c r="C434" s="130"/>
      <c r="D434" s="130"/>
      <c r="E434" s="130"/>
      <c r="F434" s="130"/>
      <c r="G434" s="129"/>
      <c r="H434" s="135"/>
      <c r="I434" s="135"/>
      <c r="J434" s="135"/>
      <c r="K434" s="135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</row>
    <row r="435" spans="1:77" x14ac:dyDescent="0.25">
      <c r="A435" s="4"/>
      <c r="B435" s="137"/>
      <c r="C435" s="130"/>
      <c r="D435" s="130"/>
      <c r="E435" s="130"/>
      <c r="F435" s="130"/>
      <c r="G435" s="129"/>
      <c r="H435" s="135"/>
      <c r="I435" s="135"/>
      <c r="J435" s="135"/>
      <c r="K435" s="135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</row>
    <row r="436" spans="1:77" x14ac:dyDescent="0.25">
      <c r="A436" s="4"/>
      <c r="B436" s="137"/>
      <c r="C436" s="130"/>
      <c r="D436" s="130"/>
      <c r="E436" s="130"/>
      <c r="F436" s="130"/>
      <c r="G436" s="129"/>
      <c r="H436" s="135"/>
      <c r="I436" s="135"/>
      <c r="J436" s="135"/>
      <c r="K436" s="135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</row>
    <row r="437" spans="1:77" x14ac:dyDescent="0.25">
      <c r="A437" s="4"/>
      <c r="B437" s="137"/>
      <c r="C437" s="130"/>
      <c r="D437" s="130"/>
      <c r="E437" s="130"/>
      <c r="F437" s="130"/>
      <c r="G437" s="129"/>
      <c r="H437" s="135"/>
      <c r="I437" s="135"/>
      <c r="J437" s="135"/>
      <c r="K437" s="135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</row>
    <row r="438" spans="1:77" x14ac:dyDescent="0.25">
      <c r="A438" s="4"/>
      <c r="B438" s="137"/>
      <c r="C438" s="130"/>
      <c r="D438" s="130"/>
      <c r="E438" s="130"/>
      <c r="F438" s="130"/>
      <c r="G438" s="129"/>
      <c r="H438" s="135"/>
      <c r="I438" s="135"/>
      <c r="J438" s="135"/>
      <c r="K438" s="135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</row>
    <row r="439" spans="1:77" x14ac:dyDescent="0.25">
      <c r="A439" s="4"/>
      <c r="B439" s="137"/>
      <c r="C439" s="130"/>
      <c r="D439" s="130"/>
      <c r="E439" s="130"/>
      <c r="F439" s="130"/>
      <c r="G439" s="129"/>
      <c r="H439" s="135"/>
      <c r="I439" s="135"/>
      <c r="J439" s="135"/>
      <c r="K439" s="135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</row>
    <row r="440" spans="1:77" x14ac:dyDescent="0.25">
      <c r="A440" s="4"/>
      <c r="B440" s="137"/>
      <c r="C440" s="130"/>
      <c r="D440" s="130"/>
      <c r="E440" s="130"/>
      <c r="F440" s="130"/>
      <c r="G440" s="129"/>
      <c r="H440" s="135"/>
      <c r="I440" s="135"/>
      <c r="J440" s="135"/>
      <c r="K440" s="135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</row>
    <row r="441" spans="1:77" x14ac:dyDescent="0.25">
      <c r="A441" s="4"/>
      <c r="B441" s="137"/>
      <c r="C441" s="130"/>
      <c r="D441" s="130"/>
      <c r="E441" s="130"/>
      <c r="F441" s="130"/>
      <c r="G441" s="129"/>
      <c r="H441" s="135"/>
      <c r="I441" s="135"/>
      <c r="J441" s="135"/>
      <c r="K441" s="135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</row>
    <row r="442" spans="1:77" x14ac:dyDescent="0.25">
      <c r="A442" s="4"/>
      <c r="B442" s="137"/>
      <c r="C442" s="130"/>
      <c r="D442" s="130"/>
      <c r="E442" s="130"/>
      <c r="F442" s="130"/>
      <c r="G442" s="129"/>
      <c r="H442" s="135"/>
      <c r="I442" s="135"/>
      <c r="J442" s="135"/>
      <c r="K442" s="135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</row>
    <row r="443" spans="1:77" x14ac:dyDescent="0.25">
      <c r="A443" s="4"/>
      <c r="B443" s="137"/>
      <c r="C443" s="130"/>
      <c r="D443" s="130"/>
      <c r="E443" s="130"/>
      <c r="F443" s="130"/>
      <c r="G443" s="129"/>
      <c r="H443" s="135"/>
      <c r="I443" s="135"/>
      <c r="J443" s="135"/>
      <c r="K443" s="135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</row>
    <row r="444" spans="1:77" x14ac:dyDescent="0.25">
      <c r="A444" s="4"/>
      <c r="B444" s="137"/>
      <c r="C444" s="130"/>
      <c r="D444" s="130"/>
      <c r="E444" s="130"/>
      <c r="F444" s="130"/>
      <c r="G444" s="129"/>
      <c r="H444" s="135"/>
      <c r="I444" s="135"/>
      <c r="J444" s="135"/>
      <c r="K444" s="135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</row>
    <row r="445" spans="1:77" x14ac:dyDescent="0.25">
      <c r="A445" s="4"/>
      <c r="B445" s="137"/>
      <c r="C445" s="130"/>
      <c r="D445" s="130"/>
      <c r="E445" s="130"/>
      <c r="F445" s="130"/>
      <c r="G445" s="129"/>
      <c r="H445" s="135"/>
      <c r="I445" s="135"/>
      <c r="J445" s="135"/>
      <c r="K445" s="135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</row>
    <row r="446" spans="1:77" x14ac:dyDescent="0.25">
      <c r="A446" s="4"/>
      <c r="B446" s="137"/>
      <c r="C446" s="130"/>
      <c r="D446" s="130"/>
      <c r="E446" s="130"/>
      <c r="F446" s="130"/>
      <c r="G446" s="129"/>
      <c r="H446" s="135"/>
      <c r="I446" s="135"/>
      <c r="J446" s="135"/>
      <c r="K446" s="135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</row>
    <row r="447" spans="1:77" x14ac:dyDescent="0.25">
      <c r="A447" s="4"/>
      <c r="B447" s="137"/>
      <c r="C447" s="130"/>
      <c r="D447" s="130"/>
      <c r="E447" s="130"/>
      <c r="F447" s="130"/>
      <c r="G447" s="129"/>
      <c r="H447" s="135"/>
      <c r="I447" s="135"/>
      <c r="J447" s="135"/>
      <c r="K447" s="135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</row>
    <row r="448" spans="1:77" x14ac:dyDescent="0.25">
      <c r="A448" s="4"/>
      <c r="B448" s="137"/>
      <c r="C448" s="130"/>
      <c r="D448" s="130"/>
      <c r="E448" s="130"/>
      <c r="F448" s="130"/>
      <c r="G448" s="129"/>
      <c r="H448" s="135"/>
      <c r="I448" s="135"/>
      <c r="J448" s="135"/>
      <c r="K448" s="135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</row>
    <row r="449" spans="1:77" x14ac:dyDescent="0.25">
      <c r="A449" s="4"/>
      <c r="B449" s="137"/>
      <c r="C449" s="130"/>
      <c r="D449" s="130"/>
      <c r="E449" s="130"/>
      <c r="F449" s="130"/>
      <c r="G449" s="129"/>
      <c r="H449" s="135"/>
      <c r="I449" s="135"/>
      <c r="J449" s="135"/>
      <c r="K449" s="135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</row>
    <row r="450" spans="1:77" x14ac:dyDescent="0.25">
      <c r="A450" s="4"/>
      <c r="B450" s="137"/>
      <c r="C450" s="130"/>
      <c r="D450" s="130"/>
      <c r="E450" s="130"/>
      <c r="F450" s="130"/>
      <c r="G450" s="129"/>
      <c r="H450" s="135"/>
      <c r="I450" s="135"/>
      <c r="J450" s="135"/>
      <c r="K450" s="135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</row>
    <row r="451" spans="1:77" x14ac:dyDescent="0.25">
      <c r="A451" s="4"/>
      <c r="B451" s="137"/>
      <c r="C451" s="130"/>
      <c r="D451" s="130"/>
      <c r="E451" s="130"/>
      <c r="F451" s="130"/>
      <c r="G451" s="129"/>
      <c r="H451" s="135"/>
      <c r="I451" s="135"/>
      <c r="J451" s="135"/>
      <c r="K451" s="135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</row>
    <row r="452" spans="1:77" x14ac:dyDescent="0.25">
      <c r="A452" s="4"/>
      <c r="B452" s="137"/>
      <c r="C452" s="130"/>
      <c r="D452" s="130"/>
      <c r="E452" s="130"/>
      <c r="F452" s="130"/>
      <c r="G452" s="129"/>
      <c r="H452" s="135"/>
      <c r="I452" s="135"/>
      <c r="J452" s="135"/>
      <c r="K452" s="135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</row>
    <row r="453" spans="1:77" x14ac:dyDescent="0.25">
      <c r="A453" s="4"/>
      <c r="B453" s="137"/>
      <c r="C453" s="130"/>
      <c r="D453" s="130"/>
      <c r="E453" s="130"/>
      <c r="F453" s="130"/>
      <c r="G453" s="129"/>
      <c r="H453" s="135"/>
      <c r="I453" s="135"/>
      <c r="J453" s="135"/>
      <c r="K453" s="135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</row>
    <row r="454" spans="1:77" x14ac:dyDescent="0.25">
      <c r="A454" s="4"/>
      <c r="B454" s="137"/>
      <c r="C454" s="130"/>
      <c r="D454" s="130"/>
      <c r="E454" s="130"/>
      <c r="F454" s="130"/>
      <c r="G454" s="129"/>
      <c r="H454" s="135"/>
      <c r="I454" s="135"/>
      <c r="J454" s="135"/>
      <c r="K454" s="135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</row>
    <row r="455" spans="1:77" x14ac:dyDescent="0.25">
      <c r="A455" s="4"/>
      <c r="B455" s="137"/>
      <c r="C455" s="130"/>
      <c r="D455" s="130"/>
      <c r="E455" s="130"/>
      <c r="F455" s="130"/>
      <c r="G455" s="129"/>
      <c r="H455" s="135"/>
      <c r="I455" s="135"/>
      <c r="J455" s="135"/>
      <c r="K455" s="135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</row>
    <row r="456" spans="1:77" x14ac:dyDescent="0.25">
      <c r="A456" s="4"/>
      <c r="B456" s="137"/>
      <c r="C456" s="130"/>
      <c r="D456" s="130"/>
      <c r="E456" s="130"/>
      <c r="F456" s="130"/>
      <c r="G456" s="129"/>
      <c r="H456" s="135"/>
      <c r="I456" s="135"/>
      <c r="J456" s="135"/>
      <c r="K456" s="135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</row>
    <row r="457" spans="1:77" x14ac:dyDescent="0.25">
      <c r="A457" s="4"/>
      <c r="B457" s="137"/>
      <c r="C457" s="130"/>
      <c r="D457" s="130"/>
      <c r="E457" s="130"/>
      <c r="F457" s="130"/>
      <c r="G457" s="129"/>
      <c r="H457" s="135"/>
      <c r="I457" s="135"/>
      <c r="J457" s="135"/>
      <c r="K457" s="135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</row>
    <row r="458" spans="1:77" x14ac:dyDescent="0.25">
      <c r="A458" s="4"/>
      <c r="B458" s="137"/>
      <c r="C458" s="130"/>
      <c r="D458" s="130"/>
      <c r="E458" s="130"/>
      <c r="F458" s="130"/>
      <c r="G458" s="129"/>
      <c r="H458" s="135"/>
      <c r="I458" s="135"/>
      <c r="J458" s="135"/>
      <c r="K458" s="135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</row>
    <row r="459" spans="1:77" x14ac:dyDescent="0.25">
      <c r="A459" s="4"/>
      <c r="B459" s="137"/>
      <c r="C459" s="130"/>
      <c r="D459" s="130"/>
      <c r="E459" s="130"/>
      <c r="F459" s="130"/>
      <c r="G459" s="129"/>
      <c r="H459" s="135"/>
      <c r="I459" s="135"/>
      <c r="J459" s="135"/>
      <c r="K459" s="135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</row>
    <row r="460" spans="1:77" x14ac:dyDescent="0.25">
      <c r="A460" s="4"/>
      <c r="B460" s="137"/>
      <c r="C460" s="130"/>
      <c r="D460" s="130"/>
      <c r="E460" s="130"/>
      <c r="F460" s="130"/>
      <c r="G460" s="129"/>
      <c r="H460" s="135"/>
      <c r="I460" s="135"/>
      <c r="J460" s="135"/>
      <c r="K460" s="135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</row>
    <row r="461" spans="1:77" x14ac:dyDescent="0.25">
      <c r="A461" s="4"/>
      <c r="B461" s="137"/>
      <c r="C461" s="130"/>
      <c r="D461" s="130"/>
      <c r="E461" s="130"/>
      <c r="F461" s="130"/>
      <c r="G461" s="129"/>
      <c r="H461" s="135"/>
      <c r="I461" s="135"/>
      <c r="J461" s="135"/>
      <c r="K461" s="135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</row>
    <row r="462" spans="1:77" x14ac:dyDescent="0.25">
      <c r="A462" s="4"/>
      <c r="B462" s="137"/>
      <c r="C462" s="130"/>
      <c r="D462" s="130"/>
      <c r="E462" s="130"/>
      <c r="F462" s="130"/>
      <c r="G462" s="129"/>
      <c r="H462" s="135"/>
      <c r="I462" s="135"/>
      <c r="J462" s="135"/>
      <c r="K462" s="135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</row>
    <row r="463" spans="1:77" x14ac:dyDescent="0.25">
      <c r="A463" s="4"/>
      <c r="B463" s="137"/>
      <c r="C463" s="130"/>
      <c r="D463" s="130"/>
      <c r="E463" s="130"/>
      <c r="F463" s="130"/>
      <c r="G463" s="129"/>
      <c r="H463" s="135"/>
      <c r="I463" s="135"/>
      <c r="J463" s="135"/>
      <c r="K463" s="135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</row>
    <row r="464" spans="1:77" x14ac:dyDescent="0.25">
      <c r="A464" s="4"/>
      <c r="B464" s="137"/>
      <c r="C464" s="130"/>
      <c r="D464" s="130"/>
      <c r="E464" s="130"/>
      <c r="F464" s="130"/>
      <c r="G464" s="129"/>
      <c r="H464" s="135"/>
      <c r="I464" s="135"/>
      <c r="J464" s="135"/>
      <c r="K464" s="135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</row>
    <row r="465" spans="1:77" x14ac:dyDescent="0.25">
      <c r="A465" s="4"/>
      <c r="B465" s="137"/>
      <c r="C465" s="130"/>
      <c r="D465" s="130"/>
      <c r="E465" s="130"/>
      <c r="F465" s="130"/>
      <c r="G465" s="129"/>
      <c r="H465" s="135"/>
      <c r="I465" s="135"/>
      <c r="J465" s="135"/>
      <c r="K465" s="135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</row>
    <row r="466" spans="1:77" x14ac:dyDescent="0.25">
      <c r="A466" s="4"/>
      <c r="B466" s="137"/>
      <c r="C466" s="130"/>
      <c r="D466" s="130"/>
      <c r="E466" s="130"/>
      <c r="F466" s="130"/>
      <c r="G466" s="129"/>
      <c r="H466" s="135"/>
      <c r="I466" s="135"/>
      <c r="J466" s="135"/>
      <c r="K466" s="135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  <c r="BL466" s="6"/>
      <c r="BM466" s="6"/>
      <c r="BN466" s="6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</row>
    <row r="467" spans="1:77" x14ac:dyDescent="0.25">
      <c r="A467" s="4"/>
      <c r="B467" s="137"/>
      <c r="C467" s="130"/>
      <c r="D467" s="130"/>
      <c r="E467" s="130"/>
      <c r="F467" s="130"/>
      <c r="G467" s="129"/>
      <c r="H467" s="135"/>
      <c r="I467" s="135"/>
      <c r="J467" s="135"/>
      <c r="K467" s="135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  <c r="BL467" s="6"/>
      <c r="BM467" s="6"/>
      <c r="BN467" s="6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</row>
    <row r="468" spans="1:77" x14ac:dyDescent="0.25">
      <c r="A468" s="4"/>
      <c r="B468" s="137"/>
      <c r="C468" s="130"/>
      <c r="D468" s="130"/>
      <c r="E468" s="130"/>
      <c r="F468" s="130"/>
      <c r="G468" s="129"/>
      <c r="H468" s="135"/>
      <c r="I468" s="135"/>
      <c r="J468" s="135"/>
      <c r="K468" s="135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  <c r="BL468" s="6"/>
      <c r="BM468" s="6"/>
      <c r="BN468" s="6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</row>
    <row r="469" spans="1:77" x14ac:dyDescent="0.25">
      <c r="A469" s="4"/>
      <c r="B469" s="137"/>
      <c r="C469" s="130"/>
      <c r="D469" s="130"/>
      <c r="E469" s="130"/>
      <c r="F469" s="130"/>
      <c r="G469" s="129"/>
      <c r="H469" s="135"/>
      <c r="I469" s="135"/>
      <c r="J469" s="135"/>
      <c r="K469" s="135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</row>
    <row r="470" spans="1:77" x14ac:dyDescent="0.25">
      <c r="A470" s="4"/>
      <c r="B470" s="137"/>
      <c r="C470" s="130"/>
      <c r="D470" s="130"/>
      <c r="E470" s="130"/>
      <c r="F470" s="130"/>
      <c r="G470" s="129"/>
      <c r="H470" s="135"/>
      <c r="I470" s="135"/>
      <c r="J470" s="135"/>
      <c r="K470" s="135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  <c r="BL470" s="6"/>
      <c r="BM470" s="6"/>
      <c r="BN470" s="6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</row>
    <row r="471" spans="1:77" x14ac:dyDescent="0.25">
      <c r="A471" s="4"/>
      <c r="B471" s="137"/>
      <c r="C471" s="130"/>
      <c r="D471" s="130"/>
      <c r="E471" s="130"/>
      <c r="F471" s="130"/>
      <c r="G471" s="129"/>
      <c r="H471" s="135"/>
      <c r="I471" s="135"/>
      <c r="J471" s="135"/>
      <c r="K471" s="135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  <c r="BL471" s="6"/>
      <c r="BM471" s="6"/>
      <c r="BN471" s="6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</row>
    <row r="472" spans="1:77" x14ac:dyDescent="0.25">
      <c r="A472" s="4"/>
      <c r="B472" s="137"/>
      <c r="C472" s="130"/>
      <c r="D472" s="130"/>
      <c r="E472" s="130"/>
      <c r="F472" s="130"/>
      <c r="G472" s="129"/>
      <c r="H472" s="135"/>
      <c r="I472" s="135"/>
      <c r="J472" s="135"/>
      <c r="K472" s="135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  <c r="BL472" s="6"/>
      <c r="BM472" s="6"/>
      <c r="BN472" s="6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</row>
    <row r="473" spans="1:77" x14ac:dyDescent="0.25">
      <c r="A473" s="4"/>
      <c r="B473" s="137"/>
      <c r="C473" s="130"/>
      <c r="D473" s="130"/>
      <c r="E473" s="130"/>
      <c r="F473" s="130"/>
      <c r="G473" s="129"/>
      <c r="H473" s="135"/>
      <c r="I473" s="135"/>
      <c r="J473" s="135"/>
      <c r="K473" s="135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  <c r="BL473" s="6"/>
      <c r="BM473" s="6"/>
      <c r="BN473" s="6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</row>
    <row r="474" spans="1:77" x14ac:dyDescent="0.25">
      <c r="A474" s="4"/>
      <c r="B474" s="137"/>
      <c r="C474" s="130"/>
      <c r="D474" s="130"/>
      <c r="E474" s="130"/>
      <c r="F474" s="130"/>
      <c r="G474" s="129"/>
      <c r="H474" s="135"/>
      <c r="I474" s="135"/>
      <c r="J474" s="135"/>
      <c r="K474" s="135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  <c r="BL474" s="6"/>
      <c r="BM474" s="6"/>
      <c r="BN474" s="6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</row>
    <row r="475" spans="1:77" x14ac:dyDescent="0.25">
      <c r="A475" s="4"/>
      <c r="B475" s="137"/>
      <c r="C475" s="130"/>
      <c r="D475" s="130"/>
      <c r="E475" s="130"/>
      <c r="F475" s="130"/>
      <c r="G475" s="129"/>
      <c r="H475" s="135"/>
      <c r="I475" s="135"/>
      <c r="J475" s="135"/>
      <c r="K475" s="135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  <c r="BL475" s="6"/>
      <c r="BM475" s="6"/>
      <c r="BN475" s="6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</row>
    <row r="476" spans="1:77" x14ac:dyDescent="0.25">
      <c r="A476" s="4"/>
      <c r="B476" s="137"/>
      <c r="C476" s="130"/>
      <c r="D476" s="130"/>
      <c r="E476" s="130"/>
      <c r="F476" s="130"/>
      <c r="G476" s="129"/>
      <c r="H476" s="135"/>
      <c r="I476" s="135"/>
      <c r="J476" s="135"/>
      <c r="K476" s="135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  <c r="BL476" s="6"/>
      <c r="BM476" s="6"/>
      <c r="BN476" s="6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</row>
    <row r="477" spans="1:77" x14ac:dyDescent="0.25">
      <c r="A477" s="4"/>
      <c r="B477" s="137"/>
      <c r="C477" s="130"/>
      <c r="D477" s="130"/>
      <c r="E477" s="130"/>
      <c r="F477" s="130"/>
      <c r="G477" s="129"/>
      <c r="H477" s="135"/>
      <c r="I477" s="135"/>
      <c r="J477" s="135"/>
      <c r="K477" s="135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  <c r="BL477" s="6"/>
      <c r="BM477" s="6"/>
      <c r="BN477" s="6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</row>
    <row r="478" spans="1:77" x14ac:dyDescent="0.25">
      <c r="A478" s="4"/>
      <c r="B478" s="137"/>
      <c r="C478" s="130"/>
      <c r="D478" s="130"/>
      <c r="E478" s="130"/>
      <c r="F478" s="130"/>
      <c r="G478" s="129"/>
      <c r="H478" s="135"/>
      <c r="I478" s="135"/>
      <c r="J478" s="135"/>
      <c r="K478" s="135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  <c r="BL478" s="6"/>
      <c r="BM478" s="6"/>
      <c r="BN478" s="6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</row>
    <row r="479" spans="1:77" x14ac:dyDescent="0.25">
      <c r="A479" s="4"/>
      <c r="B479" s="137"/>
      <c r="C479" s="130"/>
      <c r="D479" s="130"/>
      <c r="E479" s="130"/>
      <c r="F479" s="130"/>
      <c r="G479" s="129"/>
      <c r="H479" s="135"/>
      <c r="I479" s="135"/>
      <c r="J479" s="135"/>
      <c r="K479" s="135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  <c r="BL479" s="6"/>
      <c r="BM479" s="6"/>
      <c r="BN479" s="6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</row>
    <row r="480" spans="1:77" x14ac:dyDescent="0.25">
      <c r="A480" s="4"/>
      <c r="B480" s="137"/>
      <c r="C480" s="130"/>
      <c r="D480" s="130"/>
      <c r="E480" s="130"/>
      <c r="F480" s="130"/>
      <c r="G480" s="129"/>
      <c r="H480" s="135"/>
      <c r="I480" s="135"/>
      <c r="J480" s="135"/>
      <c r="K480" s="135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  <c r="BL480" s="6"/>
      <c r="BM480" s="6"/>
      <c r="BN480" s="6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</row>
    <row r="481" spans="1:77" x14ac:dyDescent="0.25">
      <c r="A481" s="4"/>
      <c r="B481" s="137"/>
      <c r="C481" s="130"/>
      <c r="D481" s="130"/>
      <c r="E481" s="130"/>
      <c r="F481" s="130"/>
      <c r="G481" s="129"/>
      <c r="H481" s="135"/>
      <c r="I481" s="135"/>
      <c r="J481" s="135"/>
      <c r="K481" s="135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  <c r="BL481" s="6"/>
      <c r="BM481" s="6"/>
      <c r="BN481" s="6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</row>
    <row r="482" spans="1:77" x14ac:dyDescent="0.25">
      <c r="A482" s="4"/>
      <c r="B482" s="137"/>
      <c r="C482" s="130"/>
      <c r="D482" s="130"/>
      <c r="E482" s="130"/>
      <c r="F482" s="130"/>
      <c r="G482" s="129"/>
      <c r="H482" s="135"/>
      <c r="I482" s="135"/>
      <c r="J482" s="135"/>
      <c r="K482" s="135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  <c r="BL482" s="6"/>
      <c r="BM482" s="6"/>
      <c r="BN482" s="6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</row>
    <row r="483" spans="1:77" x14ac:dyDescent="0.25">
      <c r="A483" s="4"/>
      <c r="B483" s="137"/>
      <c r="C483" s="130"/>
      <c r="D483" s="130"/>
      <c r="E483" s="130"/>
      <c r="F483" s="130"/>
      <c r="G483" s="129"/>
      <c r="H483" s="135"/>
      <c r="I483" s="135"/>
      <c r="J483" s="135"/>
      <c r="K483" s="135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  <c r="BL483" s="6"/>
      <c r="BM483" s="6"/>
      <c r="BN483" s="6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</row>
    <row r="484" spans="1:77" x14ac:dyDescent="0.25">
      <c r="A484" s="4"/>
      <c r="B484" s="137"/>
      <c r="C484" s="130"/>
      <c r="D484" s="130"/>
      <c r="E484" s="130"/>
      <c r="F484" s="130"/>
      <c r="G484" s="129"/>
      <c r="H484" s="135"/>
      <c r="I484" s="135"/>
      <c r="J484" s="135"/>
      <c r="K484" s="135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  <c r="BL484" s="6"/>
      <c r="BM484" s="6"/>
      <c r="BN484" s="6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</row>
    <row r="485" spans="1:77" x14ac:dyDescent="0.25">
      <c r="A485" s="4"/>
      <c r="B485" s="137"/>
      <c r="C485" s="130"/>
      <c r="D485" s="130"/>
      <c r="E485" s="130"/>
      <c r="F485" s="130"/>
      <c r="G485" s="129"/>
      <c r="H485" s="135"/>
      <c r="I485" s="135"/>
      <c r="J485" s="135"/>
      <c r="K485" s="135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  <c r="BL485" s="6"/>
      <c r="BM485" s="6"/>
      <c r="BN485" s="6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</row>
    <row r="486" spans="1:77" x14ac:dyDescent="0.25">
      <c r="A486" s="4"/>
      <c r="B486" s="137"/>
      <c r="C486" s="130"/>
      <c r="D486" s="130"/>
      <c r="E486" s="130"/>
      <c r="F486" s="130"/>
      <c r="G486" s="129"/>
      <c r="H486" s="135"/>
      <c r="I486" s="135"/>
      <c r="J486" s="135"/>
      <c r="K486" s="135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  <c r="BL486" s="6"/>
      <c r="BM486" s="6"/>
      <c r="BN486" s="6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</row>
    <row r="487" spans="1:77" x14ac:dyDescent="0.25">
      <c r="A487" s="4"/>
      <c r="B487" s="137"/>
      <c r="C487" s="130"/>
      <c r="D487" s="130"/>
      <c r="E487" s="130"/>
      <c r="F487" s="130"/>
      <c r="G487" s="129"/>
      <c r="H487" s="135"/>
      <c r="I487" s="135"/>
      <c r="J487" s="135"/>
      <c r="K487" s="135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  <c r="BL487" s="6"/>
      <c r="BM487" s="6"/>
      <c r="BN487" s="6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</row>
    <row r="488" spans="1:77" x14ac:dyDescent="0.25">
      <c r="A488" s="4"/>
      <c r="B488" s="137"/>
      <c r="C488" s="130"/>
      <c r="D488" s="130"/>
      <c r="E488" s="130"/>
      <c r="F488" s="130"/>
      <c r="G488" s="129"/>
      <c r="H488" s="135"/>
      <c r="I488" s="135"/>
      <c r="J488" s="135"/>
      <c r="K488" s="135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  <c r="BL488" s="6"/>
      <c r="BM488" s="6"/>
      <c r="BN488" s="6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</row>
    <row r="489" spans="1:77" x14ac:dyDescent="0.25">
      <c r="A489" s="4"/>
      <c r="B489" s="137"/>
      <c r="C489" s="130"/>
      <c r="D489" s="130"/>
      <c r="E489" s="130"/>
      <c r="F489" s="130"/>
      <c r="G489" s="129"/>
      <c r="H489" s="135"/>
      <c r="I489" s="135"/>
      <c r="J489" s="135"/>
      <c r="K489" s="135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</row>
    <row r="490" spans="1:77" x14ac:dyDescent="0.25">
      <c r="A490" s="4"/>
      <c r="B490" s="137"/>
      <c r="C490" s="130"/>
      <c r="D490" s="130"/>
      <c r="E490" s="130"/>
      <c r="F490" s="130"/>
      <c r="G490" s="129"/>
      <c r="H490" s="135"/>
      <c r="I490" s="135"/>
      <c r="J490" s="135"/>
      <c r="K490" s="135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  <c r="BL490" s="6"/>
      <c r="BM490" s="6"/>
      <c r="BN490" s="6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</row>
    <row r="491" spans="1:77" x14ac:dyDescent="0.25">
      <c r="A491" s="4"/>
      <c r="B491" s="137"/>
      <c r="C491" s="130"/>
      <c r="D491" s="130"/>
      <c r="E491" s="130"/>
      <c r="F491" s="130"/>
      <c r="G491" s="129"/>
      <c r="H491" s="135"/>
      <c r="I491" s="135"/>
      <c r="J491" s="135"/>
      <c r="K491" s="135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  <c r="BL491" s="6"/>
      <c r="BM491" s="6"/>
      <c r="BN491" s="6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</row>
    <row r="492" spans="1:77" x14ac:dyDescent="0.25">
      <c r="A492" s="4"/>
      <c r="B492" s="137"/>
      <c r="C492" s="130"/>
      <c r="D492" s="130"/>
      <c r="E492" s="130"/>
      <c r="F492" s="130"/>
      <c r="G492" s="129"/>
      <c r="H492" s="135"/>
      <c r="I492" s="135"/>
      <c r="J492" s="135"/>
      <c r="K492" s="135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  <c r="BL492" s="6"/>
      <c r="BM492" s="6"/>
      <c r="BN492" s="6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</row>
    <row r="493" spans="1:77" x14ac:dyDescent="0.25">
      <c r="A493" s="4"/>
      <c r="B493" s="137"/>
      <c r="C493" s="130"/>
      <c r="D493" s="130"/>
      <c r="E493" s="130"/>
      <c r="F493" s="130"/>
      <c r="G493" s="129"/>
      <c r="H493" s="135"/>
      <c r="I493" s="135"/>
      <c r="J493" s="135"/>
      <c r="K493" s="135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  <c r="BL493" s="6"/>
      <c r="BM493" s="6"/>
      <c r="BN493" s="6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</row>
    <row r="494" spans="1:77" x14ac:dyDescent="0.25">
      <c r="A494" s="4"/>
      <c r="B494" s="137"/>
      <c r="C494" s="130"/>
      <c r="D494" s="130"/>
      <c r="E494" s="130"/>
      <c r="F494" s="130"/>
      <c r="G494" s="129"/>
      <c r="H494" s="135"/>
      <c r="I494" s="135"/>
      <c r="J494" s="135"/>
      <c r="K494" s="135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  <c r="BL494" s="6"/>
      <c r="BM494" s="6"/>
      <c r="BN494" s="6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</row>
    <row r="495" spans="1:77" x14ac:dyDescent="0.25">
      <c r="A495" s="4"/>
      <c r="B495" s="137"/>
      <c r="C495" s="130"/>
      <c r="D495" s="130"/>
      <c r="E495" s="130"/>
      <c r="F495" s="130"/>
      <c r="G495" s="129"/>
      <c r="H495" s="135"/>
      <c r="I495" s="135"/>
      <c r="J495" s="135"/>
      <c r="K495" s="135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6"/>
      <c r="BN495" s="6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</row>
    <row r="496" spans="1:77" x14ac:dyDescent="0.25">
      <c r="A496" s="4"/>
      <c r="B496" s="137"/>
      <c r="C496" s="130"/>
      <c r="D496" s="130"/>
      <c r="E496" s="130"/>
      <c r="F496" s="130"/>
      <c r="G496" s="129"/>
      <c r="H496" s="135"/>
      <c r="I496" s="135"/>
      <c r="J496" s="135"/>
      <c r="K496" s="135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  <c r="BL496" s="6"/>
      <c r="BM496" s="6"/>
      <c r="BN496" s="6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</row>
    <row r="497" spans="1:77" x14ac:dyDescent="0.25">
      <c r="A497" s="4"/>
      <c r="B497" s="137"/>
      <c r="C497" s="130"/>
      <c r="D497" s="130"/>
      <c r="E497" s="130"/>
      <c r="F497" s="130"/>
      <c r="G497" s="129"/>
      <c r="H497" s="135"/>
      <c r="I497" s="135"/>
      <c r="J497" s="135"/>
      <c r="K497" s="135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  <c r="BL497" s="6"/>
      <c r="BM497" s="6"/>
      <c r="BN497" s="6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</row>
    <row r="498" spans="1:77" x14ac:dyDescent="0.25">
      <c r="A498" s="4"/>
      <c r="B498" s="137"/>
      <c r="C498" s="130"/>
      <c r="D498" s="130"/>
      <c r="E498" s="130"/>
      <c r="F498" s="130"/>
      <c r="G498" s="129"/>
      <c r="H498" s="135"/>
      <c r="I498" s="135"/>
      <c r="J498" s="135"/>
      <c r="K498" s="135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  <c r="BL498" s="6"/>
      <c r="BM498" s="6"/>
      <c r="BN498" s="6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</row>
    <row r="499" spans="1:77" x14ac:dyDescent="0.25">
      <c r="A499" s="4"/>
      <c r="B499" s="137"/>
      <c r="C499" s="130"/>
      <c r="D499" s="130"/>
      <c r="E499" s="130"/>
      <c r="F499" s="130"/>
      <c r="G499" s="129"/>
      <c r="H499" s="135"/>
      <c r="I499" s="135"/>
      <c r="J499" s="135"/>
      <c r="K499" s="135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  <c r="BL499" s="6"/>
      <c r="BM499" s="6"/>
      <c r="BN499" s="6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</row>
    <row r="500" spans="1:77" x14ac:dyDescent="0.25">
      <c r="A500" s="4"/>
      <c r="B500" s="137"/>
      <c r="C500" s="130"/>
      <c r="D500" s="130"/>
      <c r="E500" s="130"/>
      <c r="F500" s="130"/>
      <c r="G500" s="129"/>
      <c r="H500" s="135"/>
      <c r="I500" s="135"/>
      <c r="J500" s="135"/>
      <c r="K500" s="135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  <c r="BL500" s="6"/>
      <c r="BM500" s="6"/>
      <c r="BN500" s="6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</row>
    <row r="501" spans="1:77" x14ac:dyDescent="0.25">
      <c r="A501" s="4"/>
      <c r="B501" s="137"/>
      <c r="C501" s="130"/>
      <c r="D501" s="130"/>
      <c r="E501" s="130"/>
      <c r="F501" s="130"/>
      <c r="G501" s="129"/>
      <c r="H501" s="135"/>
      <c r="I501" s="135"/>
      <c r="J501" s="135"/>
      <c r="K501" s="135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</row>
    <row r="502" spans="1:77" x14ac:dyDescent="0.25">
      <c r="A502" s="4"/>
      <c r="B502" s="137"/>
      <c r="C502" s="130"/>
      <c r="D502" s="130"/>
      <c r="E502" s="130"/>
      <c r="F502" s="130"/>
      <c r="G502" s="129"/>
      <c r="H502" s="135"/>
      <c r="I502" s="135"/>
      <c r="J502" s="135"/>
      <c r="K502" s="135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</row>
    <row r="503" spans="1:77" x14ac:dyDescent="0.25">
      <c r="A503" s="4"/>
      <c r="B503" s="137"/>
      <c r="C503" s="130"/>
      <c r="D503" s="130"/>
      <c r="E503" s="130"/>
      <c r="F503" s="130"/>
      <c r="G503" s="129"/>
      <c r="H503" s="135"/>
      <c r="I503" s="135"/>
      <c r="J503" s="135"/>
      <c r="K503" s="135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  <c r="BL503" s="6"/>
      <c r="BM503" s="6"/>
      <c r="BN503" s="6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</row>
    <row r="504" spans="1:77" x14ac:dyDescent="0.25">
      <c r="A504" s="4"/>
      <c r="B504" s="137"/>
      <c r="C504" s="130"/>
      <c r="D504" s="130"/>
      <c r="E504" s="130"/>
      <c r="F504" s="130"/>
      <c r="G504" s="129"/>
      <c r="H504" s="135"/>
      <c r="I504" s="135"/>
      <c r="J504" s="135"/>
      <c r="K504" s="135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  <c r="BL504" s="6"/>
      <c r="BM504" s="6"/>
      <c r="BN504" s="6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</row>
    <row r="505" spans="1:77" x14ac:dyDescent="0.25">
      <c r="A505" s="4"/>
      <c r="B505" s="137"/>
      <c r="C505" s="130"/>
      <c r="D505" s="130"/>
      <c r="E505" s="130"/>
      <c r="F505" s="130"/>
      <c r="G505" s="129"/>
      <c r="H505" s="135"/>
      <c r="I505" s="135"/>
      <c r="J505" s="135"/>
      <c r="K505" s="135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  <c r="BL505" s="6"/>
      <c r="BM505" s="6"/>
      <c r="BN505" s="6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</row>
    <row r="506" spans="1:77" x14ac:dyDescent="0.25">
      <c r="A506" s="4"/>
      <c r="B506" s="137"/>
      <c r="C506" s="130"/>
      <c r="D506" s="130"/>
      <c r="E506" s="130"/>
      <c r="F506" s="130"/>
      <c r="G506" s="129"/>
      <c r="H506" s="135"/>
      <c r="I506" s="135"/>
      <c r="J506" s="135"/>
      <c r="K506" s="135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  <c r="BL506" s="6"/>
      <c r="BM506" s="6"/>
      <c r="BN506" s="6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</row>
    <row r="507" spans="1:77" x14ac:dyDescent="0.25">
      <c r="A507" s="4"/>
      <c r="B507" s="137"/>
      <c r="C507" s="130"/>
      <c r="D507" s="130"/>
      <c r="E507" s="130"/>
      <c r="F507" s="130"/>
      <c r="G507" s="129"/>
      <c r="H507" s="135"/>
      <c r="I507" s="135"/>
      <c r="J507" s="135"/>
      <c r="K507" s="135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  <c r="BL507" s="6"/>
      <c r="BM507" s="6"/>
      <c r="BN507" s="6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</row>
    <row r="508" spans="1:77" x14ac:dyDescent="0.25">
      <c r="A508" s="4"/>
      <c r="B508" s="137"/>
      <c r="C508" s="130"/>
      <c r="D508" s="130"/>
      <c r="E508" s="130"/>
      <c r="F508" s="130"/>
      <c r="G508" s="129"/>
      <c r="H508" s="135"/>
      <c r="I508" s="135"/>
      <c r="J508" s="135"/>
      <c r="K508" s="135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  <c r="BL508" s="6"/>
      <c r="BM508" s="6"/>
      <c r="BN508" s="6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</row>
    <row r="509" spans="1:77" x14ac:dyDescent="0.25">
      <c r="A509" s="4"/>
      <c r="B509" s="137"/>
      <c r="C509" s="130"/>
      <c r="D509" s="130"/>
      <c r="E509" s="130"/>
      <c r="F509" s="130"/>
      <c r="G509" s="129"/>
      <c r="H509" s="135"/>
      <c r="I509" s="135"/>
      <c r="J509" s="135"/>
      <c r="K509" s="135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  <c r="BL509" s="6"/>
      <c r="BM509" s="6"/>
      <c r="BN509" s="6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</row>
    <row r="510" spans="1:77" x14ac:dyDescent="0.25">
      <c r="A510" s="4"/>
      <c r="B510" s="137"/>
      <c r="C510" s="130"/>
      <c r="D510" s="130"/>
      <c r="E510" s="130"/>
      <c r="F510" s="130"/>
      <c r="G510" s="129"/>
      <c r="H510" s="135"/>
      <c r="I510" s="135"/>
      <c r="J510" s="135"/>
      <c r="K510" s="135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  <c r="BL510" s="6"/>
      <c r="BM510" s="6"/>
      <c r="BN510" s="6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</row>
    <row r="511" spans="1:77" x14ac:dyDescent="0.25">
      <c r="A511" s="4"/>
      <c r="B511" s="137"/>
      <c r="C511" s="130"/>
      <c r="D511" s="130"/>
      <c r="E511" s="130"/>
      <c r="F511" s="130"/>
      <c r="G511" s="129"/>
      <c r="H511" s="135"/>
      <c r="I511" s="135"/>
      <c r="J511" s="135"/>
      <c r="K511" s="135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  <c r="BL511" s="6"/>
      <c r="BM511" s="6"/>
      <c r="BN511" s="6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</row>
    <row r="512" spans="1:77" x14ac:dyDescent="0.25">
      <c r="A512" s="4"/>
      <c r="B512" s="137"/>
      <c r="C512" s="130"/>
      <c r="D512" s="130"/>
      <c r="E512" s="130"/>
      <c r="F512" s="130"/>
      <c r="G512" s="129"/>
      <c r="H512" s="135"/>
      <c r="I512" s="135"/>
      <c r="J512" s="135"/>
      <c r="K512" s="135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  <c r="BL512" s="6"/>
      <c r="BM512" s="6"/>
      <c r="BN512" s="6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</row>
    <row r="513" spans="1:77" x14ac:dyDescent="0.25">
      <c r="A513" s="4"/>
      <c r="B513" s="137"/>
      <c r="C513" s="130"/>
      <c r="D513" s="130"/>
      <c r="E513" s="130"/>
      <c r="F513" s="130"/>
      <c r="G513" s="129"/>
      <c r="H513" s="135"/>
      <c r="I513" s="135"/>
      <c r="J513" s="135"/>
      <c r="K513" s="135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  <c r="BL513" s="6"/>
      <c r="BM513" s="6"/>
      <c r="BN513" s="6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</row>
    <row r="514" spans="1:77" x14ac:dyDescent="0.25">
      <c r="A514" s="4"/>
      <c r="B514" s="137"/>
      <c r="C514" s="130"/>
      <c r="D514" s="130"/>
      <c r="E514" s="130"/>
      <c r="F514" s="130"/>
      <c r="G514" s="129"/>
      <c r="H514" s="135"/>
      <c r="I514" s="135"/>
      <c r="J514" s="135"/>
      <c r="K514" s="135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  <c r="BL514" s="6"/>
      <c r="BM514" s="6"/>
      <c r="BN514" s="6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</row>
    <row r="515" spans="1:77" x14ac:dyDescent="0.25">
      <c r="A515" s="4"/>
      <c r="B515" s="137"/>
      <c r="C515" s="130"/>
      <c r="D515" s="130"/>
      <c r="E515" s="130"/>
      <c r="F515" s="130"/>
      <c r="G515" s="129"/>
      <c r="H515" s="135"/>
      <c r="I515" s="135"/>
      <c r="J515" s="135"/>
      <c r="K515" s="135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  <c r="BL515" s="6"/>
      <c r="BM515" s="6"/>
      <c r="BN515" s="6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</row>
    <row r="516" spans="1:77" x14ac:dyDescent="0.25">
      <c r="A516" s="4"/>
      <c r="B516" s="137"/>
      <c r="C516" s="130"/>
      <c r="D516" s="130"/>
      <c r="E516" s="130"/>
      <c r="F516" s="130"/>
      <c r="G516" s="129"/>
      <c r="H516" s="135"/>
      <c r="I516" s="135"/>
      <c r="J516" s="135"/>
      <c r="K516" s="135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6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</row>
    <row r="517" spans="1:77" x14ac:dyDescent="0.25">
      <c r="A517" s="4"/>
      <c r="B517" s="137"/>
      <c r="C517" s="130"/>
      <c r="D517" s="130"/>
      <c r="E517" s="130"/>
      <c r="F517" s="130"/>
      <c r="G517" s="129"/>
      <c r="H517" s="135"/>
      <c r="I517" s="135"/>
      <c r="J517" s="135"/>
      <c r="K517" s="135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6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</row>
    <row r="518" spans="1:77" x14ac:dyDescent="0.25">
      <c r="A518" s="4"/>
      <c r="B518" s="137"/>
      <c r="C518" s="130"/>
      <c r="D518" s="130"/>
      <c r="E518" s="130"/>
      <c r="F518" s="130"/>
      <c r="G518" s="129"/>
      <c r="H518" s="135"/>
      <c r="I518" s="135"/>
      <c r="J518" s="135"/>
      <c r="K518" s="135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6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</row>
    <row r="519" spans="1:77" x14ac:dyDescent="0.25">
      <c r="A519" s="4"/>
      <c r="B519" s="137"/>
      <c r="C519" s="130"/>
      <c r="D519" s="130"/>
      <c r="E519" s="130"/>
      <c r="F519" s="130"/>
      <c r="G519" s="129"/>
      <c r="H519" s="135"/>
      <c r="I519" s="135"/>
      <c r="J519" s="135"/>
      <c r="K519" s="135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6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</row>
    <row r="520" spans="1:77" x14ac:dyDescent="0.25">
      <c r="A520" s="4"/>
      <c r="B520" s="137"/>
      <c r="C520" s="130"/>
      <c r="D520" s="130"/>
      <c r="E520" s="130"/>
      <c r="F520" s="130"/>
      <c r="G520" s="129"/>
      <c r="H520" s="135"/>
      <c r="I520" s="135"/>
      <c r="J520" s="135"/>
      <c r="K520" s="135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  <c r="BL520" s="6"/>
      <c r="BM520" s="6"/>
      <c r="BN520" s="6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</row>
    <row r="521" spans="1:77" x14ac:dyDescent="0.25">
      <c r="A521" s="4"/>
      <c r="B521" s="137"/>
      <c r="C521" s="130"/>
      <c r="D521" s="130"/>
      <c r="E521" s="130"/>
      <c r="F521" s="130"/>
      <c r="G521" s="129"/>
      <c r="H521" s="135"/>
      <c r="I521" s="135"/>
      <c r="J521" s="135"/>
      <c r="K521" s="135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  <c r="BL521" s="6"/>
      <c r="BM521" s="6"/>
      <c r="BN521" s="6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</row>
    <row r="522" spans="1:77" x14ac:dyDescent="0.25">
      <c r="A522" s="4"/>
      <c r="B522" s="137"/>
      <c r="C522" s="130"/>
      <c r="D522" s="130"/>
      <c r="E522" s="130"/>
      <c r="F522" s="130"/>
      <c r="G522" s="129"/>
      <c r="H522" s="135"/>
      <c r="I522" s="135"/>
      <c r="J522" s="135"/>
      <c r="K522" s="135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  <c r="BL522" s="6"/>
      <c r="BM522" s="6"/>
      <c r="BN522" s="6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</row>
    <row r="523" spans="1:77" x14ac:dyDescent="0.25">
      <c r="A523" s="4"/>
      <c r="B523" s="137"/>
      <c r="C523" s="130"/>
      <c r="D523" s="130"/>
      <c r="E523" s="130"/>
      <c r="F523" s="130"/>
      <c r="G523" s="129"/>
      <c r="H523" s="135"/>
      <c r="I523" s="135"/>
      <c r="J523" s="135"/>
      <c r="K523" s="135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  <c r="BL523" s="6"/>
      <c r="BM523" s="6"/>
      <c r="BN523" s="6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</row>
    <row r="524" spans="1:77" x14ac:dyDescent="0.25">
      <c r="A524" s="4"/>
      <c r="B524" s="137"/>
      <c r="C524" s="130"/>
      <c r="D524" s="130"/>
      <c r="E524" s="130"/>
      <c r="F524" s="130"/>
      <c r="G524" s="129"/>
      <c r="H524" s="135"/>
      <c r="I524" s="135"/>
      <c r="J524" s="135"/>
      <c r="K524" s="135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</row>
    <row r="525" spans="1:77" x14ac:dyDescent="0.25">
      <c r="A525" s="4"/>
      <c r="B525" s="137"/>
      <c r="C525" s="130"/>
      <c r="D525" s="130"/>
      <c r="E525" s="130"/>
      <c r="F525" s="130"/>
      <c r="G525" s="129"/>
      <c r="H525" s="135"/>
      <c r="I525" s="135"/>
      <c r="J525" s="135"/>
      <c r="K525" s="135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</row>
    <row r="526" spans="1:77" x14ac:dyDescent="0.25">
      <c r="A526" s="4"/>
      <c r="B526" s="137"/>
      <c r="C526" s="130"/>
      <c r="D526" s="130"/>
      <c r="E526" s="130"/>
      <c r="F526" s="130"/>
      <c r="G526" s="129"/>
      <c r="H526" s="135"/>
      <c r="I526" s="135"/>
      <c r="J526" s="135"/>
      <c r="K526" s="135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  <c r="BL526" s="6"/>
      <c r="BM526" s="6"/>
      <c r="BN526" s="6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</row>
    <row r="527" spans="1:77" x14ac:dyDescent="0.25">
      <c r="A527" s="4"/>
      <c r="B527" s="137"/>
      <c r="C527" s="130"/>
      <c r="D527" s="130"/>
      <c r="E527" s="130"/>
      <c r="F527" s="130"/>
      <c r="G527" s="129"/>
      <c r="H527" s="135"/>
      <c r="I527" s="135"/>
      <c r="J527" s="135"/>
      <c r="K527" s="135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  <c r="BL527" s="6"/>
      <c r="BM527" s="6"/>
      <c r="BN527" s="6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</row>
    <row r="528" spans="1:77" x14ac:dyDescent="0.25">
      <c r="A528" s="4"/>
      <c r="B528" s="137"/>
      <c r="C528" s="130"/>
      <c r="D528" s="130"/>
      <c r="E528" s="130"/>
      <c r="F528" s="130"/>
      <c r="G528" s="129"/>
      <c r="H528" s="135"/>
      <c r="I528" s="135"/>
      <c r="J528" s="135"/>
      <c r="K528" s="135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  <c r="BL528" s="6"/>
      <c r="BM528" s="6"/>
      <c r="BN528" s="6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</row>
    <row r="529" spans="1:77" x14ac:dyDescent="0.25">
      <c r="A529" s="4"/>
      <c r="B529" s="137"/>
      <c r="C529" s="130"/>
      <c r="D529" s="130"/>
      <c r="E529" s="130"/>
      <c r="F529" s="130"/>
      <c r="G529" s="129"/>
      <c r="H529" s="135"/>
      <c r="I529" s="135"/>
      <c r="J529" s="135"/>
      <c r="K529" s="135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  <c r="BL529" s="6"/>
      <c r="BM529" s="6"/>
      <c r="BN529" s="6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</row>
    <row r="530" spans="1:77" x14ac:dyDescent="0.25">
      <c r="A530" s="4"/>
      <c r="B530" s="137"/>
      <c r="C530" s="130"/>
      <c r="D530" s="130"/>
      <c r="E530" s="130"/>
      <c r="F530" s="130"/>
      <c r="G530" s="129"/>
      <c r="H530" s="135"/>
      <c r="I530" s="135"/>
      <c r="J530" s="135"/>
      <c r="K530" s="135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  <c r="BL530" s="6"/>
      <c r="BM530" s="6"/>
      <c r="BN530" s="6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</row>
    <row r="531" spans="1:77" x14ac:dyDescent="0.25">
      <c r="A531" s="4"/>
      <c r="B531" s="137"/>
      <c r="C531" s="130"/>
      <c r="D531" s="130"/>
      <c r="E531" s="130"/>
      <c r="F531" s="130"/>
      <c r="G531" s="129"/>
      <c r="H531" s="135"/>
      <c r="I531" s="135"/>
      <c r="J531" s="135"/>
      <c r="K531" s="135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  <c r="BL531" s="6"/>
      <c r="BM531" s="6"/>
      <c r="BN531" s="6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</row>
    <row r="532" spans="1:77" x14ac:dyDescent="0.25">
      <c r="A532" s="4"/>
      <c r="B532" s="137"/>
      <c r="C532" s="130"/>
      <c r="D532" s="130"/>
      <c r="E532" s="130"/>
      <c r="F532" s="130"/>
      <c r="G532" s="129"/>
      <c r="H532" s="135"/>
      <c r="I532" s="135"/>
      <c r="J532" s="135"/>
      <c r="K532" s="135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  <c r="BL532" s="6"/>
      <c r="BM532" s="6"/>
      <c r="BN532" s="6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</row>
    <row r="533" spans="1:77" x14ac:dyDescent="0.25">
      <c r="A533" s="4"/>
      <c r="B533" s="137"/>
      <c r="C533" s="130"/>
      <c r="D533" s="130"/>
      <c r="E533" s="130"/>
      <c r="F533" s="130"/>
      <c r="G533" s="129"/>
      <c r="H533" s="135"/>
      <c r="I533" s="135"/>
      <c r="J533" s="135"/>
      <c r="K533" s="135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  <c r="BL533" s="6"/>
      <c r="BM533" s="6"/>
      <c r="BN533" s="6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</row>
    <row r="534" spans="1:77" x14ac:dyDescent="0.25">
      <c r="A534" s="4"/>
      <c r="B534" s="137"/>
      <c r="C534" s="130"/>
      <c r="D534" s="130"/>
      <c r="E534" s="130"/>
      <c r="F534" s="130"/>
      <c r="G534" s="129"/>
      <c r="H534" s="135"/>
      <c r="I534" s="135"/>
      <c r="J534" s="135"/>
      <c r="K534" s="135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  <c r="BL534" s="6"/>
      <c r="BM534" s="6"/>
      <c r="BN534" s="6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</row>
    <row r="535" spans="1:77" x14ac:dyDescent="0.25">
      <c r="A535" s="4"/>
      <c r="B535" s="137"/>
      <c r="C535" s="130"/>
      <c r="D535" s="130"/>
      <c r="E535" s="130"/>
      <c r="F535" s="130"/>
      <c r="G535" s="129"/>
      <c r="H535" s="135"/>
      <c r="I535" s="135"/>
      <c r="J535" s="135"/>
      <c r="K535" s="135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  <c r="BL535" s="6"/>
      <c r="BM535" s="6"/>
      <c r="BN535" s="6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</row>
    <row r="536" spans="1:77" x14ac:dyDescent="0.25">
      <c r="A536" s="4"/>
      <c r="B536" s="137"/>
      <c r="C536" s="130"/>
      <c r="D536" s="130"/>
      <c r="E536" s="130"/>
      <c r="F536" s="130"/>
      <c r="G536" s="129"/>
      <c r="H536" s="135"/>
      <c r="I536" s="135"/>
      <c r="J536" s="135"/>
      <c r="K536" s="135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  <c r="BL536" s="6"/>
      <c r="BM536" s="6"/>
      <c r="BN536" s="6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</row>
    <row r="537" spans="1:77" x14ac:dyDescent="0.25">
      <c r="A537" s="4"/>
      <c r="B537" s="137"/>
      <c r="C537" s="130"/>
      <c r="D537" s="130"/>
      <c r="E537" s="130"/>
      <c r="F537" s="130"/>
      <c r="G537" s="129"/>
      <c r="H537" s="135"/>
      <c r="I537" s="135"/>
      <c r="J537" s="135"/>
      <c r="K537" s="135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  <c r="BL537" s="6"/>
      <c r="BM537" s="6"/>
      <c r="BN537" s="6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</row>
    <row r="538" spans="1:77" x14ac:dyDescent="0.25">
      <c r="A538" s="4"/>
      <c r="B538" s="137"/>
      <c r="C538" s="130"/>
      <c r="D538" s="130"/>
      <c r="E538" s="130"/>
      <c r="F538" s="130"/>
      <c r="G538" s="129"/>
      <c r="H538" s="135"/>
      <c r="I538" s="135"/>
      <c r="J538" s="135"/>
      <c r="K538" s="135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</row>
    <row r="539" spans="1:77" x14ac:dyDescent="0.25">
      <c r="A539" s="4"/>
      <c r="B539" s="137"/>
      <c r="C539" s="130"/>
      <c r="D539" s="130"/>
      <c r="E539" s="130"/>
      <c r="F539" s="130"/>
      <c r="G539" s="129"/>
      <c r="H539" s="135"/>
      <c r="I539" s="135"/>
      <c r="J539" s="135"/>
      <c r="K539" s="135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  <c r="BL539" s="6"/>
      <c r="BM539" s="6"/>
      <c r="BN539" s="6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</row>
    <row r="540" spans="1:77" x14ac:dyDescent="0.25">
      <c r="A540" s="4"/>
      <c r="B540" s="137"/>
      <c r="C540" s="130"/>
      <c r="D540" s="130"/>
      <c r="E540" s="130"/>
      <c r="F540" s="130"/>
      <c r="G540" s="129"/>
      <c r="H540" s="135"/>
      <c r="I540" s="135"/>
      <c r="J540" s="135"/>
      <c r="K540" s="135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  <c r="BL540" s="6"/>
      <c r="BM540" s="6"/>
      <c r="BN540" s="6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</row>
    <row r="541" spans="1:77" x14ac:dyDescent="0.25">
      <c r="A541" s="4"/>
      <c r="B541" s="137"/>
      <c r="C541" s="130"/>
      <c r="D541" s="130"/>
      <c r="E541" s="130"/>
      <c r="F541" s="130"/>
      <c r="G541" s="129"/>
      <c r="H541" s="135"/>
      <c r="I541" s="135"/>
      <c r="J541" s="135"/>
      <c r="K541" s="135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  <c r="BL541" s="6"/>
      <c r="BM541" s="6"/>
      <c r="BN541" s="6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</row>
    <row r="542" spans="1:77" x14ac:dyDescent="0.25">
      <c r="A542" s="4"/>
      <c r="B542" s="137"/>
      <c r="C542" s="130"/>
      <c r="D542" s="130"/>
      <c r="E542" s="130"/>
      <c r="F542" s="130"/>
      <c r="G542" s="129"/>
      <c r="H542" s="135"/>
      <c r="I542" s="135"/>
      <c r="J542" s="135"/>
      <c r="K542" s="135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  <c r="BL542" s="6"/>
      <c r="BM542" s="6"/>
      <c r="BN542" s="6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</row>
    <row r="543" spans="1:77" x14ac:dyDescent="0.25">
      <c r="A543" s="4"/>
      <c r="B543" s="137"/>
      <c r="C543" s="130"/>
      <c r="D543" s="130"/>
      <c r="E543" s="130"/>
      <c r="F543" s="130"/>
      <c r="G543" s="129"/>
      <c r="H543" s="135"/>
      <c r="I543" s="135"/>
      <c r="J543" s="135"/>
      <c r="K543" s="135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  <c r="BL543" s="6"/>
      <c r="BM543" s="6"/>
      <c r="BN543" s="6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</row>
    <row r="544" spans="1:77" x14ac:dyDescent="0.25">
      <c r="A544" s="4"/>
      <c r="B544" s="137"/>
      <c r="C544" s="130"/>
      <c r="D544" s="130"/>
      <c r="E544" s="130"/>
      <c r="F544" s="130"/>
      <c r="G544" s="129"/>
      <c r="H544" s="135"/>
      <c r="I544" s="135"/>
      <c r="J544" s="135"/>
      <c r="K544" s="135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  <c r="BL544" s="6"/>
      <c r="BM544" s="6"/>
      <c r="BN544" s="6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</row>
    <row r="545" spans="1:77" x14ac:dyDescent="0.25">
      <c r="A545" s="4"/>
      <c r="B545" s="137"/>
      <c r="C545" s="130"/>
      <c r="D545" s="130"/>
      <c r="E545" s="130"/>
      <c r="F545" s="130"/>
      <c r="G545" s="129"/>
      <c r="H545" s="135"/>
      <c r="I545" s="135"/>
      <c r="J545" s="135"/>
      <c r="K545" s="135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  <c r="BL545" s="6"/>
      <c r="BM545" s="6"/>
      <c r="BN545" s="6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</row>
    <row r="546" spans="1:77" x14ac:dyDescent="0.25">
      <c r="A546" s="4"/>
      <c r="B546" s="137"/>
      <c r="C546" s="130"/>
      <c r="D546" s="130"/>
      <c r="E546" s="130"/>
      <c r="F546" s="130"/>
      <c r="G546" s="129"/>
      <c r="H546" s="135"/>
      <c r="I546" s="135"/>
      <c r="J546" s="135"/>
      <c r="K546" s="135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  <c r="BL546" s="6"/>
      <c r="BM546" s="6"/>
      <c r="BN546" s="6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</row>
    <row r="547" spans="1:77" x14ac:dyDescent="0.25">
      <c r="A547" s="4"/>
      <c r="B547" s="137"/>
      <c r="C547" s="130"/>
      <c r="D547" s="130"/>
      <c r="E547" s="130"/>
      <c r="F547" s="130"/>
      <c r="G547" s="129"/>
      <c r="H547" s="135"/>
      <c r="I547" s="135"/>
      <c r="J547" s="135"/>
      <c r="K547" s="135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  <c r="BL547" s="6"/>
      <c r="BM547" s="6"/>
      <c r="BN547" s="6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</row>
    <row r="548" spans="1:77" x14ac:dyDescent="0.25">
      <c r="A548" s="4"/>
      <c r="B548" s="137"/>
      <c r="C548" s="130"/>
      <c r="D548" s="130"/>
      <c r="E548" s="130"/>
      <c r="F548" s="130"/>
      <c r="G548" s="129"/>
      <c r="H548" s="135"/>
      <c r="I548" s="135"/>
      <c r="J548" s="135"/>
      <c r="K548" s="135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  <c r="BL548" s="6"/>
      <c r="BM548" s="6"/>
      <c r="BN548" s="6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</row>
    <row r="549" spans="1:77" x14ac:dyDescent="0.25">
      <c r="A549" s="4"/>
      <c r="B549" s="137"/>
      <c r="C549" s="130"/>
      <c r="D549" s="130"/>
      <c r="E549" s="130"/>
      <c r="F549" s="130"/>
      <c r="G549" s="129"/>
      <c r="H549" s="135"/>
      <c r="I549" s="135"/>
      <c r="J549" s="135"/>
      <c r="K549" s="135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  <c r="BL549" s="6"/>
      <c r="BM549" s="6"/>
      <c r="BN549" s="6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</row>
    <row r="550" spans="1:77" x14ac:dyDescent="0.25">
      <c r="A550" s="4"/>
      <c r="B550" s="137"/>
      <c r="C550" s="130"/>
      <c r="D550" s="130"/>
      <c r="E550" s="130"/>
      <c r="F550" s="130"/>
      <c r="G550" s="129"/>
      <c r="H550" s="135"/>
      <c r="I550" s="135"/>
      <c r="J550" s="135"/>
      <c r="K550" s="135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  <c r="BL550" s="6"/>
      <c r="BM550" s="6"/>
      <c r="BN550" s="6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</row>
    <row r="551" spans="1:77" x14ac:dyDescent="0.25">
      <c r="A551" s="4"/>
      <c r="B551" s="137"/>
      <c r="C551" s="130"/>
      <c r="D551" s="130"/>
      <c r="E551" s="130"/>
      <c r="F551" s="130"/>
      <c r="G551" s="129"/>
      <c r="H551" s="135"/>
      <c r="I551" s="135"/>
      <c r="J551" s="135"/>
      <c r="K551" s="135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  <c r="BL551" s="6"/>
      <c r="BM551" s="6"/>
      <c r="BN551" s="6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</row>
    <row r="552" spans="1:77" x14ac:dyDescent="0.25">
      <c r="A552" s="4"/>
      <c r="B552" s="137"/>
      <c r="C552" s="130"/>
      <c r="D552" s="130"/>
      <c r="E552" s="130"/>
      <c r="F552" s="130"/>
      <c r="G552" s="129"/>
      <c r="H552" s="135"/>
      <c r="I552" s="135"/>
      <c r="J552" s="135"/>
      <c r="K552" s="135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  <c r="BL552" s="6"/>
      <c r="BM552" s="6"/>
      <c r="BN552" s="6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</row>
    <row r="553" spans="1:77" x14ac:dyDescent="0.25">
      <c r="A553" s="4"/>
      <c r="B553" s="137"/>
      <c r="C553" s="130"/>
      <c r="D553" s="130"/>
      <c r="E553" s="130"/>
      <c r="F553" s="130"/>
      <c r="G553" s="129"/>
      <c r="H553" s="135"/>
      <c r="I553" s="135"/>
      <c r="J553" s="135"/>
      <c r="K553" s="135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  <c r="BL553" s="6"/>
      <c r="BM553" s="6"/>
      <c r="BN553" s="6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</row>
    <row r="554" spans="1:77" x14ac:dyDescent="0.25">
      <c r="A554" s="4"/>
      <c r="B554" s="137"/>
      <c r="C554" s="130"/>
      <c r="D554" s="130"/>
      <c r="E554" s="130"/>
      <c r="F554" s="130"/>
      <c r="G554" s="129"/>
      <c r="H554" s="135"/>
      <c r="I554" s="135"/>
      <c r="J554" s="135"/>
      <c r="K554" s="135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  <c r="BL554" s="6"/>
      <c r="BM554" s="6"/>
      <c r="BN554" s="6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</row>
    <row r="555" spans="1:77" x14ac:dyDescent="0.25">
      <c r="A555" s="4"/>
      <c r="B555" s="137"/>
      <c r="C555" s="130"/>
      <c r="D555" s="130"/>
      <c r="E555" s="130"/>
      <c r="F555" s="130"/>
      <c r="G555" s="129"/>
      <c r="H555" s="135"/>
      <c r="I555" s="135"/>
      <c r="J555" s="135"/>
      <c r="K555" s="135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  <c r="BL555" s="6"/>
      <c r="BM555" s="6"/>
      <c r="BN555" s="6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</row>
    <row r="556" spans="1:77" x14ac:dyDescent="0.25">
      <c r="A556" s="4"/>
      <c r="B556" s="137"/>
      <c r="C556" s="130"/>
      <c r="D556" s="130"/>
      <c r="E556" s="130"/>
      <c r="F556" s="130"/>
      <c r="G556" s="129"/>
      <c r="H556" s="135"/>
      <c r="I556" s="135"/>
      <c r="J556" s="135"/>
      <c r="K556" s="135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  <c r="BL556" s="6"/>
      <c r="BM556" s="6"/>
      <c r="BN556" s="6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</row>
    <row r="557" spans="1:77" x14ac:dyDescent="0.25">
      <c r="A557" s="4"/>
      <c r="B557" s="137"/>
      <c r="C557" s="130"/>
      <c r="D557" s="130"/>
      <c r="E557" s="130"/>
      <c r="F557" s="130"/>
      <c r="G557" s="129"/>
      <c r="H557" s="135"/>
      <c r="I557" s="135"/>
      <c r="J557" s="135"/>
      <c r="K557" s="135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  <c r="BL557" s="6"/>
      <c r="BM557" s="6"/>
      <c r="BN557" s="6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</row>
    <row r="558" spans="1:77" x14ac:dyDescent="0.25">
      <c r="A558" s="4"/>
      <c r="B558" s="137"/>
      <c r="C558" s="130"/>
      <c r="D558" s="130"/>
      <c r="E558" s="130"/>
      <c r="F558" s="130"/>
      <c r="G558" s="129"/>
      <c r="H558" s="135"/>
      <c r="I558" s="135"/>
      <c r="J558" s="135"/>
      <c r="K558" s="135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</row>
    <row r="559" spans="1:77" x14ac:dyDescent="0.25">
      <c r="A559" s="4"/>
      <c r="B559" s="137"/>
      <c r="C559" s="130"/>
      <c r="D559" s="130"/>
      <c r="E559" s="130"/>
      <c r="F559" s="130"/>
      <c r="G559" s="129"/>
      <c r="H559" s="135"/>
      <c r="I559" s="135"/>
      <c r="J559" s="135"/>
      <c r="K559" s="135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  <c r="BL559" s="6"/>
      <c r="BM559" s="6"/>
      <c r="BN559" s="6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</row>
    <row r="560" spans="1:77" x14ac:dyDescent="0.25">
      <c r="A560" s="4"/>
      <c r="B560" s="137"/>
      <c r="C560" s="130"/>
      <c r="D560" s="130"/>
      <c r="E560" s="130"/>
      <c r="F560" s="130"/>
      <c r="G560" s="129"/>
      <c r="H560" s="135"/>
      <c r="I560" s="135"/>
      <c r="J560" s="135"/>
      <c r="K560" s="135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  <c r="BL560" s="6"/>
      <c r="BM560" s="6"/>
      <c r="BN560" s="6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</row>
    <row r="561" spans="1:77" x14ac:dyDescent="0.25">
      <c r="A561" s="4"/>
      <c r="B561" s="137"/>
      <c r="C561" s="130"/>
      <c r="D561" s="130"/>
      <c r="E561" s="130"/>
      <c r="F561" s="130"/>
      <c r="G561" s="129"/>
      <c r="H561" s="135"/>
      <c r="I561" s="135"/>
      <c r="J561" s="135"/>
      <c r="K561" s="135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  <c r="BL561" s="6"/>
      <c r="BM561" s="6"/>
      <c r="BN561" s="6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</row>
    <row r="562" spans="1:77" x14ac:dyDescent="0.25">
      <c r="A562" s="4"/>
      <c r="B562" s="137"/>
      <c r="C562" s="130"/>
      <c r="D562" s="130"/>
      <c r="E562" s="130"/>
      <c r="F562" s="130"/>
      <c r="G562" s="129"/>
      <c r="H562" s="135"/>
      <c r="I562" s="135"/>
      <c r="J562" s="135"/>
      <c r="K562" s="135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  <c r="BL562" s="6"/>
      <c r="BM562" s="6"/>
      <c r="BN562" s="6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</row>
    <row r="563" spans="1:77" x14ac:dyDescent="0.25">
      <c r="A563" s="4"/>
      <c r="B563" s="137"/>
      <c r="C563" s="130"/>
      <c r="D563" s="130"/>
      <c r="E563" s="130"/>
      <c r="F563" s="130"/>
      <c r="G563" s="129"/>
      <c r="H563" s="135"/>
      <c r="I563" s="135"/>
      <c r="J563" s="135"/>
      <c r="K563" s="135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  <c r="BL563" s="6"/>
      <c r="BM563" s="6"/>
      <c r="BN563" s="6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</row>
    <row r="564" spans="1:77" x14ac:dyDescent="0.25">
      <c r="A564" s="4"/>
      <c r="B564" s="137"/>
      <c r="C564" s="130"/>
      <c r="D564" s="130"/>
      <c r="E564" s="130"/>
      <c r="F564" s="130"/>
      <c r="G564" s="129"/>
      <c r="H564" s="135"/>
      <c r="I564" s="135"/>
      <c r="J564" s="135"/>
      <c r="K564" s="135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  <c r="BL564" s="6"/>
      <c r="BM564" s="6"/>
      <c r="BN564" s="6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</row>
    <row r="565" spans="1:77" x14ac:dyDescent="0.25">
      <c r="A565" s="4"/>
      <c r="B565" s="137"/>
      <c r="C565" s="130"/>
      <c r="D565" s="130"/>
      <c r="E565" s="130"/>
      <c r="F565" s="130"/>
      <c r="G565" s="129"/>
      <c r="H565" s="135"/>
      <c r="I565" s="135"/>
      <c r="J565" s="135"/>
      <c r="K565" s="135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</row>
    <row r="566" spans="1:77" x14ac:dyDescent="0.25">
      <c r="A566" s="4"/>
      <c r="B566" s="137"/>
      <c r="C566" s="130"/>
      <c r="D566" s="130"/>
      <c r="E566" s="130"/>
      <c r="F566" s="130"/>
      <c r="G566" s="129"/>
      <c r="H566" s="135"/>
      <c r="I566" s="135"/>
      <c r="J566" s="135"/>
      <c r="K566" s="135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  <c r="BL566" s="6"/>
      <c r="BM566" s="6"/>
      <c r="BN566" s="6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</row>
    <row r="567" spans="1:77" x14ac:dyDescent="0.25">
      <c r="A567" s="4"/>
      <c r="B567" s="137"/>
      <c r="C567" s="130"/>
      <c r="D567" s="130"/>
      <c r="E567" s="130"/>
      <c r="F567" s="130"/>
      <c r="G567" s="129"/>
      <c r="H567" s="135"/>
      <c r="I567" s="135"/>
      <c r="J567" s="135"/>
      <c r="K567" s="135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</row>
    <row r="568" spans="1:77" x14ac:dyDescent="0.25">
      <c r="A568" s="4"/>
      <c r="B568" s="137"/>
      <c r="C568" s="130"/>
      <c r="D568" s="130"/>
      <c r="E568" s="130"/>
      <c r="F568" s="130"/>
      <c r="G568" s="129"/>
      <c r="H568" s="135"/>
      <c r="I568" s="135"/>
      <c r="J568" s="135"/>
      <c r="K568" s="135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  <c r="BL568" s="6"/>
      <c r="BM568" s="6"/>
      <c r="BN568" s="6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</row>
    <row r="569" spans="1:77" x14ac:dyDescent="0.25">
      <c r="A569" s="4"/>
      <c r="B569" s="137"/>
      <c r="C569" s="130"/>
      <c r="D569" s="130"/>
      <c r="E569" s="130"/>
      <c r="F569" s="130"/>
      <c r="G569" s="129"/>
      <c r="H569" s="135"/>
      <c r="I569" s="135"/>
      <c r="J569" s="135"/>
      <c r="K569" s="135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  <c r="BL569" s="6"/>
      <c r="BM569" s="6"/>
      <c r="BN569" s="6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</row>
    <row r="570" spans="1:77" x14ac:dyDescent="0.25">
      <c r="A570" s="4"/>
      <c r="B570" s="137"/>
      <c r="C570" s="130"/>
      <c r="D570" s="130"/>
      <c r="E570" s="130"/>
      <c r="F570" s="130"/>
      <c r="G570" s="129"/>
      <c r="H570" s="135"/>
      <c r="I570" s="135"/>
      <c r="J570" s="135"/>
      <c r="K570" s="135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  <c r="BL570" s="6"/>
      <c r="BM570" s="6"/>
      <c r="BN570" s="6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</row>
    <row r="571" spans="1:77" x14ac:dyDescent="0.25">
      <c r="A571" s="4"/>
      <c r="B571" s="137"/>
      <c r="C571" s="130"/>
      <c r="D571" s="130"/>
      <c r="E571" s="130"/>
      <c r="F571" s="130"/>
      <c r="G571" s="129"/>
      <c r="H571" s="135"/>
      <c r="I571" s="135"/>
      <c r="J571" s="135"/>
      <c r="K571" s="135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  <c r="BL571" s="6"/>
      <c r="BM571" s="6"/>
      <c r="BN571" s="6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</row>
    <row r="572" spans="1:77" x14ac:dyDescent="0.25">
      <c r="A572" s="4"/>
      <c r="B572" s="137"/>
      <c r="C572" s="130"/>
      <c r="D572" s="130"/>
      <c r="E572" s="130"/>
      <c r="F572" s="130"/>
      <c r="G572" s="129"/>
      <c r="H572" s="135"/>
      <c r="I572" s="135"/>
      <c r="J572" s="135"/>
      <c r="K572" s="135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  <c r="BL572" s="6"/>
      <c r="BM572" s="6"/>
      <c r="BN572" s="6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</row>
    <row r="573" spans="1:77" x14ac:dyDescent="0.25">
      <c r="A573" s="4"/>
      <c r="B573" s="137"/>
      <c r="C573" s="130"/>
      <c r="D573" s="130"/>
      <c r="E573" s="130"/>
      <c r="F573" s="130"/>
      <c r="G573" s="129"/>
      <c r="H573" s="135"/>
      <c r="I573" s="135"/>
      <c r="J573" s="135"/>
      <c r="K573" s="135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  <c r="BL573" s="6"/>
      <c r="BM573" s="6"/>
      <c r="BN573" s="6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</row>
    <row r="574" spans="1:77" x14ac:dyDescent="0.25">
      <c r="A574" s="4"/>
      <c r="B574" s="137"/>
      <c r="C574" s="130"/>
      <c r="D574" s="130"/>
      <c r="E574" s="130"/>
      <c r="F574" s="130"/>
      <c r="G574" s="129"/>
      <c r="H574" s="135"/>
      <c r="I574" s="135"/>
      <c r="J574" s="135"/>
      <c r="K574" s="135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</row>
    <row r="575" spans="1:77" x14ac:dyDescent="0.25">
      <c r="A575" s="4"/>
      <c r="B575" s="137"/>
      <c r="C575" s="130"/>
      <c r="D575" s="130"/>
      <c r="E575" s="130"/>
      <c r="F575" s="130"/>
      <c r="G575" s="129"/>
      <c r="H575" s="135"/>
      <c r="I575" s="135"/>
      <c r="J575" s="135"/>
      <c r="K575" s="135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6"/>
      <c r="BM575" s="6"/>
      <c r="BN575" s="6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</row>
    <row r="576" spans="1:77" x14ac:dyDescent="0.25">
      <c r="A576" s="4"/>
      <c r="B576" s="137"/>
      <c r="C576" s="130"/>
      <c r="D576" s="130"/>
      <c r="E576" s="130"/>
      <c r="F576" s="130"/>
      <c r="G576" s="129"/>
      <c r="H576" s="135"/>
      <c r="I576" s="135"/>
      <c r="J576" s="135"/>
      <c r="K576" s="135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</row>
    <row r="577" spans="1:77" x14ac:dyDescent="0.25">
      <c r="A577" s="4"/>
      <c r="B577" s="137"/>
      <c r="C577" s="130"/>
      <c r="D577" s="130"/>
      <c r="E577" s="130"/>
      <c r="F577" s="130"/>
      <c r="G577" s="129"/>
      <c r="H577" s="135"/>
      <c r="I577" s="135"/>
      <c r="J577" s="135"/>
      <c r="K577" s="135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  <c r="BL577" s="6"/>
      <c r="BM577" s="6"/>
      <c r="BN577" s="6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</row>
    <row r="578" spans="1:77" x14ac:dyDescent="0.25">
      <c r="A578" s="4"/>
      <c r="B578" s="137"/>
      <c r="C578" s="130"/>
      <c r="D578" s="130"/>
      <c r="E578" s="130"/>
      <c r="F578" s="130"/>
      <c r="G578" s="129"/>
      <c r="H578" s="135"/>
      <c r="I578" s="135"/>
      <c r="J578" s="135"/>
      <c r="K578" s="135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  <c r="BL578" s="6"/>
      <c r="BM578" s="6"/>
      <c r="BN578" s="6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</row>
    <row r="579" spans="1:77" x14ac:dyDescent="0.25">
      <c r="A579" s="4"/>
      <c r="B579" s="137"/>
      <c r="C579" s="130"/>
      <c r="D579" s="130"/>
      <c r="E579" s="130"/>
      <c r="F579" s="130"/>
      <c r="G579" s="129"/>
      <c r="H579" s="135"/>
      <c r="I579" s="135"/>
      <c r="J579" s="135"/>
      <c r="K579" s="135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  <c r="BL579" s="6"/>
      <c r="BM579" s="6"/>
      <c r="BN579" s="6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</row>
    <row r="580" spans="1:77" x14ac:dyDescent="0.25">
      <c r="A580" s="4"/>
      <c r="B580" s="137"/>
      <c r="C580" s="130"/>
      <c r="D580" s="130"/>
      <c r="E580" s="130"/>
      <c r="F580" s="130"/>
      <c r="G580" s="129"/>
      <c r="H580" s="135"/>
      <c r="I580" s="135"/>
      <c r="J580" s="135"/>
      <c r="K580" s="135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</row>
    <row r="581" spans="1:77" x14ac:dyDescent="0.25">
      <c r="A581" s="4"/>
      <c r="B581" s="137"/>
      <c r="C581" s="130"/>
      <c r="D581" s="130"/>
      <c r="E581" s="130"/>
      <c r="F581" s="130"/>
      <c r="G581" s="129"/>
      <c r="H581" s="135"/>
      <c r="I581" s="135"/>
      <c r="J581" s="135"/>
      <c r="K581" s="135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</row>
    <row r="582" spans="1:77" x14ac:dyDescent="0.25">
      <c r="A582" s="4"/>
      <c r="B582" s="137"/>
      <c r="C582" s="130"/>
      <c r="D582" s="130"/>
      <c r="E582" s="130"/>
      <c r="F582" s="130"/>
      <c r="G582" s="129"/>
      <c r="H582" s="135"/>
      <c r="I582" s="135"/>
      <c r="J582" s="135"/>
      <c r="K582" s="135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</row>
    <row r="583" spans="1:77" x14ac:dyDescent="0.25">
      <c r="A583" s="4"/>
      <c r="B583" s="137"/>
      <c r="C583" s="130"/>
      <c r="D583" s="130"/>
      <c r="E583" s="130"/>
      <c r="F583" s="130"/>
      <c r="G583" s="129"/>
      <c r="H583" s="135"/>
      <c r="I583" s="135"/>
      <c r="J583" s="135"/>
      <c r="K583" s="135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</row>
    <row r="584" spans="1:77" x14ac:dyDescent="0.25">
      <c r="A584" s="4"/>
      <c r="B584" s="137"/>
      <c r="C584" s="130"/>
      <c r="D584" s="130"/>
      <c r="E584" s="130"/>
      <c r="F584" s="130"/>
      <c r="G584" s="129"/>
      <c r="H584" s="135"/>
      <c r="I584" s="135"/>
      <c r="J584" s="135"/>
      <c r="K584" s="135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</row>
    <row r="585" spans="1:77" x14ac:dyDescent="0.25">
      <c r="A585" s="4"/>
      <c r="B585" s="137"/>
      <c r="C585" s="130"/>
      <c r="D585" s="130"/>
      <c r="E585" s="130"/>
      <c r="F585" s="130"/>
      <c r="G585" s="129"/>
      <c r="H585" s="135"/>
      <c r="I585" s="135"/>
      <c r="J585" s="135"/>
      <c r="K585" s="135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</row>
    <row r="586" spans="1:77" x14ac:dyDescent="0.25">
      <c r="A586" s="4"/>
      <c r="B586" s="137"/>
      <c r="C586" s="130"/>
      <c r="D586" s="130"/>
      <c r="E586" s="130"/>
      <c r="F586" s="130"/>
      <c r="G586" s="129"/>
      <c r="H586" s="135"/>
      <c r="I586" s="135"/>
      <c r="J586" s="135"/>
      <c r="K586" s="135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</row>
    <row r="587" spans="1:77" x14ac:dyDescent="0.25">
      <c r="A587" s="4"/>
      <c r="B587" s="137"/>
      <c r="C587" s="130"/>
      <c r="D587" s="130"/>
      <c r="E587" s="130"/>
      <c r="F587" s="130"/>
      <c r="G587" s="129"/>
      <c r="H587" s="135"/>
      <c r="I587" s="135"/>
      <c r="J587" s="135"/>
      <c r="K587" s="135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</row>
    <row r="588" spans="1:77" x14ac:dyDescent="0.25">
      <c r="A588" s="4"/>
      <c r="B588" s="137"/>
      <c r="C588" s="130"/>
      <c r="D588" s="130"/>
      <c r="E588" s="130"/>
      <c r="F588" s="130"/>
      <c r="G588" s="129"/>
      <c r="H588" s="135"/>
      <c r="I588" s="135"/>
      <c r="J588" s="135"/>
      <c r="K588" s="135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</row>
    <row r="589" spans="1:77" x14ac:dyDescent="0.25">
      <c r="A589" s="4"/>
      <c r="B589" s="137"/>
      <c r="C589" s="130"/>
      <c r="D589" s="130"/>
      <c r="E589" s="130"/>
      <c r="F589" s="130"/>
      <c r="G589" s="129"/>
      <c r="H589" s="135"/>
      <c r="I589" s="135"/>
      <c r="J589" s="135"/>
      <c r="K589" s="135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</row>
    <row r="590" spans="1:77" x14ac:dyDescent="0.25">
      <c r="A590" s="4"/>
      <c r="B590" s="137"/>
      <c r="C590" s="130"/>
      <c r="D590" s="130"/>
      <c r="E590" s="130"/>
      <c r="F590" s="130"/>
      <c r="G590" s="129"/>
      <c r="H590" s="135"/>
      <c r="I590" s="135"/>
      <c r="J590" s="135"/>
      <c r="K590" s="135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  <c r="BL590" s="6"/>
      <c r="BM590" s="6"/>
      <c r="BN590" s="6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</row>
    <row r="591" spans="1:77" x14ac:dyDescent="0.25">
      <c r="A591" s="4"/>
      <c r="B591" s="137"/>
      <c r="C591" s="130"/>
      <c r="D591" s="130"/>
      <c r="E591" s="130"/>
      <c r="F591" s="130"/>
      <c r="G591" s="129"/>
      <c r="H591" s="135"/>
      <c r="I591" s="135"/>
      <c r="J591" s="135"/>
      <c r="K591" s="135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</row>
    <row r="592" spans="1:77" x14ac:dyDescent="0.25">
      <c r="A592" s="4"/>
      <c r="B592" s="137"/>
      <c r="C592" s="130"/>
      <c r="D592" s="130"/>
      <c r="E592" s="130"/>
      <c r="F592" s="130"/>
      <c r="G592" s="129"/>
      <c r="H592" s="135"/>
      <c r="I592" s="135"/>
      <c r="J592" s="135"/>
      <c r="K592" s="135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</row>
    <row r="593" spans="1:77" x14ac:dyDescent="0.25">
      <c r="A593" s="4"/>
      <c r="B593" s="137"/>
      <c r="C593" s="130"/>
      <c r="D593" s="130"/>
      <c r="E593" s="130"/>
      <c r="F593" s="130"/>
      <c r="G593" s="129"/>
      <c r="H593" s="135"/>
      <c r="I593" s="135"/>
      <c r="J593" s="135"/>
      <c r="K593" s="135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</row>
    <row r="594" spans="1:77" x14ac:dyDescent="0.25">
      <c r="A594" s="4"/>
      <c r="B594" s="137"/>
      <c r="C594" s="130"/>
      <c r="D594" s="130"/>
      <c r="E594" s="130"/>
      <c r="F594" s="130"/>
      <c r="G594" s="129"/>
      <c r="H594" s="135"/>
      <c r="I594" s="135"/>
      <c r="J594" s="135"/>
      <c r="K594" s="135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</row>
    <row r="595" spans="1:77" x14ac:dyDescent="0.25">
      <c r="A595" s="4"/>
      <c r="B595" s="137"/>
      <c r="C595" s="130"/>
      <c r="D595" s="130"/>
      <c r="E595" s="130"/>
      <c r="F595" s="130"/>
      <c r="G595" s="129"/>
      <c r="H595" s="135"/>
      <c r="I595" s="135"/>
      <c r="J595" s="135"/>
      <c r="K595" s="135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</row>
    <row r="596" spans="1:77" x14ac:dyDescent="0.25">
      <c r="A596" s="4"/>
      <c r="B596" s="137"/>
      <c r="C596" s="130"/>
      <c r="D596" s="130"/>
      <c r="E596" s="130"/>
      <c r="F596" s="130"/>
      <c r="G596" s="129"/>
      <c r="H596" s="135"/>
      <c r="I596" s="135"/>
      <c r="J596" s="135"/>
      <c r="K596" s="135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</row>
    <row r="597" spans="1:77" x14ac:dyDescent="0.25">
      <c r="A597" s="4"/>
      <c r="B597" s="137"/>
      <c r="C597" s="130"/>
      <c r="D597" s="130"/>
      <c r="E597" s="130"/>
      <c r="F597" s="130"/>
      <c r="G597" s="129"/>
      <c r="H597" s="135"/>
      <c r="I597" s="135"/>
      <c r="J597" s="135"/>
      <c r="K597" s="135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</row>
    <row r="598" spans="1:77" x14ac:dyDescent="0.25">
      <c r="A598" s="4"/>
      <c r="B598" s="137"/>
      <c r="C598" s="130"/>
      <c r="D598" s="130"/>
      <c r="E598" s="130"/>
      <c r="F598" s="130"/>
      <c r="G598" s="129"/>
      <c r="H598" s="135"/>
      <c r="I598" s="135"/>
      <c r="J598" s="135"/>
      <c r="K598" s="135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</row>
    <row r="599" spans="1:77" x14ac:dyDescent="0.25">
      <c r="A599" s="4"/>
      <c r="B599" s="137"/>
      <c r="C599" s="130"/>
      <c r="D599" s="130"/>
      <c r="E599" s="130"/>
      <c r="F599" s="130"/>
      <c r="G599" s="129"/>
      <c r="H599" s="135"/>
      <c r="I599" s="135"/>
      <c r="J599" s="135"/>
      <c r="K599" s="135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</row>
    <row r="600" spans="1:77" x14ac:dyDescent="0.25">
      <c r="A600" s="4"/>
      <c r="B600" s="137"/>
      <c r="C600" s="130"/>
      <c r="D600" s="130"/>
      <c r="E600" s="130"/>
      <c r="F600" s="130"/>
      <c r="G600" s="129"/>
      <c r="H600" s="135"/>
      <c r="I600" s="135"/>
      <c r="J600" s="135"/>
      <c r="K600" s="135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</row>
    <row r="601" spans="1:77" x14ac:dyDescent="0.25">
      <c r="A601" s="4"/>
      <c r="B601" s="137"/>
      <c r="C601" s="130"/>
      <c r="D601" s="130"/>
      <c r="E601" s="130"/>
      <c r="F601" s="130"/>
      <c r="G601" s="129"/>
      <c r="H601" s="135"/>
      <c r="I601" s="135"/>
      <c r="J601" s="135"/>
      <c r="K601" s="135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</row>
    <row r="602" spans="1:77" x14ac:dyDescent="0.25">
      <c r="A602" s="4"/>
      <c r="B602" s="137"/>
      <c r="C602" s="130"/>
      <c r="D602" s="130"/>
      <c r="E602" s="130"/>
      <c r="F602" s="130"/>
      <c r="G602" s="129"/>
      <c r="H602" s="135"/>
      <c r="I602" s="135"/>
      <c r="J602" s="135"/>
      <c r="K602" s="135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</row>
    <row r="603" spans="1:77" x14ac:dyDescent="0.25">
      <c r="A603" s="4"/>
      <c r="B603" s="137"/>
      <c r="C603" s="130"/>
      <c r="D603" s="130"/>
      <c r="E603" s="130"/>
      <c r="F603" s="130"/>
      <c r="G603" s="129"/>
      <c r="H603" s="135"/>
      <c r="I603" s="135"/>
      <c r="J603" s="135"/>
      <c r="K603" s="135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</row>
    <row r="604" spans="1:77" x14ac:dyDescent="0.25">
      <c r="A604" s="4"/>
      <c r="B604" s="137"/>
      <c r="C604" s="130"/>
      <c r="D604" s="130"/>
      <c r="E604" s="130"/>
      <c r="F604" s="130"/>
      <c r="G604" s="129"/>
      <c r="H604" s="135"/>
      <c r="I604" s="135"/>
      <c r="J604" s="135"/>
      <c r="K604" s="135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</row>
    <row r="605" spans="1:77" x14ac:dyDescent="0.25">
      <c r="A605" s="4"/>
      <c r="B605" s="137"/>
      <c r="C605" s="130"/>
      <c r="D605" s="130"/>
      <c r="E605" s="130"/>
      <c r="F605" s="130"/>
      <c r="G605" s="129"/>
      <c r="H605" s="135"/>
      <c r="I605" s="135"/>
      <c r="J605" s="135"/>
      <c r="K605" s="135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</row>
    <row r="606" spans="1:77" x14ac:dyDescent="0.25">
      <c r="A606" s="4"/>
      <c r="B606" s="137"/>
      <c r="C606" s="130"/>
      <c r="D606" s="130"/>
      <c r="E606" s="130"/>
      <c r="F606" s="130"/>
      <c r="G606" s="129"/>
      <c r="H606" s="135"/>
      <c r="I606" s="135"/>
      <c r="J606" s="135"/>
      <c r="K606" s="135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</row>
    <row r="607" spans="1:77" x14ac:dyDescent="0.25">
      <c r="A607" s="4"/>
      <c r="B607" s="137"/>
      <c r="C607" s="130"/>
      <c r="D607" s="130"/>
      <c r="E607" s="130"/>
      <c r="F607" s="130"/>
      <c r="G607" s="129"/>
      <c r="H607" s="135"/>
      <c r="I607" s="135"/>
      <c r="J607" s="135"/>
      <c r="K607" s="135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</row>
    <row r="608" spans="1:77" x14ac:dyDescent="0.25">
      <c r="A608" s="4"/>
      <c r="B608" s="137"/>
      <c r="C608" s="130"/>
      <c r="D608" s="130"/>
      <c r="E608" s="130"/>
      <c r="F608" s="130"/>
      <c r="G608" s="129"/>
      <c r="H608" s="135"/>
      <c r="I608" s="135"/>
      <c r="J608" s="135"/>
      <c r="K608" s="135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</row>
    <row r="609" spans="1:77" x14ac:dyDescent="0.25">
      <c r="A609" s="4"/>
      <c r="B609" s="137"/>
      <c r="C609" s="130"/>
      <c r="D609" s="130"/>
      <c r="E609" s="130"/>
      <c r="F609" s="130"/>
      <c r="G609" s="129"/>
      <c r="H609" s="135"/>
      <c r="I609" s="135"/>
      <c r="J609" s="135"/>
      <c r="K609" s="135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</row>
    <row r="610" spans="1:77" x14ac:dyDescent="0.25">
      <c r="A610" s="4"/>
      <c r="B610" s="137"/>
      <c r="C610" s="130"/>
      <c r="D610" s="130"/>
      <c r="E610" s="130"/>
      <c r="F610" s="130"/>
      <c r="G610" s="129"/>
      <c r="H610" s="135"/>
      <c r="I610" s="135"/>
      <c r="J610" s="135"/>
      <c r="K610" s="135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</row>
    <row r="611" spans="1:77" x14ac:dyDescent="0.25">
      <c r="A611" s="4"/>
      <c r="B611" s="137"/>
      <c r="C611" s="130"/>
      <c r="D611" s="130"/>
      <c r="E611" s="130"/>
      <c r="F611" s="130"/>
      <c r="G611" s="129"/>
      <c r="H611" s="135"/>
      <c r="I611" s="135"/>
      <c r="J611" s="135"/>
      <c r="K611" s="135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</row>
    <row r="612" spans="1:77" x14ac:dyDescent="0.25">
      <c r="A612" s="4"/>
      <c r="B612" s="137"/>
      <c r="C612" s="130"/>
      <c r="D612" s="130"/>
      <c r="E612" s="130"/>
      <c r="F612" s="130"/>
      <c r="G612" s="129"/>
      <c r="H612" s="135"/>
      <c r="I612" s="135"/>
      <c r="J612" s="135"/>
      <c r="K612" s="135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</row>
    <row r="613" spans="1:77" x14ac:dyDescent="0.25">
      <c r="A613" s="4"/>
      <c r="B613" s="137"/>
      <c r="C613" s="130"/>
      <c r="D613" s="130"/>
      <c r="E613" s="130"/>
      <c r="F613" s="130"/>
      <c r="G613" s="129"/>
      <c r="H613" s="135"/>
      <c r="I613" s="135"/>
      <c r="J613" s="135"/>
      <c r="K613" s="135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  <c r="BL613" s="6"/>
      <c r="BM613" s="6"/>
      <c r="BN613" s="6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</row>
    <row r="614" spans="1:77" x14ac:dyDescent="0.25">
      <c r="A614" s="4"/>
      <c r="B614" s="137"/>
      <c r="C614" s="130"/>
      <c r="D614" s="130"/>
      <c r="E614" s="130"/>
      <c r="F614" s="130"/>
      <c r="G614" s="129"/>
      <c r="H614" s="135"/>
      <c r="I614" s="135"/>
      <c r="J614" s="135"/>
      <c r="K614" s="135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  <c r="BL614" s="6"/>
      <c r="BM614" s="6"/>
      <c r="BN614" s="6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</row>
    <row r="615" spans="1:77" x14ac:dyDescent="0.25">
      <c r="A615" s="4"/>
      <c r="B615" s="137"/>
      <c r="C615" s="130"/>
      <c r="D615" s="130"/>
      <c r="E615" s="130"/>
      <c r="F615" s="130"/>
      <c r="G615" s="129"/>
      <c r="H615" s="135"/>
      <c r="I615" s="135"/>
      <c r="J615" s="135"/>
      <c r="K615" s="135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  <c r="BL615" s="6"/>
      <c r="BM615" s="6"/>
      <c r="BN615" s="6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</row>
    <row r="616" spans="1:77" x14ac:dyDescent="0.25">
      <c r="A616" s="4"/>
      <c r="B616" s="137"/>
      <c r="C616" s="130"/>
      <c r="D616" s="130"/>
      <c r="E616" s="130"/>
      <c r="F616" s="130"/>
      <c r="G616" s="129"/>
      <c r="H616" s="135"/>
      <c r="I616" s="135"/>
      <c r="J616" s="135"/>
      <c r="K616" s="135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  <c r="BL616" s="6"/>
      <c r="BM616" s="6"/>
      <c r="BN616" s="6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</row>
    <row r="617" spans="1:77" x14ac:dyDescent="0.25">
      <c r="A617" s="4"/>
      <c r="B617" s="137"/>
      <c r="C617" s="130"/>
      <c r="D617" s="130"/>
      <c r="E617" s="130"/>
      <c r="F617" s="130"/>
      <c r="G617" s="129"/>
      <c r="H617" s="135"/>
      <c r="I617" s="135"/>
      <c r="J617" s="135"/>
      <c r="K617" s="135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</row>
    <row r="618" spans="1:77" x14ac:dyDescent="0.25">
      <c r="A618" s="4"/>
      <c r="B618" s="137"/>
      <c r="C618" s="130"/>
      <c r="D618" s="130"/>
      <c r="E618" s="130"/>
      <c r="F618" s="130"/>
      <c r="G618" s="129"/>
      <c r="H618" s="135"/>
      <c r="I618" s="135"/>
      <c r="J618" s="135"/>
      <c r="K618" s="135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  <c r="BL618" s="6"/>
      <c r="BM618" s="6"/>
      <c r="BN618" s="6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</row>
    <row r="619" spans="1:77" x14ac:dyDescent="0.25">
      <c r="A619" s="4"/>
      <c r="B619" s="137"/>
      <c r="C619" s="130"/>
      <c r="D619" s="130"/>
      <c r="E619" s="130"/>
      <c r="F619" s="130"/>
      <c r="G619" s="129"/>
      <c r="H619" s="135"/>
      <c r="I619" s="135"/>
      <c r="J619" s="135"/>
      <c r="K619" s="135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  <c r="BL619" s="6"/>
      <c r="BM619" s="6"/>
      <c r="BN619" s="6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</row>
    <row r="620" spans="1:77" x14ac:dyDescent="0.25">
      <c r="A620" s="4"/>
      <c r="B620" s="137"/>
      <c r="C620" s="130"/>
      <c r="D620" s="130"/>
      <c r="E620" s="130"/>
      <c r="F620" s="130"/>
      <c r="G620" s="129"/>
      <c r="H620" s="135"/>
      <c r="I620" s="135"/>
      <c r="J620" s="135"/>
      <c r="K620" s="135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  <c r="BL620" s="6"/>
      <c r="BM620" s="6"/>
      <c r="BN620" s="6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</row>
    <row r="621" spans="1:77" x14ac:dyDescent="0.25">
      <c r="A621" s="4"/>
      <c r="B621" s="137"/>
      <c r="C621" s="130"/>
      <c r="D621" s="130"/>
      <c r="E621" s="130"/>
      <c r="F621" s="130"/>
      <c r="G621" s="129"/>
      <c r="H621" s="135"/>
      <c r="I621" s="135"/>
      <c r="J621" s="135"/>
      <c r="K621" s="135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  <c r="BL621" s="6"/>
      <c r="BM621" s="6"/>
      <c r="BN621" s="6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</row>
    <row r="622" spans="1:77" x14ac:dyDescent="0.25">
      <c r="A622" s="4"/>
      <c r="B622" s="137"/>
      <c r="C622" s="130"/>
      <c r="D622" s="130"/>
      <c r="E622" s="130"/>
      <c r="F622" s="130"/>
      <c r="G622" s="129"/>
      <c r="H622" s="135"/>
      <c r="I622" s="135"/>
      <c r="J622" s="135"/>
      <c r="K622" s="135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  <c r="BL622" s="6"/>
      <c r="BM622" s="6"/>
      <c r="BN622" s="6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</row>
    <row r="623" spans="1:77" x14ac:dyDescent="0.25">
      <c r="A623" s="4"/>
      <c r="B623" s="137"/>
      <c r="C623" s="130"/>
      <c r="D623" s="130"/>
      <c r="E623" s="130"/>
      <c r="F623" s="130"/>
      <c r="G623" s="129"/>
      <c r="H623" s="135"/>
      <c r="I623" s="135"/>
      <c r="J623" s="135"/>
      <c r="K623" s="135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  <c r="BL623" s="6"/>
      <c r="BM623" s="6"/>
      <c r="BN623" s="6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</row>
    <row r="624" spans="1:77" x14ac:dyDescent="0.25">
      <c r="A624" s="4"/>
      <c r="B624" s="137"/>
      <c r="C624" s="130"/>
      <c r="D624" s="130"/>
      <c r="E624" s="130"/>
      <c r="F624" s="130"/>
      <c r="G624" s="129"/>
      <c r="H624" s="135"/>
      <c r="I624" s="135"/>
      <c r="J624" s="135"/>
      <c r="K624" s="135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  <c r="BL624" s="6"/>
      <c r="BM624" s="6"/>
      <c r="BN624" s="6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</row>
    <row r="625" spans="1:77" x14ac:dyDescent="0.25">
      <c r="A625" s="4"/>
      <c r="B625" s="137"/>
      <c r="C625" s="130"/>
      <c r="D625" s="130"/>
      <c r="E625" s="130"/>
      <c r="F625" s="130"/>
      <c r="G625" s="129"/>
      <c r="H625" s="135"/>
      <c r="I625" s="135"/>
      <c r="J625" s="135"/>
      <c r="K625" s="135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  <c r="BL625" s="6"/>
      <c r="BM625" s="6"/>
      <c r="BN625" s="6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</row>
    <row r="626" spans="1:77" x14ac:dyDescent="0.25">
      <c r="A626" s="4"/>
      <c r="B626" s="137"/>
      <c r="C626" s="130"/>
      <c r="D626" s="130"/>
      <c r="E626" s="130"/>
      <c r="F626" s="130"/>
      <c r="G626" s="129"/>
      <c r="H626" s="135"/>
      <c r="I626" s="135"/>
      <c r="J626" s="135"/>
      <c r="K626" s="135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  <c r="BL626" s="6"/>
      <c r="BM626" s="6"/>
      <c r="BN626" s="6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</row>
    <row r="627" spans="1:77" x14ac:dyDescent="0.25">
      <c r="A627" s="4"/>
      <c r="B627" s="137"/>
      <c r="C627" s="130"/>
      <c r="D627" s="130"/>
      <c r="E627" s="130"/>
      <c r="F627" s="130"/>
      <c r="G627" s="129"/>
      <c r="H627" s="135"/>
      <c r="I627" s="135"/>
      <c r="J627" s="135"/>
      <c r="K627" s="135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  <c r="BL627" s="6"/>
      <c r="BM627" s="6"/>
      <c r="BN627" s="6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</row>
    <row r="628" spans="1:77" x14ac:dyDescent="0.25">
      <c r="A628" s="4"/>
      <c r="B628" s="137"/>
      <c r="C628" s="130"/>
      <c r="D628" s="130"/>
      <c r="E628" s="130"/>
      <c r="F628" s="130"/>
      <c r="G628" s="129"/>
      <c r="H628" s="135"/>
      <c r="I628" s="135"/>
      <c r="J628" s="135"/>
      <c r="K628" s="135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  <c r="BL628" s="6"/>
      <c r="BM628" s="6"/>
      <c r="BN628" s="6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</row>
    <row r="629" spans="1:77" x14ac:dyDescent="0.25">
      <c r="A629" s="4"/>
      <c r="B629" s="137"/>
      <c r="C629" s="130"/>
      <c r="D629" s="130"/>
      <c r="E629" s="130"/>
      <c r="F629" s="130"/>
      <c r="G629" s="129"/>
      <c r="H629" s="135"/>
      <c r="I629" s="135"/>
      <c r="J629" s="135"/>
      <c r="K629" s="135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  <c r="BL629" s="6"/>
      <c r="BM629" s="6"/>
      <c r="BN629" s="6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</row>
    <row r="630" spans="1:77" x14ac:dyDescent="0.25">
      <c r="A630" s="4"/>
      <c r="B630" s="137"/>
      <c r="C630" s="130"/>
      <c r="D630" s="130"/>
      <c r="E630" s="130"/>
      <c r="F630" s="130"/>
      <c r="G630" s="129"/>
      <c r="H630" s="135"/>
      <c r="I630" s="135"/>
      <c r="J630" s="135"/>
      <c r="K630" s="135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</row>
    <row r="631" spans="1:77" x14ac:dyDescent="0.25">
      <c r="A631" s="4"/>
      <c r="B631" s="137"/>
      <c r="C631" s="130"/>
      <c r="D631" s="130"/>
      <c r="E631" s="130"/>
      <c r="F631" s="130"/>
      <c r="G631" s="129"/>
      <c r="H631" s="135"/>
      <c r="I631" s="135"/>
      <c r="J631" s="135"/>
      <c r="K631" s="135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  <c r="BL631" s="6"/>
      <c r="BM631" s="6"/>
      <c r="BN631" s="6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</row>
    <row r="632" spans="1:77" x14ac:dyDescent="0.25">
      <c r="A632" s="4"/>
      <c r="B632" s="137"/>
      <c r="C632" s="130"/>
      <c r="D632" s="130"/>
      <c r="E632" s="130"/>
      <c r="F632" s="130"/>
      <c r="G632" s="129"/>
      <c r="H632" s="135"/>
      <c r="I632" s="135"/>
      <c r="J632" s="135"/>
      <c r="K632" s="135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</row>
    <row r="633" spans="1:77" x14ac:dyDescent="0.25">
      <c r="A633" s="4"/>
      <c r="B633" s="137"/>
      <c r="C633" s="130"/>
      <c r="D633" s="130"/>
      <c r="E633" s="130"/>
      <c r="F633" s="130"/>
      <c r="G633" s="129"/>
      <c r="H633" s="135"/>
      <c r="I633" s="135"/>
      <c r="J633" s="135"/>
      <c r="K633" s="135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  <c r="BL633" s="6"/>
      <c r="BM633" s="6"/>
      <c r="BN633" s="6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</row>
    <row r="634" spans="1:77" x14ac:dyDescent="0.25">
      <c r="A634" s="4"/>
      <c r="B634" s="137"/>
      <c r="C634" s="130"/>
      <c r="D634" s="130"/>
      <c r="E634" s="130"/>
      <c r="F634" s="130"/>
      <c r="G634" s="129"/>
      <c r="H634" s="135"/>
      <c r="I634" s="135"/>
      <c r="J634" s="135"/>
      <c r="K634" s="135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</row>
    <row r="635" spans="1:77" x14ac:dyDescent="0.25">
      <c r="A635" s="4"/>
      <c r="B635" s="137"/>
      <c r="C635" s="130"/>
      <c r="D635" s="130"/>
      <c r="E635" s="130"/>
      <c r="F635" s="130"/>
      <c r="G635" s="129"/>
      <c r="H635" s="135"/>
      <c r="I635" s="135"/>
      <c r="J635" s="135"/>
      <c r="K635" s="135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</row>
    <row r="636" spans="1:77" x14ac:dyDescent="0.25">
      <c r="A636" s="4"/>
      <c r="B636" s="137"/>
      <c r="C636" s="130"/>
      <c r="D636" s="130"/>
      <c r="E636" s="130"/>
      <c r="F636" s="130"/>
      <c r="G636" s="129"/>
      <c r="H636" s="135"/>
      <c r="I636" s="135"/>
      <c r="J636" s="135"/>
      <c r="K636" s="135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</row>
    <row r="637" spans="1:77" x14ac:dyDescent="0.25">
      <c r="A637" s="4"/>
      <c r="B637" s="137"/>
      <c r="C637" s="130"/>
      <c r="D637" s="130"/>
      <c r="E637" s="130"/>
      <c r="F637" s="130"/>
      <c r="G637" s="129"/>
      <c r="H637" s="135"/>
      <c r="I637" s="135"/>
      <c r="J637" s="135"/>
      <c r="K637" s="135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</row>
    <row r="638" spans="1:77" x14ac:dyDescent="0.25">
      <c r="A638" s="4"/>
      <c r="B638" s="137"/>
      <c r="C638" s="130"/>
      <c r="D638" s="130"/>
      <c r="E638" s="130"/>
      <c r="F638" s="130"/>
      <c r="G638" s="129"/>
      <c r="H638" s="135"/>
      <c r="I638" s="135"/>
      <c r="J638" s="135"/>
      <c r="K638" s="135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</row>
    <row r="639" spans="1:77" x14ac:dyDescent="0.25">
      <c r="A639" s="4"/>
      <c r="B639" s="137"/>
      <c r="C639" s="130"/>
      <c r="D639" s="130"/>
      <c r="E639" s="130"/>
      <c r="F639" s="130"/>
      <c r="G639" s="129"/>
      <c r="H639" s="135"/>
      <c r="I639" s="135"/>
      <c r="J639" s="135"/>
      <c r="K639" s="135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</row>
    <row r="640" spans="1:77" x14ac:dyDescent="0.25">
      <c r="A640" s="4"/>
      <c r="B640" s="137"/>
      <c r="C640" s="130"/>
      <c r="D640" s="130"/>
      <c r="E640" s="130"/>
      <c r="F640" s="130"/>
      <c r="G640" s="129"/>
      <c r="H640" s="135"/>
      <c r="I640" s="135"/>
      <c r="J640" s="135"/>
      <c r="K640" s="135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</row>
    <row r="641" spans="1:77" x14ac:dyDescent="0.25">
      <c r="A641" s="4"/>
      <c r="B641" s="137"/>
      <c r="C641" s="130"/>
      <c r="D641" s="130"/>
      <c r="E641" s="130"/>
      <c r="F641" s="130"/>
      <c r="G641" s="129"/>
      <c r="H641" s="135"/>
      <c r="I641" s="135"/>
      <c r="J641" s="135"/>
      <c r="K641" s="135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</row>
    <row r="642" spans="1:77" x14ac:dyDescent="0.25">
      <c r="A642" s="4"/>
      <c r="B642" s="137"/>
      <c r="C642" s="130"/>
      <c r="D642" s="130"/>
      <c r="E642" s="130"/>
      <c r="F642" s="130"/>
      <c r="G642" s="129"/>
      <c r="H642" s="135"/>
      <c r="I642" s="135"/>
      <c r="J642" s="135"/>
      <c r="K642" s="135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</row>
    <row r="643" spans="1:77" x14ac:dyDescent="0.25">
      <c r="A643" s="4"/>
      <c r="B643" s="137"/>
      <c r="C643" s="130"/>
      <c r="D643" s="130"/>
      <c r="E643" s="130"/>
      <c r="F643" s="130"/>
      <c r="G643" s="129"/>
      <c r="H643" s="135"/>
      <c r="I643" s="135"/>
      <c r="J643" s="135"/>
      <c r="K643" s="135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  <c r="BL643" s="6"/>
      <c r="BM643" s="6"/>
      <c r="BN643" s="6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</row>
    <row r="644" spans="1:77" x14ac:dyDescent="0.25">
      <c r="A644" s="4"/>
      <c r="B644" s="137"/>
      <c r="C644" s="130"/>
      <c r="D644" s="130"/>
      <c r="E644" s="130"/>
      <c r="F644" s="130"/>
      <c r="G644" s="129"/>
      <c r="H644" s="135"/>
      <c r="I644" s="135"/>
      <c r="J644" s="135"/>
      <c r="K644" s="135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</row>
    <row r="645" spans="1:77" x14ac:dyDescent="0.25">
      <c r="A645" s="4"/>
      <c r="B645" s="137"/>
      <c r="C645" s="130"/>
      <c r="D645" s="130"/>
      <c r="E645" s="130"/>
      <c r="F645" s="130"/>
      <c r="G645" s="129"/>
      <c r="H645" s="135"/>
      <c r="I645" s="135"/>
      <c r="J645" s="135"/>
      <c r="K645" s="135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  <c r="BL645" s="6"/>
      <c r="BM645" s="6"/>
      <c r="BN645" s="6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</row>
    <row r="646" spans="1:77" x14ac:dyDescent="0.25">
      <c r="A646" s="4"/>
      <c r="B646" s="137"/>
      <c r="C646" s="130"/>
      <c r="D646" s="130"/>
      <c r="E646" s="130"/>
      <c r="F646" s="130"/>
      <c r="G646" s="129"/>
      <c r="H646" s="135"/>
      <c r="I646" s="135"/>
      <c r="J646" s="135"/>
      <c r="K646" s="135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</row>
    <row r="647" spans="1:77" x14ac:dyDescent="0.25">
      <c r="A647" s="4"/>
      <c r="B647" s="137"/>
      <c r="C647" s="130"/>
      <c r="D647" s="130"/>
      <c r="E647" s="130"/>
      <c r="F647" s="130"/>
      <c r="G647" s="129"/>
      <c r="H647" s="135"/>
      <c r="I647" s="135"/>
      <c r="J647" s="135"/>
      <c r="K647" s="135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  <c r="BM647" s="6"/>
      <c r="BN647" s="6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</row>
    <row r="648" spans="1:77" x14ac:dyDescent="0.25">
      <c r="A648" s="4"/>
      <c r="B648" s="137"/>
      <c r="C648" s="130"/>
      <c r="D648" s="130"/>
      <c r="E648" s="130"/>
      <c r="F648" s="130"/>
      <c r="G648" s="129"/>
      <c r="H648" s="135"/>
      <c r="I648" s="135"/>
      <c r="J648" s="135"/>
      <c r="K648" s="135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</row>
    <row r="649" spans="1:77" x14ac:dyDescent="0.25">
      <c r="A649" s="4"/>
      <c r="B649" s="137"/>
      <c r="C649" s="130"/>
      <c r="D649" s="130"/>
      <c r="E649" s="130"/>
      <c r="F649" s="130"/>
      <c r="G649" s="129"/>
      <c r="H649" s="135"/>
      <c r="I649" s="135"/>
      <c r="J649" s="135"/>
      <c r="K649" s="135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</row>
    <row r="650" spans="1:77" x14ac:dyDescent="0.25">
      <c r="A650" s="4"/>
      <c r="B650" s="137"/>
      <c r="C650" s="130"/>
      <c r="D650" s="130"/>
      <c r="E650" s="130"/>
      <c r="F650" s="130"/>
      <c r="G650" s="129"/>
      <c r="H650" s="135"/>
      <c r="I650" s="135"/>
      <c r="J650" s="135"/>
      <c r="K650" s="135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</row>
    <row r="651" spans="1:77" x14ac:dyDescent="0.25">
      <c r="A651" s="4"/>
      <c r="B651" s="137"/>
      <c r="C651" s="130"/>
      <c r="D651" s="130"/>
      <c r="E651" s="130"/>
      <c r="F651" s="130"/>
      <c r="G651" s="129"/>
      <c r="H651" s="135"/>
      <c r="I651" s="135"/>
      <c r="J651" s="135"/>
      <c r="K651" s="135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  <c r="BL651" s="6"/>
      <c r="BM651" s="6"/>
      <c r="BN651" s="6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</row>
    <row r="652" spans="1:77" x14ac:dyDescent="0.25">
      <c r="A652" s="4"/>
      <c r="B652" s="137"/>
      <c r="C652" s="130"/>
      <c r="D652" s="130"/>
      <c r="E652" s="130"/>
      <c r="F652" s="130"/>
      <c r="G652" s="129"/>
      <c r="H652" s="135"/>
      <c r="I652" s="135"/>
      <c r="J652" s="135"/>
      <c r="K652" s="135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</row>
    <row r="653" spans="1:77" x14ac:dyDescent="0.25">
      <c r="A653" s="4"/>
      <c r="B653" s="137"/>
      <c r="C653" s="130"/>
      <c r="D653" s="130"/>
      <c r="E653" s="130"/>
      <c r="F653" s="130"/>
      <c r="G653" s="129"/>
      <c r="H653" s="135"/>
      <c r="I653" s="135"/>
      <c r="J653" s="135"/>
      <c r="K653" s="135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  <c r="BL653" s="6"/>
      <c r="BM653" s="6"/>
      <c r="BN653" s="6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</row>
    <row r="654" spans="1:77" x14ac:dyDescent="0.25">
      <c r="A654" s="4"/>
      <c r="B654" s="137"/>
      <c r="C654" s="130"/>
      <c r="D654" s="130"/>
      <c r="E654" s="130"/>
      <c r="F654" s="130"/>
      <c r="G654" s="129"/>
      <c r="H654" s="135"/>
      <c r="I654" s="135"/>
      <c r="J654" s="135"/>
      <c r="K654" s="135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  <c r="BL654" s="6"/>
      <c r="BM654" s="6"/>
      <c r="BN654" s="6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</row>
    <row r="655" spans="1:77" x14ac:dyDescent="0.25">
      <c r="A655" s="4"/>
      <c r="B655" s="137"/>
      <c r="C655" s="130"/>
      <c r="D655" s="130"/>
      <c r="E655" s="130"/>
      <c r="F655" s="130"/>
      <c r="G655" s="129"/>
      <c r="H655" s="135"/>
      <c r="I655" s="135"/>
      <c r="J655" s="135"/>
      <c r="K655" s="135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  <c r="BM655" s="6"/>
      <c r="BN655" s="6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</row>
    <row r="656" spans="1:77" x14ac:dyDescent="0.25">
      <c r="A656" s="4"/>
      <c r="B656" s="137"/>
      <c r="C656" s="130"/>
      <c r="D656" s="130"/>
      <c r="E656" s="130"/>
      <c r="F656" s="130"/>
      <c r="G656" s="129"/>
      <c r="H656" s="135"/>
      <c r="I656" s="135"/>
      <c r="J656" s="135"/>
      <c r="K656" s="135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</row>
    <row r="657" spans="1:77" x14ac:dyDescent="0.25">
      <c r="A657" s="4"/>
      <c r="B657" s="137"/>
      <c r="C657" s="130"/>
      <c r="D657" s="130"/>
      <c r="E657" s="130"/>
      <c r="F657" s="130"/>
      <c r="G657" s="129"/>
      <c r="H657" s="135"/>
      <c r="I657" s="135"/>
      <c r="J657" s="135"/>
      <c r="K657" s="135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</row>
    <row r="658" spans="1:77" x14ac:dyDescent="0.25">
      <c r="A658" s="4"/>
      <c r="B658" s="137"/>
      <c r="C658" s="130"/>
      <c r="D658" s="130"/>
      <c r="E658" s="130"/>
      <c r="F658" s="130"/>
      <c r="G658" s="129"/>
      <c r="H658" s="135"/>
      <c r="I658" s="135"/>
      <c r="J658" s="135"/>
      <c r="K658" s="135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</row>
    <row r="659" spans="1:77" x14ac:dyDescent="0.25">
      <c r="A659" s="4"/>
      <c r="B659" s="137"/>
      <c r="C659" s="130"/>
      <c r="D659" s="130"/>
      <c r="E659" s="130"/>
      <c r="F659" s="130"/>
      <c r="G659" s="129"/>
      <c r="H659" s="135"/>
      <c r="I659" s="135"/>
      <c r="J659" s="135"/>
      <c r="K659" s="135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  <c r="BL659" s="6"/>
      <c r="BM659" s="6"/>
      <c r="BN659" s="6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</row>
    <row r="660" spans="1:77" x14ac:dyDescent="0.25">
      <c r="A660" s="4"/>
      <c r="B660" s="137"/>
      <c r="C660" s="130"/>
      <c r="D660" s="130"/>
      <c r="E660" s="130"/>
      <c r="F660" s="130"/>
      <c r="G660" s="129"/>
      <c r="H660" s="135"/>
      <c r="I660" s="135"/>
      <c r="J660" s="135"/>
      <c r="K660" s="135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</row>
    <row r="661" spans="1:77" x14ac:dyDescent="0.25">
      <c r="A661" s="4"/>
      <c r="B661" s="137"/>
      <c r="C661" s="130"/>
      <c r="D661" s="130"/>
      <c r="E661" s="130"/>
      <c r="F661" s="130"/>
      <c r="G661" s="129"/>
      <c r="H661" s="135"/>
      <c r="I661" s="135"/>
      <c r="J661" s="135"/>
      <c r="K661" s="135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  <c r="BL661" s="6"/>
      <c r="BM661" s="6"/>
      <c r="BN661" s="6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</row>
    <row r="662" spans="1:77" x14ac:dyDescent="0.25">
      <c r="A662" s="4"/>
      <c r="B662" s="137"/>
      <c r="C662" s="130"/>
      <c r="D662" s="130"/>
      <c r="E662" s="130"/>
      <c r="F662" s="130"/>
      <c r="G662" s="129"/>
      <c r="H662" s="135"/>
      <c r="I662" s="135"/>
      <c r="J662" s="135"/>
      <c r="K662" s="135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</row>
    <row r="663" spans="1:77" x14ac:dyDescent="0.25">
      <c r="A663" s="4"/>
      <c r="B663" s="137"/>
      <c r="C663" s="130"/>
      <c r="D663" s="130"/>
      <c r="E663" s="130"/>
      <c r="F663" s="130"/>
      <c r="G663" s="129"/>
      <c r="H663" s="135"/>
      <c r="I663" s="135"/>
      <c r="J663" s="135"/>
      <c r="K663" s="135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  <c r="BL663" s="6"/>
      <c r="BM663" s="6"/>
      <c r="BN663" s="6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</row>
    <row r="664" spans="1:77" x14ac:dyDescent="0.25">
      <c r="A664" s="4"/>
      <c r="B664" s="137"/>
      <c r="C664" s="130"/>
      <c r="D664" s="130"/>
      <c r="E664" s="130"/>
      <c r="F664" s="130"/>
      <c r="G664" s="129"/>
      <c r="H664" s="135"/>
      <c r="I664" s="135"/>
      <c r="J664" s="135"/>
      <c r="K664" s="135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</row>
    <row r="665" spans="1:77" x14ac:dyDescent="0.25">
      <c r="A665" s="4"/>
      <c r="B665" s="137"/>
      <c r="C665" s="130"/>
      <c r="D665" s="130"/>
      <c r="E665" s="130"/>
      <c r="F665" s="130"/>
      <c r="G665" s="129"/>
      <c r="H665" s="135"/>
      <c r="I665" s="135"/>
      <c r="J665" s="135"/>
      <c r="K665" s="135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</row>
    <row r="666" spans="1:77" x14ac:dyDescent="0.25">
      <c r="A666" s="4"/>
      <c r="B666" s="137"/>
      <c r="C666" s="130"/>
      <c r="D666" s="130"/>
      <c r="E666" s="130"/>
      <c r="F666" s="130"/>
      <c r="G666" s="129"/>
      <c r="H666" s="135"/>
      <c r="I666" s="135"/>
      <c r="J666" s="135"/>
      <c r="K666" s="135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</row>
    <row r="667" spans="1:77" x14ac:dyDescent="0.25">
      <c r="A667" s="4"/>
      <c r="B667" s="137"/>
      <c r="C667" s="130"/>
      <c r="D667" s="130"/>
      <c r="E667" s="130"/>
      <c r="F667" s="130"/>
      <c r="G667" s="129"/>
      <c r="H667" s="135"/>
      <c r="I667" s="135"/>
      <c r="J667" s="135"/>
      <c r="K667" s="135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  <c r="BL667" s="6"/>
      <c r="BM667" s="6"/>
      <c r="BN667" s="6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</row>
    <row r="668" spans="1:77" x14ac:dyDescent="0.25">
      <c r="A668" s="4"/>
      <c r="B668" s="137"/>
      <c r="C668" s="130"/>
      <c r="D668" s="130"/>
      <c r="E668" s="130"/>
      <c r="F668" s="130"/>
      <c r="G668" s="129"/>
      <c r="H668" s="135"/>
      <c r="I668" s="135"/>
      <c r="J668" s="135"/>
      <c r="K668" s="135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</row>
    <row r="669" spans="1:77" x14ac:dyDescent="0.25">
      <c r="A669" s="4"/>
      <c r="B669" s="137"/>
      <c r="C669" s="130"/>
      <c r="D669" s="130"/>
      <c r="E669" s="130"/>
      <c r="F669" s="130"/>
      <c r="G669" s="129"/>
      <c r="H669" s="135"/>
      <c r="I669" s="135"/>
      <c r="J669" s="135"/>
      <c r="K669" s="135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  <c r="BL669" s="6"/>
      <c r="BM669" s="6"/>
      <c r="BN669" s="6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</row>
    <row r="670" spans="1:77" x14ac:dyDescent="0.25">
      <c r="A670" s="4"/>
      <c r="B670" s="137"/>
      <c r="C670" s="130"/>
      <c r="D670" s="130"/>
      <c r="E670" s="130"/>
      <c r="F670" s="130"/>
      <c r="G670" s="129"/>
      <c r="H670" s="135"/>
      <c r="I670" s="135"/>
      <c r="J670" s="135"/>
      <c r="K670" s="135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</row>
    <row r="671" spans="1:77" x14ac:dyDescent="0.25">
      <c r="A671" s="4"/>
      <c r="B671" s="137"/>
      <c r="C671" s="130"/>
      <c r="D671" s="130"/>
      <c r="E671" s="130"/>
      <c r="F671" s="130"/>
      <c r="G671" s="129"/>
      <c r="H671" s="135"/>
      <c r="I671" s="135"/>
      <c r="J671" s="135"/>
      <c r="K671" s="135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  <c r="BL671" s="6"/>
      <c r="BM671" s="6"/>
      <c r="BN671" s="6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</row>
    <row r="672" spans="1:77" x14ac:dyDescent="0.25">
      <c r="A672" s="4"/>
      <c r="B672" s="137"/>
      <c r="C672" s="130"/>
      <c r="D672" s="130"/>
      <c r="E672" s="130"/>
      <c r="F672" s="130"/>
      <c r="G672" s="129"/>
      <c r="H672" s="135"/>
      <c r="I672" s="135"/>
      <c r="J672" s="135"/>
      <c r="K672" s="135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</row>
    <row r="673" spans="1:77" x14ac:dyDescent="0.25">
      <c r="A673" s="4"/>
      <c r="B673" s="137"/>
      <c r="C673" s="130"/>
      <c r="D673" s="130"/>
      <c r="E673" s="130"/>
      <c r="F673" s="130"/>
      <c r="G673" s="129"/>
      <c r="H673" s="135"/>
      <c r="I673" s="135"/>
      <c r="J673" s="135"/>
      <c r="K673" s="135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</row>
    <row r="674" spans="1:77" x14ac:dyDescent="0.25">
      <c r="A674" s="4"/>
      <c r="B674" s="137"/>
      <c r="C674" s="130"/>
      <c r="D674" s="130"/>
      <c r="E674" s="130"/>
      <c r="F674" s="130"/>
      <c r="G674" s="129"/>
      <c r="H674" s="135"/>
      <c r="I674" s="135"/>
      <c r="J674" s="135"/>
      <c r="K674" s="135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</row>
    <row r="675" spans="1:77" x14ac:dyDescent="0.25">
      <c r="A675" s="4"/>
      <c r="B675" s="137"/>
      <c r="C675" s="130"/>
      <c r="D675" s="130"/>
      <c r="E675" s="130"/>
      <c r="F675" s="130"/>
      <c r="G675" s="129"/>
      <c r="H675" s="135"/>
      <c r="I675" s="135"/>
      <c r="J675" s="135"/>
      <c r="K675" s="135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</row>
    <row r="676" spans="1:77" x14ac:dyDescent="0.25">
      <c r="A676" s="4"/>
      <c r="B676" s="137"/>
      <c r="C676" s="130"/>
      <c r="D676" s="130"/>
      <c r="E676" s="130"/>
      <c r="F676" s="130"/>
      <c r="G676" s="129"/>
      <c r="H676" s="135"/>
      <c r="I676" s="135"/>
      <c r="J676" s="135"/>
      <c r="K676" s="135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</row>
    <row r="677" spans="1:77" x14ac:dyDescent="0.25">
      <c r="A677" s="4"/>
      <c r="B677" s="137"/>
      <c r="C677" s="130"/>
      <c r="D677" s="130"/>
      <c r="E677" s="130"/>
      <c r="F677" s="130"/>
      <c r="G677" s="129"/>
      <c r="H677" s="135"/>
      <c r="I677" s="135"/>
      <c r="J677" s="135"/>
      <c r="K677" s="135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</row>
    <row r="678" spans="1:77" x14ac:dyDescent="0.25">
      <c r="A678" s="4"/>
      <c r="B678" s="137"/>
      <c r="C678" s="130"/>
      <c r="D678" s="130"/>
      <c r="E678" s="130"/>
      <c r="F678" s="130"/>
      <c r="G678" s="129"/>
      <c r="H678" s="135"/>
      <c r="I678" s="135"/>
      <c r="J678" s="135"/>
      <c r="K678" s="135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</row>
    <row r="679" spans="1:77" x14ac:dyDescent="0.25">
      <c r="A679" s="4"/>
      <c r="B679" s="137"/>
      <c r="C679" s="130"/>
      <c r="D679" s="130"/>
      <c r="E679" s="130"/>
      <c r="F679" s="130"/>
      <c r="G679" s="129"/>
      <c r="H679" s="135"/>
      <c r="I679" s="135"/>
      <c r="J679" s="135"/>
      <c r="K679" s="135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</row>
    <row r="680" spans="1:77" x14ac:dyDescent="0.25">
      <c r="A680" s="4"/>
      <c r="B680" s="137"/>
      <c r="C680" s="130"/>
      <c r="D680" s="130"/>
      <c r="E680" s="130"/>
      <c r="F680" s="130"/>
      <c r="G680" s="129"/>
      <c r="H680" s="135"/>
      <c r="I680" s="135"/>
      <c r="J680" s="135"/>
      <c r="K680" s="135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</row>
    <row r="681" spans="1:77" x14ac:dyDescent="0.25">
      <c r="A681" s="4"/>
      <c r="B681" s="137"/>
      <c r="C681" s="130"/>
      <c r="D681" s="130"/>
      <c r="E681" s="130"/>
      <c r="F681" s="130"/>
      <c r="G681" s="129"/>
      <c r="H681" s="135"/>
      <c r="I681" s="135"/>
      <c r="J681" s="135"/>
      <c r="K681" s="135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</row>
    <row r="682" spans="1:77" x14ac:dyDescent="0.25">
      <c r="A682" s="4"/>
      <c r="B682" s="137"/>
      <c r="C682" s="130"/>
      <c r="D682" s="130"/>
      <c r="E682" s="130"/>
      <c r="F682" s="130"/>
      <c r="G682" s="129"/>
      <c r="H682" s="135"/>
      <c r="I682" s="135"/>
      <c r="J682" s="135"/>
      <c r="K682" s="135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</row>
    <row r="683" spans="1:77" x14ac:dyDescent="0.25">
      <c r="A683" s="4"/>
      <c r="B683" s="137"/>
      <c r="C683" s="130"/>
      <c r="D683" s="130"/>
      <c r="E683" s="130"/>
      <c r="F683" s="130"/>
      <c r="G683" s="129"/>
      <c r="H683" s="135"/>
      <c r="I683" s="135"/>
      <c r="J683" s="135"/>
      <c r="K683" s="135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</row>
    <row r="684" spans="1:77" x14ac:dyDescent="0.25">
      <c r="A684" s="4"/>
      <c r="B684" s="137"/>
      <c r="C684" s="130"/>
      <c r="D684" s="130"/>
      <c r="E684" s="130"/>
      <c r="F684" s="130"/>
      <c r="G684" s="129"/>
      <c r="H684" s="135"/>
      <c r="I684" s="135"/>
      <c r="J684" s="135"/>
      <c r="K684" s="135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</row>
    <row r="685" spans="1:77" x14ac:dyDescent="0.25">
      <c r="A685" s="4"/>
      <c r="B685" s="137"/>
      <c r="C685" s="130"/>
      <c r="D685" s="130"/>
      <c r="E685" s="130"/>
      <c r="F685" s="130"/>
      <c r="G685" s="129"/>
      <c r="H685" s="135"/>
      <c r="I685" s="135"/>
      <c r="J685" s="135"/>
      <c r="K685" s="135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</row>
    <row r="686" spans="1:77" x14ac:dyDescent="0.25">
      <c r="A686" s="4"/>
      <c r="B686" s="137"/>
      <c r="C686" s="130"/>
      <c r="D686" s="130"/>
      <c r="E686" s="130"/>
      <c r="F686" s="130"/>
      <c r="G686" s="129"/>
      <c r="H686" s="135"/>
      <c r="I686" s="135"/>
      <c r="J686" s="135"/>
      <c r="K686" s="135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</row>
    <row r="687" spans="1:77" x14ac:dyDescent="0.25">
      <c r="A687" s="4"/>
      <c r="B687" s="137"/>
      <c r="C687" s="130"/>
      <c r="D687" s="130"/>
      <c r="E687" s="130"/>
      <c r="F687" s="130"/>
      <c r="G687" s="129"/>
      <c r="H687" s="135"/>
      <c r="I687" s="135"/>
      <c r="J687" s="135"/>
      <c r="K687" s="135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</row>
    <row r="688" spans="1:77" x14ac:dyDescent="0.25">
      <c r="A688" s="4"/>
      <c r="B688" s="137"/>
      <c r="C688" s="130"/>
      <c r="D688" s="130"/>
      <c r="E688" s="130"/>
      <c r="F688" s="130"/>
      <c r="G688" s="129"/>
      <c r="H688" s="135"/>
      <c r="I688" s="135"/>
      <c r="J688" s="135"/>
      <c r="K688" s="135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</row>
    <row r="689" spans="1:77" x14ac:dyDescent="0.25">
      <c r="A689" s="4"/>
      <c r="B689" s="137"/>
      <c r="C689" s="130"/>
      <c r="D689" s="130"/>
      <c r="E689" s="130"/>
      <c r="F689" s="130"/>
      <c r="G689" s="129"/>
      <c r="H689" s="135"/>
      <c r="I689" s="135"/>
      <c r="J689" s="135"/>
      <c r="K689" s="135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</row>
    <row r="690" spans="1:77" x14ac:dyDescent="0.25">
      <c r="A690" s="4"/>
      <c r="B690" s="137"/>
      <c r="C690" s="130"/>
      <c r="D690" s="130"/>
      <c r="E690" s="130"/>
      <c r="F690" s="130"/>
      <c r="G690" s="129"/>
      <c r="H690" s="135"/>
      <c r="I690" s="135"/>
      <c r="J690" s="135"/>
      <c r="K690" s="135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</row>
    <row r="691" spans="1:77" x14ac:dyDescent="0.25">
      <c r="A691" s="4"/>
      <c r="B691" s="137"/>
      <c r="C691" s="130"/>
      <c r="D691" s="130"/>
      <c r="E691" s="130"/>
      <c r="F691" s="130"/>
      <c r="G691" s="129"/>
      <c r="H691" s="135"/>
      <c r="I691" s="135"/>
      <c r="J691" s="135"/>
      <c r="K691" s="135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</row>
    <row r="692" spans="1:77" x14ac:dyDescent="0.25">
      <c r="A692" s="4"/>
      <c r="B692" s="137"/>
      <c r="C692" s="130"/>
      <c r="D692" s="130"/>
      <c r="E692" s="130"/>
      <c r="F692" s="130"/>
      <c r="G692" s="129"/>
      <c r="H692" s="135"/>
      <c r="I692" s="135"/>
      <c r="J692" s="135"/>
      <c r="K692" s="135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</row>
    <row r="693" spans="1:77" x14ac:dyDescent="0.25">
      <c r="A693" s="4"/>
      <c r="B693" s="137"/>
      <c r="C693" s="130"/>
      <c r="D693" s="130"/>
      <c r="E693" s="130"/>
      <c r="F693" s="130"/>
      <c r="G693" s="129"/>
      <c r="H693" s="135"/>
      <c r="I693" s="135"/>
      <c r="J693" s="135"/>
      <c r="K693" s="135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</row>
    <row r="694" spans="1:77" x14ac:dyDescent="0.25">
      <c r="A694" s="4"/>
      <c r="B694" s="137"/>
      <c r="C694" s="130"/>
      <c r="D694" s="130"/>
      <c r="E694" s="130"/>
      <c r="F694" s="130"/>
      <c r="G694" s="129"/>
      <c r="H694" s="135"/>
      <c r="I694" s="135"/>
      <c r="J694" s="135"/>
      <c r="K694" s="135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</row>
    <row r="695" spans="1:77" x14ac:dyDescent="0.25">
      <c r="A695" s="4"/>
      <c r="B695" s="137"/>
      <c r="C695" s="130"/>
      <c r="D695" s="130"/>
      <c r="E695" s="130"/>
      <c r="F695" s="130"/>
      <c r="G695" s="129"/>
      <c r="H695" s="135"/>
      <c r="I695" s="135"/>
      <c r="J695" s="135"/>
      <c r="K695" s="135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</row>
    <row r="696" spans="1:77" x14ac:dyDescent="0.25">
      <c r="A696" s="4"/>
      <c r="B696" s="137"/>
      <c r="C696" s="130"/>
      <c r="D696" s="130"/>
      <c r="E696" s="130"/>
      <c r="F696" s="130"/>
      <c r="G696" s="129"/>
      <c r="H696" s="135"/>
      <c r="I696" s="135"/>
      <c r="J696" s="135"/>
      <c r="K696" s="135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</row>
    <row r="697" spans="1:77" x14ac:dyDescent="0.25">
      <c r="A697" s="4"/>
      <c r="B697" s="137"/>
      <c r="C697" s="130"/>
      <c r="D697" s="130"/>
      <c r="E697" s="130"/>
      <c r="F697" s="130"/>
      <c r="G697" s="129"/>
      <c r="H697" s="135"/>
      <c r="I697" s="135"/>
      <c r="J697" s="135"/>
      <c r="K697" s="135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</row>
    <row r="698" spans="1:77" x14ac:dyDescent="0.25">
      <c r="A698" s="4"/>
      <c r="B698" s="137"/>
      <c r="C698" s="130"/>
      <c r="D698" s="130"/>
      <c r="E698" s="130"/>
      <c r="F698" s="130"/>
      <c r="G698" s="129"/>
      <c r="H698" s="135"/>
      <c r="I698" s="135"/>
      <c r="J698" s="135"/>
      <c r="K698" s="135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</row>
    <row r="699" spans="1:77" x14ac:dyDescent="0.25">
      <c r="A699" s="4"/>
      <c r="B699" s="137"/>
      <c r="C699" s="130"/>
      <c r="D699" s="130"/>
      <c r="E699" s="130"/>
      <c r="F699" s="130"/>
      <c r="G699" s="129"/>
      <c r="H699" s="135"/>
      <c r="I699" s="135"/>
      <c r="J699" s="135"/>
      <c r="K699" s="135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</row>
    <row r="700" spans="1:77" x14ac:dyDescent="0.25">
      <c r="A700" s="4"/>
      <c r="B700" s="137"/>
      <c r="C700" s="130"/>
      <c r="D700" s="130"/>
      <c r="E700" s="130"/>
      <c r="F700" s="130"/>
      <c r="G700" s="129"/>
      <c r="H700" s="135"/>
      <c r="I700" s="135"/>
      <c r="J700" s="135"/>
      <c r="K700" s="135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</row>
    <row r="701" spans="1:77" x14ac:dyDescent="0.25">
      <c r="A701" s="4"/>
      <c r="B701" s="137"/>
      <c r="C701" s="130"/>
      <c r="D701" s="130"/>
      <c r="E701" s="130"/>
      <c r="F701" s="130"/>
      <c r="G701" s="129"/>
      <c r="H701" s="135"/>
      <c r="I701" s="135"/>
      <c r="J701" s="135"/>
      <c r="K701" s="135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</row>
    <row r="702" spans="1:77" x14ac:dyDescent="0.25">
      <c r="A702" s="4"/>
      <c r="B702" s="137"/>
      <c r="C702" s="130"/>
      <c r="D702" s="130"/>
      <c r="E702" s="130"/>
      <c r="F702" s="130"/>
      <c r="G702" s="129"/>
      <c r="H702" s="135"/>
      <c r="I702" s="135"/>
      <c r="J702" s="135"/>
      <c r="K702" s="135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</row>
    <row r="703" spans="1:77" x14ac:dyDescent="0.25">
      <c r="A703" s="4"/>
      <c r="B703" s="137"/>
      <c r="C703" s="130"/>
      <c r="D703" s="130"/>
      <c r="E703" s="130"/>
      <c r="F703" s="130"/>
      <c r="G703" s="129"/>
      <c r="H703" s="135"/>
      <c r="I703" s="135"/>
      <c r="J703" s="135"/>
      <c r="K703" s="135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</row>
    <row r="704" spans="1:77" x14ac:dyDescent="0.25">
      <c r="A704" s="4"/>
      <c r="B704" s="137"/>
      <c r="C704" s="130"/>
      <c r="D704" s="130"/>
      <c r="E704" s="130"/>
      <c r="F704" s="130"/>
      <c r="G704" s="129"/>
      <c r="H704" s="135"/>
      <c r="I704" s="135"/>
      <c r="J704" s="135"/>
      <c r="K704" s="135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</row>
    <row r="705" spans="1:77" x14ac:dyDescent="0.25">
      <c r="A705" s="4"/>
      <c r="B705" s="137"/>
      <c r="C705" s="130"/>
      <c r="D705" s="130"/>
      <c r="E705" s="130"/>
      <c r="F705" s="130"/>
      <c r="G705" s="129"/>
      <c r="H705" s="135"/>
      <c r="I705" s="135"/>
      <c r="J705" s="135"/>
      <c r="K705" s="135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</row>
    <row r="706" spans="1:77" x14ac:dyDescent="0.25">
      <c r="A706" s="4"/>
      <c r="B706" s="137"/>
      <c r="C706" s="130"/>
      <c r="D706" s="130"/>
      <c r="E706" s="130"/>
      <c r="F706" s="130"/>
      <c r="G706" s="129"/>
      <c r="H706" s="135"/>
      <c r="I706" s="135"/>
      <c r="J706" s="135"/>
      <c r="K706" s="135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</row>
    <row r="707" spans="1:77" x14ac:dyDescent="0.25">
      <c r="A707" s="4"/>
      <c r="B707" s="137"/>
      <c r="C707" s="130"/>
      <c r="D707" s="130"/>
      <c r="E707" s="130"/>
      <c r="F707" s="130"/>
      <c r="G707" s="129"/>
      <c r="H707" s="135"/>
      <c r="I707" s="135"/>
      <c r="J707" s="135"/>
      <c r="K707" s="135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</row>
    <row r="708" spans="1:77" x14ac:dyDescent="0.25">
      <c r="A708" s="4"/>
      <c r="B708" s="137"/>
      <c r="C708" s="130"/>
      <c r="D708" s="130"/>
      <c r="E708" s="130"/>
      <c r="F708" s="130"/>
      <c r="G708" s="129"/>
      <c r="H708" s="135"/>
      <c r="I708" s="135"/>
      <c r="J708" s="135"/>
      <c r="K708" s="135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</row>
    <row r="709" spans="1:77" x14ac:dyDescent="0.25">
      <c r="A709" s="4"/>
      <c r="B709" s="137"/>
      <c r="C709" s="130"/>
      <c r="D709" s="130"/>
      <c r="E709" s="130"/>
      <c r="F709" s="130"/>
      <c r="G709" s="129"/>
      <c r="H709" s="135"/>
      <c r="I709" s="135"/>
      <c r="J709" s="135"/>
      <c r="K709" s="135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</row>
    <row r="710" spans="1:77" x14ac:dyDescent="0.25">
      <c r="A710" s="4"/>
      <c r="B710" s="137"/>
      <c r="C710" s="130"/>
      <c r="D710" s="130"/>
      <c r="E710" s="130"/>
      <c r="F710" s="130"/>
      <c r="G710" s="129"/>
      <c r="H710" s="135"/>
      <c r="I710" s="135"/>
      <c r="J710" s="135"/>
      <c r="K710" s="135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</row>
    <row r="711" spans="1:77" x14ac:dyDescent="0.25">
      <c r="A711" s="4"/>
      <c r="B711" s="137"/>
      <c r="C711" s="130"/>
      <c r="D711" s="130"/>
      <c r="E711" s="130"/>
      <c r="F711" s="130"/>
      <c r="G711" s="129"/>
      <c r="H711" s="135"/>
      <c r="I711" s="135"/>
      <c r="J711" s="135"/>
      <c r="K711" s="135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</row>
    <row r="712" spans="1:77" x14ac:dyDescent="0.25">
      <c r="A712" s="4"/>
      <c r="B712" s="137"/>
      <c r="C712" s="130"/>
      <c r="D712" s="130"/>
      <c r="E712" s="130"/>
      <c r="F712" s="130"/>
      <c r="G712" s="129"/>
      <c r="H712" s="135"/>
      <c r="I712" s="135"/>
      <c r="J712" s="135"/>
      <c r="K712" s="135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</row>
    <row r="713" spans="1:77" x14ac:dyDescent="0.25">
      <c r="A713" s="4"/>
      <c r="B713" s="137"/>
      <c r="C713" s="130"/>
      <c r="D713" s="130"/>
      <c r="E713" s="130"/>
      <c r="F713" s="130"/>
      <c r="G713" s="129"/>
      <c r="H713" s="135"/>
      <c r="I713" s="135"/>
      <c r="J713" s="135"/>
      <c r="K713" s="135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</row>
    <row r="714" spans="1:77" x14ac:dyDescent="0.25">
      <c r="A714" s="4"/>
      <c r="B714" s="137"/>
      <c r="C714" s="130"/>
      <c r="D714" s="130"/>
      <c r="E714" s="130"/>
      <c r="F714" s="130"/>
      <c r="G714" s="129"/>
      <c r="H714" s="135"/>
      <c r="I714" s="135"/>
      <c r="J714" s="135"/>
      <c r="K714" s="135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  <c r="BL714" s="6"/>
      <c r="BM714" s="6"/>
      <c r="BN714" s="6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</row>
    <row r="715" spans="1:77" x14ac:dyDescent="0.25">
      <c r="A715" s="4"/>
      <c r="B715" s="137"/>
      <c r="C715" s="130"/>
      <c r="D715" s="130"/>
      <c r="E715" s="130"/>
      <c r="F715" s="130"/>
      <c r="G715" s="129"/>
      <c r="H715" s="135"/>
      <c r="I715" s="135"/>
      <c r="J715" s="135"/>
      <c r="K715" s="135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  <c r="BL715" s="6"/>
      <c r="BM715" s="6"/>
      <c r="BN715" s="6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</row>
    <row r="716" spans="1:77" x14ac:dyDescent="0.25">
      <c r="A716" s="4"/>
      <c r="B716" s="137"/>
      <c r="C716" s="130"/>
      <c r="D716" s="130"/>
      <c r="E716" s="130"/>
      <c r="F716" s="130"/>
      <c r="G716" s="129"/>
      <c r="H716" s="135"/>
      <c r="I716" s="135"/>
      <c r="J716" s="135"/>
      <c r="K716" s="135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  <c r="BL716" s="6"/>
      <c r="BM716" s="6"/>
      <c r="BN716" s="6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</row>
    <row r="717" spans="1:77" x14ac:dyDescent="0.25">
      <c r="A717" s="4"/>
      <c r="B717" s="137"/>
      <c r="C717" s="130"/>
      <c r="D717" s="130"/>
      <c r="E717" s="130"/>
      <c r="F717" s="130"/>
      <c r="G717" s="129"/>
      <c r="H717" s="135"/>
      <c r="I717" s="135"/>
      <c r="J717" s="135"/>
      <c r="K717" s="135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  <c r="BL717" s="6"/>
      <c r="BM717" s="6"/>
      <c r="BN717" s="6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</row>
    <row r="718" spans="1:77" x14ac:dyDescent="0.25">
      <c r="A718" s="4"/>
      <c r="B718" s="137"/>
      <c r="C718" s="130"/>
      <c r="D718" s="130"/>
      <c r="E718" s="130"/>
      <c r="F718" s="130"/>
      <c r="G718" s="129"/>
      <c r="H718" s="135"/>
      <c r="I718" s="135"/>
      <c r="J718" s="135"/>
      <c r="K718" s="135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  <c r="BL718" s="6"/>
      <c r="BM718" s="6"/>
      <c r="BN718" s="6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</row>
    <row r="719" spans="1:77" x14ac:dyDescent="0.25">
      <c r="A719" s="4"/>
      <c r="B719" s="137"/>
      <c r="C719" s="130"/>
      <c r="D719" s="130"/>
      <c r="E719" s="130"/>
      <c r="F719" s="130"/>
      <c r="G719" s="129"/>
      <c r="H719" s="135"/>
      <c r="I719" s="135"/>
      <c r="J719" s="135"/>
      <c r="K719" s="135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  <c r="BL719" s="6"/>
      <c r="BM719" s="6"/>
      <c r="BN719" s="6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</row>
    <row r="720" spans="1:77" x14ac:dyDescent="0.25">
      <c r="A720" s="4"/>
      <c r="B720" s="137"/>
      <c r="C720" s="130"/>
      <c r="D720" s="130"/>
      <c r="E720" s="130"/>
      <c r="F720" s="130"/>
      <c r="G720" s="129"/>
      <c r="H720" s="135"/>
      <c r="I720" s="135"/>
      <c r="J720" s="135"/>
      <c r="K720" s="135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  <c r="BL720" s="6"/>
      <c r="BM720" s="6"/>
      <c r="BN720" s="6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</row>
    <row r="721" spans="1:77" x14ac:dyDescent="0.25">
      <c r="A721" s="4"/>
      <c r="B721" s="137"/>
      <c r="C721" s="130"/>
      <c r="D721" s="130"/>
      <c r="E721" s="130"/>
      <c r="F721" s="130"/>
      <c r="G721" s="129"/>
      <c r="H721" s="135"/>
      <c r="I721" s="135"/>
      <c r="J721" s="135"/>
      <c r="K721" s="135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  <c r="BL721" s="6"/>
      <c r="BM721" s="6"/>
      <c r="BN721" s="6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</row>
    <row r="722" spans="1:77" x14ac:dyDescent="0.25">
      <c r="A722" s="4"/>
      <c r="B722" s="137"/>
      <c r="C722" s="130"/>
      <c r="D722" s="130"/>
      <c r="E722" s="130"/>
      <c r="F722" s="130"/>
      <c r="G722" s="129"/>
      <c r="H722" s="135"/>
      <c r="I722" s="135"/>
      <c r="J722" s="135"/>
      <c r="K722" s="135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  <c r="BL722" s="6"/>
      <c r="BM722" s="6"/>
      <c r="BN722" s="6"/>
      <c r="BO722" s="6"/>
      <c r="BP722" s="6"/>
      <c r="BQ722" s="6"/>
      <c r="BR722" s="6"/>
      <c r="BS722" s="6"/>
      <c r="BT722" s="6"/>
      <c r="BU722" s="6"/>
      <c r="BV722" s="6"/>
      <c r="BW722" s="6"/>
      <c r="BX722" s="6"/>
      <c r="BY722" s="6"/>
    </row>
    <row r="723" spans="1:77" x14ac:dyDescent="0.25">
      <c r="A723" s="4"/>
      <c r="B723" s="137"/>
      <c r="C723" s="130"/>
      <c r="D723" s="130"/>
      <c r="E723" s="130"/>
      <c r="F723" s="130"/>
      <c r="G723" s="129"/>
      <c r="H723" s="135"/>
      <c r="I723" s="135"/>
      <c r="J723" s="135"/>
      <c r="K723" s="135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  <c r="BL723" s="6"/>
      <c r="BM723" s="6"/>
      <c r="BN723" s="6"/>
      <c r="BO723" s="6"/>
      <c r="BP723" s="6"/>
      <c r="BQ723" s="6"/>
      <c r="BR723" s="6"/>
      <c r="BS723" s="6"/>
      <c r="BT723" s="6"/>
      <c r="BU723" s="6"/>
      <c r="BV723" s="6"/>
      <c r="BW723" s="6"/>
      <c r="BX723" s="6"/>
      <c r="BY723" s="6"/>
    </row>
    <row r="724" spans="1:77" x14ac:dyDescent="0.25">
      <c r="A724" s="4"/>
      <c r="B724" s="137"/>
      <c r="C724" s="130"/>
      <c r="D724" s="130"/>
      <c r="E724" s="130"/>
      <c r="F724" s="130"/>
      <c r="G724" s="129"/>
      <c r="H724" s="135"/>
      <c r="I724" s="135"/>
      <c r="J724" s="135"/>
      <c r="K724" s="135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  <c r="BL724" s="6"/>
      <c r="BM724" s="6"/>
      <c r="BN724" s="6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</row>
    <row r="725" spans="1:77" x14ac:dyDescent="0.25">
      <c r="A725" s="4"/>
      <c r="B725" s="137"/>
      <c r="C725" s="130"/>
      <c r="D725" s="130"/>
      <c r="E725" s="130"/>
      <c r="F725" s="130"/>
      <c r="G725" s="129"/>
      <c r="H725" s="135"/>
      <c r="I725" s="135"/>
      <c r="J725" s="135"/>
      <c r="K725" s="135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I725" s="6"/>
      <c r="BJ725" s="6"/>
      <c r="BK725" s="6"/>
      <c r="BL725" s="6"/>
      <c r="BM725" s="6"/>
      <c r="BN725" s="6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</row>
    <row r="726" spans="1:77" x14ac:dyDescent="0.25">
      <c r="A726" s="4"/>
      <c r="B726" s="137"/>
      <c r="C726" s="130"/>
      <c r="D726" s="130"/>
      <c r="E726" s="130"/>
      <c r="F726" s="130"/>
      <c r="G726" s="129"/>
      <c r="H726" s="135"/>
      <c r="I726" s="135"/>
      <c r="J726" s="135"/>
      <c r="K726" s="135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</row>
    <row r="727" spans="1:77" x14ac:dyDescent="0.25">
      <c r="A727" s="4"/>
      <c r="B727" s="137"/>
      <c r="C727" s="130"/>
      <c r="D727" s="130"/>
      <c r="E727" s="130"/>
      <c r="F727" s="130"/>
      <c r="G727" s="129"/>
      <c r="H727" s="135"/>
      <c r="I727" s="135"/>
      <c r="J727" s="135"/>
      <c r="K727" s="135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  <c r="BH727" s="6"/>
      <c r="BI727" s="6"/>
      <c r="BJ727" s="6"/>
      <c r="BK727" s="6"/>
      <c r="BL727" s="6"/>
      <c r="BM727" s="6"/>
      <c r="BN727" s="6"/>
      <c r="BO727" s="6"/>
      <c r="BP727" s="6"/>
      <c r="BQ727" s="6"/>
      <c r="BR727" s="6"/>
      <c r="BS727" s="6"/>
      <c r="BT727" s="6"/>
      <c r="BU727" s="6"/>
      <c r="BV727" s="6"/>
      <c r="BW727" s="6"/>
      <c r="BX727" s="6"/>
      <c r="BY727" s="6"/>
    </row>
    <row r="728" spans="1:77" x14ac:dyDescent="0.25">
      <c r="A728" s="4"/>
      <c r="B728" s="137"/>
      <c r="C728" s="130"/>
      <c r="D728" s="130"/>
      <c r="E728" s="130"/>
      <c r="F728" s="130"/>
      <c r="G728" s="129"/>
      <c r="H728" s="135"/>
      <c r="I728" s="135"/>
      <c r="J728" s="135"/>
      <c r="K728" s="135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I728" s="6"/>
      <c r="BJ728" s="6"/>
      <c r="BK728" s="6"/>
      <c r="BL728" s="6"/>
      <c r="BM728" s="6"/>
      <c r="BN728" s="6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</row>
    <row r="729" spans="1:77" x14ac:dyDescent="0.25">
      <c r="A729" s="4"/>
      <c r="B729" s="137"/>
      <c r="C729" s="130"/>
      <c r="D729" s="130"/>
      <c r="E729" s="130"/>
      <c r="F729" s="130"/>
      <c r="G729" s="129"/>
      <c r="H729" s="135"/>
      <c r="I729" s="135"/>
      <c r="J729" s="135"/>
      <c r="K729" s="135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I729" s="6"/>
      <c r="BJ729" s="6"/>
      <c r="BK729" s="6"/>
      <c r="BL729" s="6"/>
      <c r="BM729" s="6"/>
      <c r="BN729" s="6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</row>
    <row r="730" spans="1:77" x14ac:dyDescent="0.25">
      <c r="A730" s="4"/>
      <c r="B730" s="137"/>
      <c r="C730" s="130"/>
      <c r="D730" s="130"/>
      <c r="E730" s="130"/>
      <c r="F730" s="130"/>
      <c r="G730" s="129"/>
      <c r="H730" s="135"/>
      <c r="I730" s="135"/>
      <c r="J730" s="135"/>
      <c r="K730" s="135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I730" s="6"/>
      <c r="BJ730" s="6"/>
      <c r="BK730" s="6"/>
      <c r="BL730" s="6"/>
      <c r="BM730" s="6"/>
      <c r="BN730" s="6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</row>
    <row r="731" spans="1:77" x14ac:dyDescent="0.25">
      <c r="A731" s="4"/>
      <c r="B731" s="137"/>
      <c r="C731" s="130"/>
      <c r="D731" s="130"/>
      <c r="E731" s="130"/>
      <c r="F731" s="130"/>
      <c r="G731" s="129"/>
      <c r="H731" s="135"/>
      <c r="I731" s="135"/>
      <c r="J731" s="135"/>
      <c r="K731" s="135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I731" s="6"/>
      <c r="BJ731" s="6"/>
      <c r="BK731" s="6"/>
      <c r="BL731" s="6"/>
      <c r="BM731" s="6"/>
      <c r="BN731" s="6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</row>
    <row r="732" spans="1:77" x14ac:dyDescent="0.25">
      <c r="A732" s="4"/>
      <c r="B732" s="137"/>
      <c r="C732" s="130"/>
      <c r="D732" s="130"/>
      <c r="E732" s="130"/>
      <c r="F732" s="130"/>
      <c r="G732" s="129"/>
      <c r="H732" s="135"/>
      <c r="I732" s="135"/>
      <c r="J732" s="135"/>
      <c r="K732" s="135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I732" s="6"/>
      <c r="BJ732" s="6"/>
      <c r="BK732" s="6"/>
      <c r="BL732" s="6"/>
      <c r="BM732" s="6"/>
      <c r="BN732" s="6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</row>
    <row r="733" spans="1:77" x14ac:dyDescent="0.25">
      <c r="A733" s="4"/>
      <c r="B733" s="137"/>
      <c r="C733" s="130"/>
      <c r="D733" s="130"/>
      <c r="E733" s="130"/>
      <c r="F733" s="130"/>
      <c r="G733" s="129"/>
      <c r="H733" s="135"/>
      <c r="I733" s="135"/>
      <c r="J733" s="135"/>
      <c r="K733" s="135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I733" s="6"/>
      <c r="BJ733" s="6"/>
      <c r="BK733" s="6"/>
      <c r="BL733" s="6"/>
      <c r="BM733" s="6"/>
      <c r="BN733" s="6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</row>
    <row r="734" spans="1:77" x14ac:dyDescent="0.25">
      <c r="A734" s="4"/>
      <c r="B734" s="137"/>
      <c r="C734" s="130"/>
      <c r="D734" s="130"/>
      <c r="E734" s="130"/>
      <c r="F734" s="130"/>
      <c r="G734" s="129"/>
      <c r="H734" s="135"/>
      <c r="I734" s="135"/>
      <c r="J734" s="135"/>
      <c r="K734" s="135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  <c r="BH734" s="6"/>
      <c r="BI734" s="6"/>
      <c r="BJ734" s="6"/>
      <c r="BK734" s="6"/>
      <c r="BL734" s="6"/>
      <c r="BM734" s="6"/>
      <c r="BN734" s="6"/>
      <c r="BO734" s="6"/>
      <c r="BP734" s="6"/>
      <c r="BQ734" s="6"/>
      <c r="BR734" s="6"/>
      <c r="BS734" s="6"/>
      <c r="BT734" s="6"/>
      <c r="BU734" s="6"/>
      <c r="BV734" s="6"/>
      <c r="BW734" s="6"/>
      <c r="BX734" s="6"/>
      <c r="BY734" s="6"/>
    </row>
    <row r="735" spans="1:77" x14ac:dyDescent="0.25">
      <c r="A735" s="4"/>
      <c r="B735" s="137"/>
      <c r="C735" s="130"/>
      <c r="D735" s="130"/>
      <c r="E735" s="130"/>
      <c r="F735" s="130"/>
      <c r="G735" s="129"/>
      <c r="H735" s="135"/>
      <c r="I735" s="135"/>
      <c r="J735" s="135"/>
      <c r="K735" s="135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I735" s="6"/>
      <c r="BJ735" s="6"/>
      <c r="BK735" s="6"/>
      <c r="BL735" s="6"/>
      <c r="BM735" s="6"/>
      <c r="BN735" s="6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</row>
    <row r="736" spans="1:77" x14ac:dyDescent="0.25">
      <c r="A736" s="4"/>
      <c r="B736" s="137"/>
      <c r="C736" s="130"/>
      <c r="D736" s="130"/>
      <c r="E736" s="130"/>
      <c r="F736" s="130"/>
      <c r="G736" s="129"/>
      <c r="H736" s="135"/>
      <c r="I736" s="135"/>
      <c r="J736" s="135"/>
      <c r="K736" s="135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  <c r="BH736" s="6"/>
      <c r="BI736" s="6"/>
      <c r="BJ736" s="6"/>
      <c r="BK736" s="6"/>
      <c r="BL736" s="6"/>
      <c r="BM736" s="6"/>
      <c r="BN736" s="6"/>
      <c r="BO736" s="6"/>
      <c r="BP736" s="6"/>
      <c r="BQ736" s="6"/>
      <c r="BR736" s="6"/>
      <c r="BS736" s="6"/>
      <c r="BT736" s="6"/>
      <c r="BU736" s="6"/>
      <c r="BV736" s="6"/>
      <c r="BW736" s="6"/>
      <c r="BX736" s="6"/>
      <c r="BY736" s="6"/>
    </row>
    <row r="737" spans="1:77" x14ac:dyDescent="0.25">
      <c r="A737" s="4"/>
      <c r="B737" s="137"/>
      <c r="C737" s="130"/>
      <c r="D737" s="130"/>
      <c r="E737" s="130"/>
      <c r="F737" s="130"/>
      <c r="G737" s="129"/>
      <c r="H737" s="135"/>
      <c r="I737" s="135"/>
      <c r="J737" s="135"/>
      <c r="K737" s="135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I737" s="6"/>
      <c r="BJ737" s="6"/>
      <c r="BK737" s="6"/>
      <c r="BL737" s="6"/>
      <c r="BM737" s="6"/>
      <c r="BN737" s="6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</row>
    <row r="738" spans="1:77" x14ac:dyDescent="0.25">
      <c r="A738" s="4"/>
      <c r="B738" s="137"/>
      <c r="C738" s="130"/>
      <c r="D738" s="130"/>
      <c r="E738" s="130"/>
      <c r="F738" s="130"/>
      <c r="G738" s="129"/>
      <c r="H738" s="135"/>
      <c r="I738" s="135"/>
      <c r="J738" s="135"/>
      <c r="K738" s="135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  <c r="BH738" s="6"/>
      <c r="BI738" s="6"/>
      <c r="BJ738" s="6"/>
      <c r="BK738" s="6"/>
      <c r="BL738" s="6"/>
      <c r="BM738" s="6"/>
      <c r="BN738" s="6"/>
      <c r="BO738" s="6"/>
      <c r="BP738" s="6"/>
      <c r="BQ738" s="6"/>
      <c r="BR738" s="6"/>
      <c r="BS738" s="6"/>
      <c r="BT738" s="6"/>
      <c r="BU738" s="6"/>
      <c r="BV738" s="6"/>
      <c r="BW738" s="6"/>
      <c r="BX738" s="6"/>
      <c r="BY738" s="6"/>
    </row>
    <row r="739" spans="1:77" x14ac:dyDescent="0.25">
      <c r="A739" s="4"/>
      <c r="B739" s="137"/>
      <c r="C739" s="130"/>
      <c r="D739" s="130"/>
      <c r="E739" s="130"/>
      <c r="F739" s="130"/>
      <c r="G739" s="129"/>
      <c r="H739" s="135"/>
      <c r="I739" s="135"/>
      <c r="J739" s="135"/>
      <c r="K739" s="135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  <c r="BH739" s="6"/>
      <c r="BI739" s="6"/>
      <c r="BJ739" s="6"/>
      <c r="BK739" s="6"/>
      <c r="BL739" s="6"/>
      <c r="BM739" s="6"/>
      <c r="BN739" s="6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</row>
    <row r="740" spans="1:77" x14ac:dyDescent="0.25">
      <c r="A740" s="4"/>
      <c r="B740" s="137"/>
      <c r="C740" s="130"/>
      <c r="D740" s="130"/>
      <c r="E740" s="130"/>
      <c r="F740" s="130"/>
      <c r="G740" s="129"/>
      <c r="H740" s="135"/>
      <c r="I740" s="135"/>
      <c r="J740" s="135"/>
      <c r="K740" s="135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  <c r="BH740" s="6"/>
      <c r="BI740" s="6"/>
      <c r="BJ740" s="6"/>
      <c r="BK740" s="6"/>
      <c r="BL740" s="6"/>
      <c r="BM740" s="6"/>
      <c r="BN740" s="6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</row>
    <row r="741" spans="1:77" x14ac:dyDescent="0.25">
      <c r="A741" s="4"/>
      <c r="B741" s="137"/>
      <c r="C741" s="130"/>
      <c r="D741" s="130"/>
      <c r="E741" s="130"/>
      <c r="F741" s="130"/>
      <c r="G741" s="129"/>
      <c r="H741" s="135"/>
      <c r="I741" s="135"/>
      <c r="J741" s="135"/>
      <c r="K741" s="135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  <c r="BH741" s="6"/>
      <c r="BI741" s="6"/>
      <c r="BJ741" s="6"/>
      <c r="BK741" s="6"/>
      <c r="BL741" s="6"/>
      <c r="BM741" s="6"/>
      <c r="BN741" s="6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</row>
    <row r="742" spans="1:77" x14ac:dyDescent="0.25">
      <c r="A742" s="4"/>
      <c r="B742" s="137"/>
      <c r="C742" s="130"/>
      <c r="D742" s="130"/>
      <c r="E742" s="130"/>
      <c r="F742" s="130"/>
      <c r="G742" s="129"/>
      <c r="H742" s="135"/>
      <c r="I742" s="135"/>
      <c r="J742" s="135"/>
      <c r="K742" s="135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  <c r="BH742" s="6"/>
      <c r="BI742" s="6"/>
      <c r="BJ742" s="6"/>
      <c r="BK742" s="6"/>
      <c r="BL742" s="6"/>
      <c r="BM742" s="6"/>
      <c r="BN742" s="6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</row>
    <row r="743" spans="1:77" x14ac:dyDescent="0.25">
      <c r="A743" s="4"/>
      <c r="B743" s="137"/>
      <c r="C743" s="130"/>
      <c r="D743" s="130"/>
      <c r="E743" s="130"/>
      <c r="F743" s="130"/>
      <c r="G743" s="129"/>
      <c r="H743" s="135"/>
      <c r="I743" s="135"/>
      <c r="J743" s="135"/>
      <c r="K743" s="135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  <c r="BH743" s="6"/>
      <c r="BI743" s="6"/>
      <c r="BJ743" s="6"/>
      <c r="BK743" s="6"/>
      <c r="BL743" s="6"/>
      <c r="BM743" s="6"/>
      <c r="BN743" s="6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</row>
    <row r="744" spans="1:77" x14ac:dyDescent="0.25">
      <c r="A744" s="4"/>
      <c r="B744" s="137"/>
      <c r="C744" s="130"/>
      <c r="D744" s="130"/>
      <c r="E744" s="130"/>
      <c r="F744" s="130"/>
      <c r="G744" s="129"/>
      <c r="H744" s="135"/>
      <c r="I744" s="135"/>
      <c r="J744" s="135"/>
      <c r="K744" s="135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  <c r="BH744" s="6"/>
      <c r="BI744" s="6"/>
      <c r="BJ744" s="6"/>
      <c r="BK744" s="6"/>
      <c r="BL744" s="6"/>
      <c r="BM744" s="6"/>
      <c r="BN744" s="6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</row>
    <row r="745" spans="1:77" x14ac:dyDescent="0.25">
      <c r="A745" s="4"/>
      <c r="B745" s="137"/>
      <c r="C745" s="130"/>
      <c r="D745" s="130"/>
      <c r="E745" s="130"/>
      <c r="F745" s="130"/>
      <c r="G745" s="129"/>
      <c r="H745" s="135"/>
      <c r="I745" s="135"/>
      <c r="J745" s="135"/>
      <c r="K745" s="135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  <c r="BH745" s="6"/>
      <c r="BI745" s="6"/>
      <c r="BJ745" s="6"/>
      <c r="BK745" s="6"/>
      <c r="BL745" s="6"/>
      <c r="BM745" s="6"/>
      <c r="BN745" s="6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</row>
    <row r="746" spans="1:77" x14ac:dyDescent="0.25">
      <c r="A746" s="4"/>
      <c r="B746" s="137"/>
      <c r="C746" s="130"/>
      <c r="D746" s="130"/>
      <c r="E746" s="130"/>
      <c r="F746" s="130"/>
      <c r="G746" s="129"/>
      <c r="H746" s="135"/>
      <c r="I746" s="135"/>
      <c r="J746" s="135"/>
      <c r="K746" s="135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  <c r="BH746" s="6"/>
      <c r="BI746" s="6"/>
      <c r="BJ746" s="6"/>
      <c r="BK746" s="6"/>
      <c r="BL746" s="6"/>
      <c r="BM746" s="6"/>
      <c r="BN746" s="6"/>
      <c r="BO746" s="6"/>
      <c r="BP746" s="6"/>
      <c r="BQ746" s="6"/>
      <c r="BR746" s="6"/>
      <c r="BS746" s="6"/>
      <c r="BT746" s="6"/>
      <c r="BU746" s="6"/>
      <c r="BV746" s="6"/>
      <c r="BW746" s="6"/>
      <c r="BX746" s="6"/>
      <c r="BY746" s="6"/>
    </row>
    <row r="747" spans="1:77" x14ac:dyDescent="0.25">
      <c r="A747" s="4"/>
      <c r="B747" s="137"/>
      <c r="C747" s="130"/>
      <c r="D747" s="130"/>
      <c r="E747" s="130"/>
      <c r="F747" s="130"/>
      <c r="G747" s="129"/>
      <c r="H747" s="135"/>
      <c r="I747" s="135"/>
      <c r="J747" s="135"/>
      <c r="K747" s="135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  <c r="BH747" s="6"/>
      <c r="BI747" s="6"/>
      <c r="BJ747" s="6"/>
      <c r="BK747" s="6"/>
      <c r="BL747" s="6"/>
      <c r="BM747" s="6"/>
      <c r="BN747" s="6"/>
      <c r="BO747" s="6"/>
      <c r="BP747" s="6"/>
      <c r="BQ747" s="6"/>
      <c r="BR747" s="6"/>
      <c r="BS747" s="6"/>
      <c r="BT747" s="6"/>
      <c r="BU747" s="6"/>
      <c r="BV747" s="6"/>
      <c r="BW747" s="6"/>
      <c r="BX747" s="6"/>
      <c r="BY747" s="6"/>
    </row>
    <row r="748" spans="1:77" x14ac:dyDescent="0.25">
      <c r="A748" s="4"/>
      <c r="B748" s="137"/>
      <c r="C748" s="130"/>
      <c r="D748" s="130"/>
      <c r="E748" s="130"/>
      <c r="F748" s="130"/>
      <c r="G748" s="129"/>
      <c r="H748" s="135"/>
      <c r="I748" s="135"/>
      <c r="J748" s="135"/>
      <c r="K748" s="135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I748" s="6"/>
      <c r="BJ748" s="6"/>
      <c r="BK748" s="6"/>
      <c r="BL748" s="6"/>
      <c r="BM748" s="6"/>
      <c r="BN748" s="6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</row>
    <row r="749" spans="1:77" x14ac:dyDescent="0.25">
      <c r="A749" s="4"/>
      <c r="B749" s="137"/>
      <c r="C749" s="130"/>
      <c r="D749" s="130"/>
      <c r="E749" s="130"/>
      <c r="F749" s="130"/>
      <c r="G749" s="129"/>
      <c r="H749" s="135"/>
      <c r="I749" s="135"/>
      <c r="J749" s="135"/>
      <c r="K749" s="135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  <c r="BH749" s="6"/>
      <c r="BI749" s="6"/>
      <c r="BJ749" s="6"/>
      <c r="BK749" s="6"/>
      <c r="BL749" s="6"/>
      <c r="BM749" s="6"/>
      <c r="BN749" s="6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</row>
    <row r="750" spans="1:77" x14ac:dyDescent="0.25">
      <c r="A750" s="4"/>
      <c r="B750" s="137"/>
      <c r="C750" s="130"/>
      <c r="D750" s="130"/>
      <c r="E750" s="130"/>
      <c r="F750" s="130"/>
      <c r="G750" s="129"/>
      <c r="H750" s="135"/>
      <c r="I750" s="135"/>
      <c r="J750" s="135"/>
      <c r="K750" s="135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  <c r="BH750" s="6"/>
      <c r="BI750" s="6"/>
      <c r="BJ750" s="6"/>
      <c r="BK750" s="6"/>
      <c r="BL750" s="6"/>
      <c r="BM750" s="6"/>
      <c r="BN750" s="6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</row>
    <row r="751" spans="1:77" x14ac:dyDescent="0.25">
      <c r="A751" s="4"/>
      <c r="B751" s="137"/>
      <c r="C751" s="130"/>
      <c r="D751" s="130"/>
      <c r="E751" s="130"/>
      <c r="F751" s="130"/>
      <c r="G751" s="129"/>
      <c r="H751" s="135"/>
      <c r="I751" s="135"/>
      <c r="J751" s="135"/>
      <c r="K751" s="135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  <c r="BH751" s="6"/>
      <c r="BI751" s="6"/>
      <c r="BJ751" s="6"/>
      <c r="BK751" s="6"/>
      <c r="BL751" s="6"/>
      <c r="BM751" s="6"/>
      <c r="BN751" s="6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</row>
    <row r="752" spans="1:77" x14ac:dyDescent="0.25">
      <c r="A752" s="4"/>
      <c r="B752" s="137"/>
      <c r="C752" s="130"/>
      <c r="D752" s="130"/>
      <c r="E752" s="130"/>
      <c r="F752" s="130"/>
      <c r="G752" s="129"/>
      <c r="H752" s="135"/>
      <c r="I752" s="135"/>
      <c r="J752" s="135"/>
      <c r="K752" s="135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  <c r="BH752" s="6"/>
      <c r="BI752" s="6"/>
      <c r="BJ752" s="6"/>
      <c r="BK752" s="6"/>
      <c r="BL752" s="6"/>
      <c r="BM752" s="6"/>
      <c r="BN752" s="6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</row>
    <row r="753" spans="1:77" x14ac:dyDescent="0.25">
      <c r="A753" s="4"/>
      <c r="B753" s="137"/>
      <c r="C753" s="130"/>
      <c r="D753" s="130"/>
      <c r="E753" s="130"/>
      <c r="F753" s="130"/>
      <c r="G753" s="129"/>
      <c r="H753" s="135"/>
      <c r="I753" s="135"/>
      <c r="J753" s="135"/>
      <c r="K753" s="135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  <c r="BH753" s="6"/>
      <c r="BI753" s="6"/>
      <c r="BJ753" s="6"/>
      <c r="BK753" s="6"/>
      <c r="BL753" s="6"/>
      <c r="BM753" s="6"/>
      <c r="BN753" s="6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</row>
    <row r="754" spans="1:77" x14ac:dyDescent="0.25">
      <c r="A754" s="4"/>
      <c r="B754" s="137"/>
      <c r="C754" s="130"/>
      <c r="D754" s="130"/>
      <c r="E754" s="130"/>
      <c r="F754" s="130"/>
      <c r="G754" s="129"/>
      <c r="H754" s="135"/>
      <c r="I754" s="135"/>
      <c r="J754" s="135"/>
      <c r="K754" s="135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  <c r="BH754" s="6"/>
      <c r="BI754" s="6"/>
      <c r="BJ754" s="6"/>
      <c r="BK754" s="6"/>
      <c r="BL754" s="6"/>
      <c r="BM754" s="6"/>
      <c r="BN754" s="6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</row>
    <row r="755" spans="1:77" x14ac:dyDescent="0.25">
      <c r="A755" s="4"/>
      <c r="B755" s="137"/>
      <c r="C755" s="130"/>
      <c r="D755" s="130"/>
      <c r="E755" s="130"/>
      <c r="F755" s="130"/>
      <c r="G755" s="129"/>
      <c r="H755" s="135"/>
      <c r="I755" s="135"/>
      <c r="J755" s="135"/>
      <c r="K755" s="135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  <c r="BH755" s="6"/>
      <c r="BI755" s="6"/>
      <c r="BJ755" s="6"/>
      <c r="BK755" s="6"/>
      <c r="BL755" s="6"/>
      <c r="BM755" s="6"/>
      <c r="BN755" s="6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</row>
    <row r="756" spans="1:77" x14ac:dyDescent="0.25">
      <c r="A756" s="4"/>
      <c r="B756" s="137"/>
      <c r="C756" s="130"/>
      <c r="D756" s="130"/>
      <c r="E756" s="130"/>
      <c r="F756" s="130"/>
      <c r="G756" s="129"/>
      <c r="H756" s="135"/>
      <c r="I756" s="135"/>
      <c r="J756" s="135"/>
      <c r="K756" s="135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  <c r="BH756" s="6"/>
      <c r="BI756" s="6"/>
      <c r="BJ756" s="6"/>
      <c r="BK756" s="6"/>
      <c r="BL756" s="6"/>
      <c r="BM756" s="6"/>
      <c r="BN756" s="6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</row>
    <row r="757" spans="1:77" x14ac:dyDescent="0.25">
      <c r="A757" s="4"/>
      <c r="B757" s="137"/>
      <c r="C757" s="130"/>
      <c r="D757" s="130"/>
      <c r="E757" s="130"/>
      <c r="F757" s="130"/>
      <c r="G757" s="129"/>
      <c r="H757" s="135"/>
      <c r="I757" s="135"/>
      <c r="J757" s="135"/>
      <c r="K757" s="135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  <c r="BH757" s="6"/>
      <c r="BI757" s="6"/>
      <c r="BJ757" s="6"/>
      <c r="BK757" s="6"/>
      <c r="BL757" s="6"/>
      <c r="BM757" s="6"/>
      <c r="BN757" s="6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</row>
    <row r="758" spans="1:77" x14ac:dyDescent="0.25">
      <c r="A758" s="4"/>
      <c r="B758" s="137"/>
      <c r="C758" s="130"/>
      <c r="D758" s="130"/>
      <c r="E758" s="130"/>
      <c r="F758" s="130"/>
      <c r="G758" s="129"/>
      <c r="H758" s="135"/>
      <c r="I758" s="135"/>
      <c r="J758" s="135"/>
      <c r="K758" s="135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  <c r="BH758" s="6"/>
      <c r="BI758" s="6"/>
      <c r="BJ758" s="6"/>
      <c r="BK758" s="6"/>
      <c r="BL758" s="6"/>
      <c r="BM758" s="6"/>
      <c r="BN758" s="6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</row>
    <row r="759" spans="1:77" x14ac:dyDescent="0.25">
      <c r="A759" s="4"/>
      <c r="B759" s="137"/>
      <c r="C759" s="130"/>
      <c r="D759" s="130"/>
      <c r="E759" s="130"/>
      <c r="F759" s="130"/>
      <c r="G759" s="129"/>
      <c r="H759" s="135"/>
      <c r="I759" s="135"/>
      <c r="J759" s="135"/>
      <c r="K759" s="135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  <c r="BH759" s="6"/>
      <c r="BI759" s="6"/>
      <c r="BJ759" s="6"/>
      <c r="BK759" s="6"/>
      <c r="BL759" s="6"/>
      <c r="BM759" s="6"/>
      <c r="BN759" s="6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</row>
    <row r="760" spans="1:77" x14ac:dyDescent="0.25">
      <c r="A760" s="4"/>
      <c r="B760" s="137"/>
      <c r="C760" s="130"/>
      <c r="D760" s="130"/>
      <c r="E760" s="130"/>
      <c r="F760" s="130"/>
      <c r="G760" s="129"/>
      <c r="H760" s="135"/>
      <c r="I760" s="135"/>
      <c r="J760" s="135"/>
      <c r="K760" s="135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  <c r="BH760" s="6"/>
      <c r="BI760" s="6"/>
      <c r="BJ760" s="6"/>
      <c r="BK760" s="6"/>
      <c r="BL760" s="6"/>
      <c r="BM760" s="6"/>
      <c r="BN760" s="6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</row>
    <row r="761" spans="1:77" x14ac:dyDescent="0.25">
      <c r="A761" s="4"/>
      <c r="B761" s="137"/>
      <c r="C761" s="130"/>
      <c r="D761" s="130"/>
      <c r="E761" s="130"/>
      <c r="F761" s="130"/>
      <c r="G761" s="129"/>
      <c r="H761" s="135"/>
      <c r="I761" s="135"/>
      <c r="J761" s="135"/>
      <c r="K761" s="135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  <c r="BH761" s="6"/>
      <c r="BI761" s="6"/>
      <c r="BJ761" s="6"/>
      <c r="BK761" s="6"/>
      <c r="BL761" s="6"/>
      <c r="BM761" s="6"/>
      <c r="BN761" s="6"/>
      <c r="BO761" s="6"/>
      <c r="BP761" s="6"/>
      <c r="BQ761" s="6"/>
      <c r="BR761" s="6"/>
      <c r="BS761" s="6"/>
      <c r="BT761" s="6"/>
      <c r="BU761" s="6"/>
      <c r="BV761" s="6"/>
      <c r="BW761" s="6"/>
      <c r="BX761" s="6"/>
      <c r="BY761" s="6"/>
    </row>
    <row r="762" spans="1:77" x14ac:dyDescent="0.25">
      <c r="A762" s="4"/>
      <c r="B762" s="137"/>
      <c r="C762" s="130"/>
      <c r="D762" s="130"/>
      <c r="E762" s="130"/>
      <c r="F762" s="130"/>
      <c r="G762" s="129"/>
      <c r="H762" s="135"/>
      <c r="I762" s="135"/>
      <c r="J762" s="135"/>
      <c r="K762" s="135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  <c r="BH762" s="6"/>
      <c r="BI762" s="6"/>
      <c r="BJ762" s="6"/>
      <c r="BK762" s="6"/>
      <c r="BL762" s="6"/>
      <c r="BM762" s="6"/>
      <c r="BN762" s="6"/>
      <c r="BO762" s="6"/>
      <c r="BP762" s="6"/>
      <c r="BQ762" s="6"/>
      <c r="BR762" s="6"/>
      <c r="BS762" s="6"/>
      <c r="BT762" s="6"/>
      <c r="BU762" s="6"/>
      <c r="BV762" s="6"/>
      <c r="BW762" s="6"/>
      <c r="BX762" s="6"/>
      <c r="BY762" s="6"/>
    </row>
    <row r="763" spans="1:77" x14ac:dyDescent="0.25">
      <c r="A763" s="4"/>
      <c r="B763" s="137"/>
      <c r="C763" s="130"/>
      <c r="D763" s="130"/>
      <c r="E763" s="130"/>
      <c r="F763" s="130"/>
      <c r="G763" s="129"/>
      <c r="H763" s="135"/>
      <c r="I763" s="135"/>
      <c r="J763" s="135"/>
      <c r="K763" s="135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I763" s="6"/>
      <c r="BJ763" s="6"/>
      <c r="BK763" s="6"/>
      <c r="BL763" s="6"/>
      <c r="BM763" s="6"/>
      <c r="BN763" s="6"/>
      <c r="BO763" s="6"/>
      <c r="BP763" s="6"/>
      <c r="BQ763" s="6"/>
      <c r="BR763" s="6"/>
      <c r="BS763" s="6"/>
      <c r="BT763" s="6"/>
      <c r="BU763" s="6"/>
      <c r="BV763" s="6"/>
      <c r="BW763" s="6"/>
      <c r="BX763" s="6"/>
      <c r="BY763" s="6"/>
    </row>
    <row r="764" spans="1:77" x14ac:dyDescent="0.25">
      <c r="A764" s="4"/>
      <c r="B764" s="137"/>
      <c r="C764" s="130"/>
      <c r="D764" s="130"/>
      <c r="E764" s="130"/>
      <c r="F764" s="130"/>
      <c r="G764" s="129"/>
      <c r="H764" s="135"/>
      <c r="I764" s="135"/>
      <c r="J764" s="135"/>
      <c r="K764" s="135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  <c r="BH764" s="6"/>
      <c r="BI764" s="6"/>
      <c r="BJ764" s="6"/>
      <c r="BK764" s="6"/>
      <c r="BL764" s="6"/>
      <c r="BM764" s="6"/>
      <c r="BN764" s="6"/>
      <c r="BO764" s="6"/>
      <c r="BP764" s="6"/>
      <c r="BQ764" s="6"/>
      <c r="BR764" s="6"/>
      <c r="BS764" s="6"/>
      <c r="BT764" s="6"/>
      <c r="BU764" s="6"/>
      <c r="BV764" s="6"/>
      <c r="BW764" s="6"/>
      <c r="BX764" s="6"/>
      <c r="BY764" s="6"/>
    </row>
    <row r="765" spans="1:77" x14ac:dyDescent="0.25">
      <c r="A765" s="4"/>
      <c r="B765" s="137"/>
      <c r="C765" s="130"/>
      <c r="D765" s="130"/>
      <c r="E765" s="130"/>
      <c r="F765" s="130"/>
      <c r="G765" s="129"/>
      <c r="H765" s="135"/>
      <c r="I765" s="135"/>
      <c r="J765" s="135"/>
      <c r="K765" s="135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  <c r="BH765" s="6"/>
      <c r="BI765" s="6"/>
      <c r="BJ765" s="6"/>
      <c r="BK765" s="6"/>
      <c r="BL765" s="6"/>
      <c r="BM765" s="6"/>
      <c r="BN765" s="6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</row>
    <row r="766" spans="1:77" x14ac:dyDescent="0.25">
      <c r="A766" s="4"/>
      <c r="B766" s="137"/>
      <c r="C766" s="130"/>
      <c r="D766" s="130"/>
      <c r="E766" s="130"/>
      <c r="F766" s="130"/>
      <c r="G766" s="129"/>
      <c r="H766" s="135"/>
      <c r="I766" s="135"/>
      <c r="J766" s="135"/>
      <c r="K766" s="135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  <c r="BH766" s="6"/>
      <c r="BI766" s="6"/>
      <c r="BJ766" s="6"/>
      <c r="BK766" s="6"/>
      <c r="BL766" s="6"/>
      <c r="BM766" s="6"/>
      <c r="BN766" s="6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</row>
    <row r="767" spans="1:77" x14ac:dyDescent="0.25">
      <c r="A767" s="4"/>
      <c r="B767" s="137"/>
      <c r="C767" s="130"/>
      <c r="D767" s="130"/>
      <c r="E767" s="130"/>
      <c r="F767" s="130"/>
      <c r="G767" s="129"/>
      <c r="H767" s="135"/>
      <c r="I767" s="135"/>
      <c r="J767" s="135"/>
      <c r="K767" s="135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  <c r="BH767" s="6"/>
      <c r="BI767" s="6"/>
      <c r="BJ767" s="6"/>
      <c r="BK767" s="6"/>
      <c r="BL767" s="6"/>
      <c r="BM767" s="6"/>
      <c r="BN767" s="6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</row>
    <row r="768" spans="1:77" x14ac:dyDescent="0.25">
      <c r="A768" s="4"/>
      <c r="B768" s="137"/>
      <c r="C768" s="130"/>
      <c r="D768" s="130"/>
      <c r="E768" s="130"/>
      <c r="F768" s="130"/>
      <c r="G768" s="129"/>
      <c r="H768" s="135"/>
      <c r="I768" s="135"/>
      <c r="J768" s="135"/>
      <c r="K768" s="135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  <c r="BH768" s="6"/>
      <c r="BI768" s="6"/>
      <c r="BJ768" s="6"/>
      <c r="BK768" s="6"/>
      <c r="BL768" s="6"/>
      <c r="BM768" s="6"/>
      <c r="BN768" s="6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</row>
    <row r="769" spans="1:77" x14ac:dyDescent="0.25">
      <c r="A769" s="4"/>
      <c r="B769" s="137"/>
      <c r="C769" s="130"/>
      <c r="D769" s="130"/>
      <c r="E769" s="130"/>
      <c r="F769" s="130"/>
      <c r="G769" s="129"/>
      <c r="H769" s="135"/>
      <c r="I769" s="135"/>
      <c r="J769" s="135"/>
      <c r="K769" s="135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  <c r="BH769" s="6"/>
      <c r="BI769" s="6"/>
      <c r="BJ769" s="6"/>
      <c r="BK769" s="6"/>
      <c r="BL769" s="6"/>
      <c r="BM769" s="6"/>
      <c r="BN769" s="6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</row>
    <row r="770" spans="1:77" x14ac:dyDescent="0.25">
      <c r="A770" s="4"/>
      <c r="B770" s="137"/>
      <c r="C770" s="130"/>
      <c r="D770" s="130"/>
      <c r="E770" s="130"/>
      <c r="F770" s="130"/>
      <c r="G770" s="129"/>
      <c r="H770" s="135"/>
      <c r="I770" s="135"/>
      <c r="J770" s="135"/>
      <c r="K770" s="135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  <c r="BH770" s="6"/>
      <c r="BI770" s="6"/>
      <c r="BJ770" s="6"/>
      <c r="BK770" s="6"/>
      <c r="BL770" s="6"/>
      <c r="BM770" s="6"/>
      <c r="BN770" s="6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</row>
    <row r="771" spans="1:77" x14ac:dyDescent="0.25">
      <c r="A771" s="4"/>
      <c r="B771" s="137"/>
      <c r="C771" s="130"/>
      <c r="D771" s="130"/>
      <c r="E771" s="130"/>
      <c r="F771" s="130"/>
      <c r="G771" s="129"/>
      <c r="H771" s="135"/>
      <c r="I771" s="135"/>
      <c r="J771" s="135"/>
      <c r="K771" s="135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  <c r="BH771" s="6"/>
      <c r="BI771" s="6"/>
      <c r="BJ771" s="6"/>
      <c r="BK771" s="6"/>
      <c r="BL771" s="6"/>
      <c r="BM771" s="6"/>
      <c r="BN771" s="6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</row>
    <row r="772" spans="1:77" x14ac:dyDescent="0.25">
      <c r="A772" s="4"/>
      <c r="B772" s="137"/>
      <c r="C772" s="130"/>
      <c r="D772" s="130"/>
      <c r="E772" s="130"/>
      <c r="F772" s="130"/>
      <c r="G772" s="129"/>
      <c r="H772" s="135"/>
      <c r="I772" s="135"/>
      <c r="J772" s="135"/>
      <c r="K772" s="135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  <c r="BH772" s="6"/>
      <c r="BI772" s="6"/>
      <c r="BJ772" s="6"/>
      <c r="BK772" s="6"/>
      <c r="BL772" s="6"/>
      <c r="BM772" s="6"/>
      <c r="BN772" s="6"/>
      <c r="BO772" s="6"/>
      <c r="BP772" s="6"/>
      <c r="BQ772" s="6"/>
      <c r="BR772" s="6"/>
      <c r="BS772" s="6"/>
      <c r="BT772" s="6"/>
      <c r="BU772" s="6"/>
      <c r="BV772" s="6"/>
      <c r="BW772" s="6"/>
      <c r="BX772" s="6"/>
      <c r="BY772" s="6"/>
    </row>
    <row r="773" spans="1:77" x14ac:dyDescent="0.25">
      <c r="A773" s="4"/>
      <c r="B773" s="137"/>
      <c r="C773" s="130"/>
      <c r="D773" s="130"/>
      <c r="E773" s="130"/>
      <c r="F773" s="130"/>
      <c r="G773" s="129"/>
      <c r="H773" s="135"/>
      <c r="I773" s="135"/>
      <c r="J773" s="135"/>
      <c r="K773" s="135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  <c r="BH773" s="6"/>
      <c r="BI773" s="6"/>
      <c r="BJ773" s="6"/>
      <c r="BK773" s="6"/>
      <c r="BL773" s="6"/>
      <c r="BM773" s="6"/>
      <c r="BN773" s="6"/>
      <c r="BO773" s="6"/>
      <c r="BP773" s="6"/>
      <c r="BQ773" s="6"/>
      <c r="BR773" s="6"/>
      <c r="BS773" s="6"/>
      <c r="BT773" s="6"/>
      <c r="BU773" s="6"/>
      <c r="BV773" s="6"/>
      <c r="BW773" s="6"/>
      <c r="BX773" s="6"/>
      <c r="BY773" s="6"/>
    </row>
    <row r="774" spans="1:77" x14ac:dyDescent="0.25">
      <c r="A774" s="4"/>
      <c r="B774" s="137"/>
      <c r="C774" s="130"/>
      <c r="D774" s="130"/>
      <c r="E774" s="130"/>
      <c r="F774" s="130"/>
      <c r="G774" s="129"/>
      <c r="H774" s="135"/>
      <c r="I774" s="135"/>
      <c r="J774" s="135"/>
      <c r="K774" s="135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  <c r="BH774" s="6"/>
      <c r="BI774" s="6"/>
      <c r="BJ774" s="6"/>
      <c r="BK774" s="6"/>
      <c r="BL774" s="6"/>
      <c r="BM774" s="6"/>
      <c r="BN774" s="6"/>
      <c r="BO774" s="6"/>
      <c r="BP774" s="6"/>
      <c r="BQ774" s="6"/>
      <c r="BR774" s="6"/>
      <c r="BS774" s="6"/>
      <c r="BT774" s="6"/>
      <c r="BU774" s="6"/>
      <c r="BV774" s="6"/>
      <c r="BW774" s="6"/>
      <c r="BX774" s="6"/>
      <c r="BY774" s="6"/>
    </row>
    <row r="775" spans="1:77" x14ac:dyDescent="0.25">
      <c r="A775" s="4"/>
      <c r="B775" s="137"/>
      <c r="C775" s="130"/>
      <c r="D775" s="130"/>
      <c r="E775" s="130"/>
      <c r="F775" s="130"/>
      <c r="G775" s="129"/>
      <c r="H775" s="135"/>
      <c r="I775" s="135"/>
      <c r="J775" s="135"/>
      <c r="K775" s="135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  <c r="BH775" s="6"/>
      <c r="BI775" s="6"/>
      <c r="BJ775" s="6"/>
      <c r="BK775" s="6"/>
      <c r="BL775" s="6"/>
      <c r="BM775" s="6"/>
      <c r="BN775" s="6"/>
      <c r="BO775" s="6"/>
      <c r="BP775" s="6"/>
      <c r="BQ775" s="6"/>
      <c r="BR775" s="6"/>
      <c r="BS775" s="6"/>
      <c r="BT775" s="6"/>
      <c r="BU775" s="6"/>
      <c r="BV775" s="6"/>
      <c r="BW775" s="6"/>
      <c r="BX775" s="6"/>
      <c r="BY775" s="6"/>
    </row>
    <row r="776" spans="1:77" x14ac:dyDescent="0.25">
      <c r="A776" s="4"/>
      <c r="B776" s="137"/>
      <c r="C776" s="130"/>
      <c r="D776" s="130"/>
      <c r="E776" s="130"/>
      <c r="F776" s="130"/>
      <c r="G776" s="129"/>
      <c r="H776" s="135"/>
      <c r="I776" s="135"/>
      <c r="J776" s="135"/>
      <c r="K776" s="135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  <c r="BH776" s="6"/>
      <c r="BI776" s="6"/>
      <c r="BJ776" s="6"/>
      <c r="BK776" s="6"/>
      <c r="BL776" s="6"/>
      <c r="BM776" s="6"/>
      <c r="BN776" s="6"/>
      <c r="BO776" s="6"/>
      <c r="BP776" s="6"/>
      <c r="BQ776" s="6"/>
      <c r="BR776" s="6"/>
      <c r="BS776" s="6"/>
      <c r="BT776" s="6"/>
      <c r="BU776" s="6"/>
      <c r="BV776" s="6"/>
      <c r="BW776" s="6"/>
      <c r="BX776" s="6"/>
      <c r="BY776" s="6"/>
    </row>
    <row r="777" spans="1:77" x14ac:dyDescent="0.25">
      <c r="A777" s="4"/>
      <c r="B777" s="137"/>
      <c r="C777" s="130"/>
      <c r="D777" s="130"/>
      <c r="E777" s="130"/>
      <c r="F777" s="130"/>
      <c r="G777" s="129"/>
      <c r="H777" s="135"/>
      <c r="I777" s="135"/>
      <c r="J777" s="135"/>
      <c r="K777" s="135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  <c r="BH777" s="6"/>
      <c r="BI777" s="6"/>
      <c r="BJ777" s="6"/>
      <c r="BK777" s="6"/>
      <c r="BL777" s="6"/>
      <c r="BM777" s="6"/>
      <c r="BN777" s="6"/>
      <c r="BO777" s="6"/>
      <c r="BP777" s="6"/>
      <c r="BQ777" s="6"/>
      <c r="BR777" s="6"/>
      <c r="BS777" s="6"/>
      <c r="BT777" s="6"/>
      <c r="BU777" s="6"/>
      <c r="BV777" s="6"/>
      <c r="BW777" s="6"/>
      <c r="BX777" s="6"/>
      <c r="BY777" s="6"/>
    </row>
    <row r="778" spans="1:77" x14ac:dyDescent="0.25">
      <c r="A778" s="4"/>
      <c r="B778" s="137"/>
      <c r="C778" s="130"/>
      <c r="D778" s="130"/>
      <c r="E778" s="130"/>
      <c r="F778" s="130"/>
      <c r="G778" s="129"/>
      <c r="H778" s="135"/>
      <c r="I778" s="135"/>
      <c r="J778" s="135"/>
      <c r="K778" s="135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  <c r="BH778" s="6"/>
      <c r="BI778" s="6"/>
      <c r="BJ778" s="6"/>
      <c r="BK778" s="6"/>
      <c r="BL778" s="6"/>
      <c r="BM778" s="6"/>
      <c r="BN778" s="6"/>
      <c r="BO778" s="6"/>
      <c r="BP778" s="6"/>
      <c r="BQ778" s="6"/>
      <c r="BR778" s="6"/>
      <c r="BS778" s="6"/>
      <c r="BT778" s="6"/>
      <c r="BU778" s="6"/>
      <c r="BV778" s="6"/>
      <c r="BW778" s="6"/>
      <c r="BX778" s="6"/>
      <c r="BY778" s="6"/>
    </row>
    <row r="779" spans="1:77" x14ac:dyDescent="0.25">
      <c r="A779" s="4"/>
      <c r="B779" s="137"/>
      <c r="C779" s="130"/>
      <c r="D779" s="130"/>
      <c r="E779" s="130"/>
      <c r="F779" s="130"/>
      <c r="G779" s="129"/>
      <c r="H779" s="135"/>
      <c r="I779" s="135"/>
      <c r="J779" s="135"/>
      <c r="K779" s="135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  <c r="BH779" s="6"/>
      <c r="BI779" s="6"/>
      <c r="BJ779" s="6"/>
      <c r="BK779" s="6"/>
      <c r="BL779" s="6"/>
      <c r="BM779" s="6"/>
      <c r="BN779" s="6"/>
      <c r="BO779" s="6"/>
      <c r="BP779" s="6"/>
      <c r="BQ779" s="6"/>
      <c r="BR779" s="6"/>
      <c r="BS779" s="6"/>
      <c r="BT779" s="6"/>
      <c r="BU779" s="6"/>
      <c r="BV779" s="6"/>
      <c r="BW779" s="6"/>
      <c r="BX779" s="6"/>
      <c r="BY779" s="6"/>
    </row>
    <row r="780" spans="1:77" x14ac:dyDescent="0.25">
      <c r="A780" s="4"/>
      <c r="B780" s="137"/>
      <c r="C780" s="130"/>
      <c r="D780" s="130"/>
      <c r="E780" s="130"/>
      <c r="F780" s="130"/>
      <c r="G780" s="129"/>
      <c r="H780" s="135"/>
      <c r="I780" s="135"/>
      <c r="J780" s="135"/>
      <c r="K780" s="135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  <c r="BH780" s="6"/>
      <c r="BI780" s="6"/>
      <c r="BJ780" s="6"/>
      <c r="BK780" s="6"/>
      <c r="BL780" s="6"/>
      <c r="BM780" s="6"/>
      <c r="BN780" s="6"/>
      <c r="BO780" s="6"/>
      <c r="BP780" s="6"/>
      <c r="BQ780" s="6"/>
      <c r="BR780" s="6"/>
      <c r="BS780" s="6"/>
      <c r="BT780" s="6"/>
      <c r="BU780" s="6"/>
      <c r="BV780" s="6"/>
      <c r="BW780" s="6"/>
      <c r="BX780" s="6"/>
      <c r="BY780" s="6"/>
    </row>
    <row r="781" spans="1:77" x14ac:dyDescent="0.25">
      <c r="A781" s="4"/>
      <c r="B781" s="137"/>
      <c r="C781" s="130"/>
      <c r="D781" s="130"/>
      <c r="E781" s="130"/>
      <c r="F781" s="130"/>
      <c r="G781" s="129"/>
      <c r="H781" s="135"/>
      <c r="I781" s="135"/>
      <c r="J781" s="135"/>
      <c r="K781" s="135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I781" s="6"/>
      <c r="BJ781" s="6"/>
      <c r="BK781" s="6"/>
      <c r="BL781" s="6"/>
      <c r="BM781" s="6"/>
      <c r="BN781" s="6"/>
      <c r="BO781" s="6"/>
      <c r="BP781" s="6"/>
      <c r="BQ781" s="6"/>
      <c r="BR781" s="6"/>
      <c r="BS781" s="6"/>
      <c r="BT781" s="6"/>
      <c r="BU781" s="6"/>
      <c r="BV781" s="6"/>
      <c r="BW781" s="6"/>
      <c r="BX781" s="6"/>
      <c r="BY781" s="6"/>
    </row>
    <row r="782" spans="1:77" x14ac:dyDescent="0.25">
      <c r="A782" s="4"/>
      <c r="B782" s="137"/>
      <c r="C782" s="130"/>
      <c r="D782" s="130"/>
      <c r="E782" s="130"/>
      <c r="F782" s="130"/>
      <c r="G782" s="129"/>
      <c r="H782" s="135"/>
      <c r="I782" s="135"/>
      <c r="J782" s="135"/>
      <c r="K782" s="135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I782" s="6"/>
      <c r="BJ782" s="6"/>
      <c r="BK782" s="6"/>
      <c r="BL782" s="6"/>
      <c r="BM782" s="6"/>
      <c r="BN782" s="6"/>
      <c r="BO782" s="6"/>
      <c r="BP782" s="6"/>
      <c r="BQ782" s="6"/>
      <c r="BR782" s="6"/>
      <c r="BS782" s="6"/>
      <c r="BT782" s="6"/>
      <c r="BU782" s="6"/>
      <c r="BV782" s="6"/>
      <c r="BW782" s="6"/>
      <c r="BX782" s="6"/>
      <c r="BY782" s="6"/>
    </row>
    <row r="783" spans="1:77" x14ac:dyDescent="0.25">
      <c r="A783" s="4"/>
      <c r="B783" s="137"/>
      <c r="C783" s="130"/>
      <c r="D783" s="130"/>
      <c r="E783" s="130"/>
      <c r="F783" s="130"/>
      <c r="G783" s="129"/>
      <c r="H783" s="135"/>
      <c r="I783" s="135"/>
      <c r="J783" s="135"/>
      <c r="K783" s="135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  <c r="BH783" s="6"/>
      <c r="BI783" s="6"/>
      <c r="BJ783" s="6"/>
      <c r="BK783" s="6"/>
      <c r="BL783" s="6"/>
      <c r="BM783" s="6"/>
      <c r="BN783" s="6"/>
      <c r="BO783" s="6"/>
      <c r="BP783" s="6"/>
      <c r="BQ783" s="6"/>
      <c r="BR783" s="6"/>
      <c r="BS783" s="6"/>
      <c r="BT783" s="6"/>
      <c r="BU783" s="6"/>
      <c r="BV783" s="6"/>
      <c r="BW783" s="6"/>
      <c r="BX783" s="6"/>
      <c r="BY783" s="6"/>
    </row>
    <row r="784" spans="1:77" x14ac:dyDescent="0.25">
      <c r="A784" s="4"/>
      <c r="B784" s="137"/>
      <c r="C784" s="130"/>
      <c r="D784" s="130"/>
      <c r="E784" s="130"/>
      <c r="F784" s="130"/>
      <c r="G784" s="129"/>
      <c r="H784" s="135"/>
      <c r="I784" s="135"/>
      <c r="J784" s="135"/>
      <c r="K784" s="135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  <c r="BH784" s="6"/>
      <c r="BI784" s="6"/>
      <c r="BJ784" s="6"/>
      <c r="BK784" s="6"/>
      <c r="BL784" s="6"/>
      <c r="BM784" s="6"/>
      <c r="BN784" s="6"/>
      <c r="BO784" s="6"/>
      <c r="BP784" s="6"/>
      <c r="BQ784" s="6"/>
      <c r="BR784" s="6"/>
      <c r="BS784" s="6"/>
      <c r="BT784" s="6"/>
      <c r="BU784" s="6"/>
      <c r="BV784" s="6"/>
      <c r="BW784" s="6"/>
      <c r="BX784" s="6"/>
      <c r="BY784" s="6"/>
    </row>
    <row r="785" spans="1:77" x14ac:dyDescent="0.25">
      <c r="A785" s="4"/>
      <c r="B785" s="137"/>
      <c r="C785" s="130"/>
      <c r="D785" s="130"/>
      <c r="E785" s="130"/>
      <c r="F785" s="130"/>
      <c r="G785" s="129"/>
      <c r="H785" s="135"/>
      <c r="I785" s="135"/>
      <c r="J785" s="135"/>
      <c r="K785" s="135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  <c r="BH785" s="6"/>
      <c r="BI785" s="6"/>
      <c r="BJ785" s="6"/>
      <c r="BK785" s="6"/>
      <c r="BL785" s="6"/>
      <c r="BM785" s="6"/>
      <c r="BN785" s="6"/>
      <c r="BO785" s="6"/>
      <c r="BP785" s="6"/>
      <c r="BQ785" s="6"/>
      <c r="BR785" s="6"/>
      <c r="BS785" s="6"/>
      <c r="BT785" s="6"/>
      <c r="BU785" s="6"/>
      <c r="BV785" s="6"/>
      <c r="BW785" s="6"/>
      <c r="BX785" s="6"/>
      <c r="BY785" s="6"/>
    </row>
    <row r="786" spans="1:77" x14ac:dyDescent="0.25">
      <c r="A786" s="4"/>
      <c r="B786" s="137"/>
      <c r="C786" s="130"/>
      <c r="D786" s="130"/>
      <c r="E786" s="130"/>
      <c r="F786" s="130"/>
      <c r="G786" s="129"/>
      <c r="H786" s="135"/>
      <c r="I786" s="135"/>
      <c r="J786" s="135"/>
      <c r="K786" s="135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  <c r="BH786" s="6"/>
      <c r="BI786" s="6"/>
      <c r="BJ786" s="6"/>
      <c r="BK786" s="6"/>
      <c r="BL786" s="6"/>
      <c r="BM786" s="6"/>
      <c r="BN786" s="6"/>
      <c r="BO786" s="6"/>
      <c r="BP786" s="6"/>
      <c r="BQ786" s="6"/>
      <c r="BR786" s="6"/>
      <c r="BS786" s="6"/>
      <c r="BT786" s="6"/>
      <c r="BU786" s="6"/>
      <c r="BV786" s="6"/>
      <c r="BW786" s="6"/>
      <c r="BX786" s="6"/>
      <c r="BY786" s="6"/>
    </row>
    <row r="787" spans="1:77" x14ac:dyDescent="0.25">
      <c r="A787" s="4"/>
      <c r="B787" s="137"/>
      <c r="C787" s="130"/>
      <c r="D787" s="130"/>
      <c r="E787" s="130"/>
      <c r="F787" s="130"/>
      <c r="G787" s="129"/>
      <c r="H787" s="135"/>
      <c r="I787" s="135"/>
      <c r="J787" s="135"/>
      <c r="K787" s="135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  <c r="BH787" s="6"/>
      <c r="BI787" s="6"/>
      <c r="BJ787" s="6"/>
      <c r="BK787" s="6"/>
      <c r="BL787" s="6"/>
      <c r="BM787" s="6"/>
      <c r="BN787" s="6"/>
      <c r="BO787" s="6"/>
      <c r="BP787" s="6"/>
      <c r="BQ787" s="6"/>
      <c r="BR787" s="6"/>
      <c r="BS787" s="6"/>
      <c r="BT787" s="6"/>
      <c r="BU787" s="6"/>
      <c r="BV787" s="6"/>
      <c r="BW787" s="6"/>
      <c r="BX787" s="6"/>
      <c r="BY787" s="6"/>
    </row>
    <row r="788" spans="1:77" x14ac:dyDescent="0.25">
      <c r="A788" s="4"/>
      <c r="B788" s="137"/>
      <c r="C788" s="130"/>
      <c r="D788" s="130"/>
      <c r="E788" s="130"/>
      <c r="F788" s="130"/>
      <c r="G788" s="129"/>
      <c r="H788" s="135"/>
      <c r="I788" s="135"/>
      <c r="J788" s="135"/>
      <c r="K788" s="135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  <c r="BH788" s="6"/>
      <c r="BI788" s="6"/>
      <c r="BJ788" s="6"/>
      <c r="BK788" s="6"/>
      <c r="BL788" s="6"/>
      <c r="BM788" s="6"/>
      <c r="BN788" s="6"/>
      <c r="BO788" s="6"/>
      <c r="BP788" s="6"/>
      <c r="BQ788" s="6"/>
      <c r="BR788" s="6"/>
      <c r="BS788" s="6"/>
      <c r="BT788" s="6"/>
      <c r="BU788" s="6"/>
      <c r="BV788" s="6"/>
      <c r="BW788" s="6"/>
      <c r="BX788" s="6"/>
      <c r="BY788" s="6"/>
    </row>
    <row r="789" spans="1:77" x14ac:dyDescent="0.25">
      <c r="A789" s="4"/>
      <c r="B789" s="137"/>
      <c r="C789" s="130"/>
      <c r="D789" s="130"/>
      <c r="E789" s="130"/>
      <c r="F789" s="130"/>
      <c r="G789" s="129"/>
      <c r="H789" s="135"/>
      <c r="I789" s="135"/>
      <c r="J789" s="135"/>
      <c r="K789" s="135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  <c r="BH789" s="6"/>
      <c r="BI789" s="6"/>
      <c r="BJ789" s="6"/>
      <c r="BK789" s="6"/>
      <c r="BL789" s="6"/>
      <c r="BM789" s="6"/>
      <c r="BN789" s="6"/>
      <c r="BO789" s="6"/>
      <c r="BP789" s="6"/>
      <c r="BQ789" s="6"/>
      <c r="BR789" s="6"/>
      <c r="BS789" s="6"/>
      <c r="BT789" s="6"/>
      <c r="BU789" s="6"/>
      <c r="BV789" s="6"/>
      <c r="BW789" s="6"/>
      <c r="BX789" s="6"/>
      <c r="BY789" s="6"/>
    </row>
    <row r="790" spans="1:77" x14ac:dyDescent="0.25">
      <c r="A790" s="4"/>
      <c r="B790" s="137"/>
      <c r="C790" s="130"/>
      <c r="D790" s="130"/>
      <c r="E790" s="130"/>
      <c r="F790" s="130"/>
      <c r="G790" s="129"/>
      <c r="H790" s="135"/>
      <c r="I790" s="135"/>
      <c r="J790" s="135"/>
      <c r="K790" s="135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  <c r="BH790" s="6"/>
      <c r="BI790" s="6"/>
      <c r="BJ790" s="6"/>
      <c r="BK790" s="6"/>
      <c r="BL790" s="6"/>
      <c r="BM790" s="6"/>
      <c r="BN790" s="6"/>
      <c r="BO790" s="6"/>
      <c r="BP790" s="6"/>
      <c r="BQ790" s="6"/>
      <c r="BR790" s="6"/>
      <c r="BS790" s="6"/>
      <c r="BT790" s="6"/>
      <c r="BU790" s="6"/>
      <c r="BV790" s="6"/>
      <c r="BW790" s="6"/>
      <c r="BX790" s="6"/>
      <c r="BY790" s="6"/>
    </row>
    <row r="791" spans="1:77" x14ac:dyDescent="0.25">
      <c r="A791" s="4"/>
      <c r="B791" s="137"/>
      <c r="C791" s="130"/>
      <c r="D791" s="130"/>
      <c r="E791" s="130"/>
      <c r="F791" s="130"/>
      <c r="G791" s="129"/>
      <c r="H791" s="135"/>
      <c r="I791" s="135"/>
      <c r="J791" s="135"/>
      <c r="K791" s="135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  <c r="BH791" s="6"/>
      <c r="BI791" s="6"/>
      <c r="BJ791" s="6"/>
      <c r="BK791" s="6"/>
      <c r="BL791" s="6"/>
      <c r="BM791" s="6"/>
      <c r="BN791" s="6"/>
      <c r="BO791" s="6"/>
      <c r="BP791" s="6"/>
      <c r="BQ791" s="6"/>
      <c r="BR791" s="6"/>
      <c r="BS791" s="6"/>
      <c r="BT791" s="6"/>
      <c r="BU791" s="6"/>
      <c r="BV791" s="6"/>
      <c r="BW791" s="6"/>
      <c r="BX791" s="6"/>
      <c r="BY791" s="6"/>
    </row>
    <row r="792" spans="1:77" x14ac:dyDescent="0.25">
      <c r="A792" s="4"/>
      <c r="B792" s="137"/>
      <c r="C792" s="130"/>
      <c r="D792" s="130"/>
      <c r="E792" s="130"/>
      <c r="F792" s="130"/>
      <c r="G792" s="129"/>
      <c r="H792" s="135"/>
      <c r="I792" s="135"/>
      <c r="J792" s="135"/>
      <c r="K792" s="135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  <c r="BH792" s="6"/>
      <c r="BI792" s="6"/>
      <c r="BJ792" s="6"/>
      <c r="BK792" s="6"/>
      <c r="BL792" s="6"/>
      <c r="BM792" s="6"/>
      <c r="BN792" s="6"/>
      <c r="BO792" s="6"/>
      <c r="BP792" s="6"/>
      <c r="BQ792" s="6"/>
      <c r="BR792" s="6"/>
      <c r="BS792" s="6"/>
      <c r="BT792" s="6"/>
      <c r="BU792" s="6"/>
      <c r="BV792" s="6"/>
      <c r="BW792" s="6"/>
      <c r="BX792" s="6"/>
      <c r="BY792" s="6"/>
    </row>
    <row r="793" spans="1:77" x14ac:dyDescent="0.25">
      <c r="A793" s="4"/>
      <c r="B793" s="137"/>
      <c r="C793" s="130"/>
      <c r="D793" s="130"/>
      <c r="E793" s="130"/>
      <c r="F793" s="130"/>
      <c r="G793" s="129"/>
      <c r="H793" s="135"/>
      <c r="I793" s="135"/>
      <c r="J793" s="135"/>
      <c r="K793" s="135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  <c r="BH793" s="6"/>
      <c r="BI793" s="6"/>
      <c r="BJ793" s="6"/>
      <c r="BK793" s="6"/>
      <c r="BL793" s="6"/>
      <c r="BM793" s="6"/>
      <c r="BN793" s="6"/>
      <c r="BO793" s="6"/>
      <c r="BP793" s="6"/>
      <c r="BQ793" s="6"/>
      <c r="BR793" s="6"/>
      <c r="BS793" s="6"/>
      <c r="BT793" s="6"/>
      <c r="BU793" s="6"/>
      <c r="BV793" s="6"/>
      <c r="BW793" s="6"/>
      <c r="BX793" s="6"/>
      <c r="BY793" s="6"/>
    </row>
    <row r="794" spans="1:77" x14ac:dyDescent="0.25">
      <c r="A794" s="4"/>
      <c r="B794" s="137"/>
      <c r="C794" s="130"/>
      <c r="D794" s="130"/>
      <c r="E794" s="130"/>
      <c r="F794" s="130"/>
      <c r="G794" s="129"/>
      <c r="H794" s="135"/>
      <c r="I794" s="135"/>
      <c r="J794" s="135"/>
      <c r="K794" s="135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  <c r="BH794" s="6"/>
      <c r="BI794" s="6"/>
      <c r="BJ794" s="6"/>
      <c r="BK794" s="6"/>
      <c r="BL794" s="6"/>
      <c r="BM794" s="6"/>
      <c r="BN794" s="6"/>
      <c r="BO794" s="6"/>
      <c r="BP794" s="6"/>
      <c r="BQ794" s="6"/>
      <c r="BR794" s="6"/>
      <c r="BS794" s="6"/>
      <c r="BT794" s="6"/>
      <c r="BU794" s="6"/>
      <c r="BV794" s="6"/>
      <c r="BW794" s="6"/>
      <c r="BX794" s="6"/>
      <c r="BY794" s="6"/>
    </row>
    <row r="795" spans="1:77" x14ac:dyDescent="0.25">
      <c r="A795" s="4"/>
      <c r="B795" s="137"/>
      <c r="C795" s="130"/>
      <c r="D795" s="130"/>
      <c r="E795" s="130"/>
      <c r="F795" s="130"/>
      <c r="G795" s="129"/>
      <c r="H795" s="135"/>
      <c r="I795" s="135"/>
      <c r="J795" s="135"/>
      <c r="K795" s="135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  <c r="BH795" s="6"/>
      <c r="BI795" s="6"/>
      <c r="BJ795" s="6"/>
      <c r="BK795" s="6"/>
      <c r="BL795" s="6"/>
      <c r="BM795" s="6"/>
      <c r="BN795" s="6"/>
      <c r="BO795" s="6"/>
      <c r="BP795" s="6"/>
      <c r="BQ795" s="6"/>
      <c r="BR795" s="6"/>
      <c r="BS795" s="6"/>
      <c r="BT795" s="6"/>
      <c r="BU795" s="6"/>
      <c r="BV795" s="6"/>
      <c r="BW795" s="6"/>
      <c r="BX795" s="6"/>
      <c r="BY795" s="6"/>
    </row>
    <row r="796" spans="1:77" x14ac:dyDescent="0.25">
      <c r="A796" s="4"/>
      <c r="B796" s="137"/>
      <c r="C796" s="130"/>
      <c r="D796" s="130"/>
      <c r="E796" s="130"/>
      <c r="F796" s="130"/>
      <c r="G796" s="129"/>
      <c r="H796" s="135"/>
      <c r="I796" s="135"/>
      <c r="J796" s="135"/>
      <c r="K796" s="135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  <c r="BH796" s="6"/>
      <c r="BI796" s="6"/>
      <c r="BJ796" s="6"/>
      <c r="BK796" s="6"/>
      <c r="BL796" s="6"/>
      <c r="BM796" s="6"/>
      <c r="BN796" s="6"/>
      <c r="BO796" s="6"/>
      <c r="BP796" s="6"/>
      <c r="BQ796" s="6"/>
      <c r="BR796" s="6"/>
      <c r="BS796" s="6"/>
      <c r="BT796" s="6"/>
      <c r="BU796" s="6"/>
      <c r="BV796" s="6"/>
      <c r="BW796" s="6"/>
      <c r="BX796" s="6"/>
      <c r="BY796" s="6"/>
    </row>
    <row r="797" spans="1:77" x14ac:dyDescent="0.25">
      <c r="A797" s="4"/>
      <c r="B797" s="137"/>
      <c r="C797" s="130"/>
      <c r="D797" s="130"/>
      <c r="E797" s="130"/>
      <c r="F797" s="130"/>
      <c r="G797" s="129"/>
      <c r="H797" s="135"/>
      <c r="I797" s="135"/>
      <c r="J797" s="135"/>
      <c r="K797" s="135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  <c r="BH797" s="6"/>
      <c r="BI797" s="6"/>
      <c r="BJ797" s="6"/>
      <c r="BK797" s="6"/>
      <c r="BL797" s="6"/>
      <c r="BM797" s="6"/>
      <c r="BN797" s="6"/>
      <c r="BO797" s="6"/>
      <c r="BP797" s="6"/>
      <c r="BQ797" s="6"/>
      <c r="BR797" s="6"/>
      <c r="BS797" s="6"/>
      <c r="BT797" s="6"/>
      <c r="BU797" s="6"/>
      <c r="BV797" s="6"/>
      <c r="BW797" s="6"/>
      <c r="BX797" s="6"/>
      <c r="BY797" s="6"/>
    </row>
    <row r="798" spans="1:77" x14ac:dyDescent="0.25">
      <c r="A798" s="4"/>
      <c r="B798" s="137"/>
      <c r="C798" s="130"/>
      <c r="D798" s="130"/>
      <c r="E798" s="130"/>
      <c r="F798" s="130"/>
      <c r="G798" s="129"/>
      <c r="H798" s="135"/>
      <c r="I798" s="135"/>
      <c r="J798" s="135"/>
      <c r="K798" s="135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  <c r="BH798" s="6"/>
      <c r="BI798" s="6"/>
      <c r="BJ798" s="6"/>
      <c r="BK798" s="6"/>
      <c r="BL798" s="6"/>
      <c r="BM798" s="6"/>
      <c r="BN798" s="6"/>
      <c r="BO798" s="6"/>
      <c r="BP798" s="6"/>
      <c r="BQ798" s="6"/>
      <c r="BR798" s="6"/>
      <c r="BS798" s="6"/>
      <c r="BT798" s="6"/>
      <c r="BU798" s="6"/>
      <c r="BV798" s="6"/>
      <c r="BW798" s="6"/>
      <c r="BX798" s="6"/>
      <c r="BY798" s="6"/>
    </row>
    <row r="799" spans="1:77" x14ac:dyDescent="0.25">
      <c r="A799" s="4"/>
      <c r="B799" s="137"/>
      <c r="C799" s="130"/>
      <c r="D799" s="130"/>
      <c r="E799" s="130"/>
      <c r="F799" s="130"/>
      <c r="G799" s="129"/>
      <c r="H799" s="135"/>
      <c r="I799" s="135"/>
      <c r="J799" s="135"/>
      <c r="K799" s="135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  <c r="BH799" s="6"/>
      <c r="BI799" s="6"/>
      <c r="BJ799" s="6"/>
      <c r="BK799" s="6"/>
      <c r="BL799" s="6"/>
      <c r="BM799" s="6"/>
      <c r="BN799" s="6"/>
      <c r="BO799" s="6"/>
      <c r="BP799" s="6"/>
      <c r="BQ799" s="6"/>
      <c r="BR799" s="6"/>
      <c r="BS799" s="6"/>
      <c r="BT799" s="6"/>
      <c r="BU799" s="6"/>
      <c r="BV799" s="6"/>
      <c r="BW799" s="6"/>
      <c r="BX799" s="6"/>
      <c r="BY799" s="6"/>
    </row>
    <row r="800" spans="1:77" x14ac:dyDescent="0.25">
      <c r="A800" s="4"/>
      <c r="B800" s="137"/>
      <c r="C800" s="130"/>
      <c r="D800" s="130"/>
      <c r="E800" s="130"/>
      <c r="F800" s="130"/>
      <c r="G800" s="129"/>
      <c r="H800" s="135"/>
      <c r="I800" s="135"/>
      <c r="J800" s="135"/>
      <c r="K800" s="135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  <c r="BH800" s="6"/>
      <c r="BI800" s="6"/>
      <c r="BJ800" s="6"/>
      <c r="BK800" s="6"/>
      <c r="BL800" s="6"/>
      <c r="BM800" s="6"/>
      <c r="BN800" s="6"/>
      <c r="BO800" s="6"/>
      <c r="BP800" s="6"/>
      <c r="BQ800" s="6"/>
      <c r="BR800" s="6"/>
      <c r="BS800" s="6"/>
      <c r="BT800" s="6"/>
      <c r="BU800" s="6"/>
      <c r="BV800" s="6"/>
      <c r="BW800" s="6"/>
      <c r="BX800" s="6"/>
      <c r="BY800" s="6"/>
    </row>
    <row r="801" spans="1:77" x14ac:dyDescent="0.25">
      <c r="A801" s="4"/>
      <c r="B801" s="137"/>
      <c r="C801" s="130"/>
      <c r="D801" s="130"/>
      <c r="E801" s="130"/>
      <c r="F801" s="130"/>
      <c r="G801" s="129"/>
      <c r="H801" s="135"/>
      <c r="I801" s="135"/>
      <c r="J801" s="135"/>
      <c r="K801" s="135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  <c r="BH801" s="6"/>
      <c r="BI801" s="6"/>
      <c r="BJ801" s="6"/>
      <c r="BK801" s="6"/>
      <c r="BL801" s="6"/>
      <c r="BM801" s="6"/>
      <c r="BN801" s="6"/>
      <c r="BO801" s="6"/>
      <c r="BP801" s="6"/>
      <c r="BQ801" s="6"/>
      <c r="BR801" s="6"/>
      <c r="BS801" s="6"/>
      <c r="BT801" s="6"/>
      <c r="BU801" s="6"/>
      <c r="BV801" s="6"/>
      <c r="BW801" s="6"/>
      <c r="BX801" s="6"/>
      <c r="BY801" s="6"/>
    </row>
    <row r="802" spans="1:77" x14ac:dyDescent="0.25">
      <c r="A802" s="4"/>
      <c r="B802" s="137"/>
      <c r="C802" s="130"/>
      <c r="D802" s="130"/>
      <c r="E802" s="130"/>
      <c r="F802" s="130"/>
      <c r="G802" s="129"/>
      <c r="H802" s="135"/>
      <c r="I802" s="135"/>
      <c r="J802" s="135"/>
      <c r="K802" s="135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  <c r="BH802" s="6"/>
      <c r="BI802" s="6"/>
      <c r="BJ802" s="6"/>
      <c r="BK802" s="6"/>
      <c r="BL802" s="6"/>
      <c r="BM802" s="6"/>
      <c r="BN802" s="6"/>
      <c r="BO802" s="6"/>
      <c r="BP802" s="6"/>
      <c r="BQ802" s="6"/>
      <c r="BR802" s="6"/>
      <c r="BS802" s="6"/>
      <c r="BT802" s="6"/>
      <c r="BU802" s="6"/>
      <c r="BV802" s="6"/>
      <c r="BW802" s="6"/>
      <c r="BX802" s="6"/>
      <c r="BY802" s="6"/>
    </row>
    <row r="803" spans="1:77" x14ac:dyDescent="0.25">
      <c r="A803" s="4"/>
      <c r="B803" s="137"/>
      <c r="C803" s="130"/>
      <c r="D803" s="130"/>
      <c r="E803" s="130"/>
      <c r="F803" s="130"/>
      <c r="G803" s="129"/>
      <c r="H803" s="135"/>
      <c r="I803" s="135"/>
      <c r="J803" s="135"/>
      <c r="K803" s="135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  <c r="BH803" s="6"/>
      <c r="BI803" s="6"/>
      <c r="BJ803" s="6"/>
      <c r="BK803" s="6"/>
      <c r="BL803" s="6"/>
      <c r="BM803" s="6"/>
      <c r="BN803" s="6"/>
      <c r="BO803" s="6"/>
      <c r="BP803" s="6"/>
      <c r="BQ803" s="6"/>
      <c r="BR803" s="6"/>
      <c r="BS803" s="6"/>
      <c r="BT803" s="6"/>
      <c r="BU803" s="6"/>
      <c r="BV803" s="6"/>
      <c r="BW803" s="6"/>
      <c r="BX803" s="6"/>
      <c r="BY803" s="6"/>
    </row>
    <row r="804" spans="1:77" x14ac:dyDescent="0.25">
      <c r="A804" s="4"/>
      <c r="B804" s="137"/>
      <c r="C804" s="130"/>
      <c r="D804" s="130"/>
      <c r="E804" s="130"/>
      <c r="F804" s="130"/>
      <c r="G804" s="129"/>
      <c r="H804" s="135"/>
      <c r="I804" s="135"/>
      <c r="J804" s="135"/>
      <c r="K804" s="135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  <c r="BH804" s="6"/>
      <c r="BI804" s="6"/>
      <c r="BJ804" s="6"/>
      <c r="BK804" s="6"/>
      <c r="BL804" s="6"/>
      <c r="BM804" s="6"/>
      <c r="BN804" s="6"/>
      <c r="BO804" s="6"/>
      <c r="BP804" s="6"/>
      <c r="BQ804" s="6"/>
      <c r="BR804" s="6"/>
      <c r="BS804" s="6"/>
      <c r="BT804" s="6"/>
      <c r="BU804" s="6"/>
      <c r="BV804" s="6"/>
      <c r="BW804" s="6"/>
      <c r="BX804" s="6"/>
      <c r="BY804" s="6"/>
    </row>
    <row r="805" spans="1:77" x14ac:dyDescent="0.25">
      <c r="A805" s="4"/>
      <c r="B805" s="137"/>
      <c r="C805" s="130"/>
      <c r="D805" s="130"/>
      <c r="E805" s="130"/>
      <c r="F805" s="130"/>
      <c r="G805" s="129"/>
      <c r="H805" s="135"/>
      <c r="I805" s="135"/>
      <c r="J805" s="135"/>
      <c r="K805" s="135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  <c r="BH805" s="6"/>
      <c r="BI805" s="6"/>
      <c r="BJ805" s="6"/>
      <c r="BK805" s="6"/>
      <c r="BL805" s="6"/>
      <c r="BM805" s="6"/>
      <c r="BN805" s="6"/>
      <c r="BO805" s="6"/>
      <c r="BP805" s="6"/>
      <c r="BQ805" s="6"/>
      <c r="BR805" s="6"/>
      <c r="BS805" s="6"/>
      <c r="BT805" s="6"/>
      <c r="BU805" s="6"/>
      <c r="BV805" s="6"/>
      <c r="BW805" s="6"/>
      <c r="BX805" s="6"/>
      <c r="BY805" s="6"/>
    </row>
    <row r="806" spans="1:77" x14ac:dyDescent="0.25">
      <c r="A806" s="4"/>
      <c r="B806" s="137"/>
      <c r="C806" s="130"/>
      <c r="D806" s="130"/>
      <c r="E806" s="130"/>
      <c r="F806" s="130"/>
      <c r="G806" s="129"/>
      <c r="H806" s="135"/>
      <c r="I806" s="135"/>
      <c r="J806" s="135"/>
      <c r="K806" s="135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  <c r="BH806" s="6"/>
      <c r="BI806" s="6"/>
      <c r="BJ806" s="6"/>
      <c r="BK806" s="6"/>
      <c r="BL806" s="6"/>
      <c r="BM806" s="6"/>
      <c r="BN806" s="6"/>
      <c r="BO806" s="6"/>
      <c r="BP806" s="6"/>
      <c r="BQ806" s="6"/>
      <c r="BR806" s="6"/>
      <c r="BS806" s="6"/>
      <c r="BT806" s="6"/>
      <c r="BU806" s="6"/>
      <c r="BV806" s="6"/>
      <c r="BW806" s="6"/>
      <c r="BX806" s="6"/>
      <c r="BY806" s="6"/>
    </row>
    <row r="807" spans="1:77" x14ac:dyDescent="0.25">
      <c r="A807" s="4"/>
      <c r="B807" s="137"/>
      <c r="C807" s="130"/>
      <c r="D807" s="130"/>
      <c r="E807" s="130"/>
      <c r="F807" s="130"/>
      <c r="G807" s="129"/>
      <c r="H807" s="135"/>
      <c r="I807" s="135"/>
      <c r="J807" s="135"/>
      <c r="K807" s="135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  <c r="BH807" s="6"/>
      <c r="BI807" s="6"/>
      <c r="BJ807" s="6"/>
      <c r="BK807" s="6"/>
      <c r="BL807" s="6"/>
      <c r="BM807" s="6"/>
      <c r="BN807" s="6"/>
      <c r="BO807" s="6"/>
      <c r="BP807" s="6"/>
      <c r="BQ807" s="6"/>
      <c r="BR807" s="6"/>
      <c r="BS807" s="6"/>
      <c r="BT807" s="6"/>
      <c r="BU807" s="6"/>
      <c r="BV807" s="6"/>
      <c r="BW807" s="6"/>
      <c r="BX807" s="6"/>
      <c r="BY807" s="6"/>
    </row>
    <row r="808" spans="1:77" x14ac:dyDescent="0.25">
      <c r="A808" s="4"/>
      <c r="B808" s="137"/>
      <c r="C808" s="130"/>
      <c r="D808" s="130"/>
      <c r="E808" s="130"/>
      <c r="F808" s="130"/>
      <c r="G808" s="129"/>
      <c r="H808" s="135"/>
      <c r="I808" s="135"/>
      <c r="J808" s="135"/>
      <c r="K808" s="135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  <c r="BH808" s="6"/>
      <c r="BI808" s="6"/>
      <c r="BJ808" s="6"/>
      <c r="BK808" s="6"/>
      <c r="BL808" s="6"/>
      <c r="BM808" s="6"/>
      <c r="BN808" s="6"/>
      <c r="BO808" s="6"/>
      <c r="BP808" s="6"/>
      <c r="BQ808" s="6"/>
      <c r="BR808" s="6"/>
      <c r="BS808" s="6"/>
      <c r="BT808" s="6"/>
      <c r="BU808" s="6"/>
      <c r="BV808" s="6"/>
      <c r="BW808" s="6"/>
      <c r="BX808" s="6"/>
      <c r="BY808" s="6"/>
    </row>
    <row r="809" spans="1:77" x14ac:dyDescent="0.25">
      <c r="A809" s="4"/>
      <c r="B809" s="137"/>
      <c r="C809" s="130"/>
      <c r="D809" s="130"/>
      <c r="E809" s="130"/>
      <c r="F809" s="130"/>
      <c r="G809" s="129"/>
      <c r="H809" s="135"/>
      <c r="I809" s="135"/>
      <c r="J809" s="135"/>
      <c r="K809" s="135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  <c r="BH809" s="6"/>
      <c r="BI809" s="6"/>
      <c r="BJ809" s="6"/>
      <c r="BK809" s="6"/>
      <c r="BL809" s="6"/>
      <c r="BM809" s="6"/>
      <c r="BN809" s="6"/>
      <c r="BO809" s="6"/>
      <c r="BP809" s="6"/>
      <c r="BQ809" s="6"/>
      <c r="BR809" s="6"/>
      <c r="BS809" s="6"/>
      <c r="BT809" s="6"/>
      <c r="BU809" s="6"/>
      <c r="BV809" s="6"/>
      <c r="BW809" s="6"/>
      <c r="BX809" s="6"/>
      <c r="BY809" s="6"/>
    </row>
    <row r="810" spans="1:77" x14ac:dyDescent="0.25">
      <c r="A810" s="4"/>
      <c r="B810" s="137"/>
      <c r="C810" s="130"/>
      <c r="D810" s="130"/>
      <c r="E810" s="130"/>
      <c r="F810" s="130"/>
      <c r="G810" s="129"/>
      <c r="H810" s="135"/>
      <c r="I810" s="135"/>
      <c r="J810" s="135"/>
      <c r="K810" s="135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  <c r="BH810" s="6"/>
      <c r="BI810" s="6"/>
      <c r="BJ810" s="6"/>
      <c r="BK810" s="6"/>
      <c r="BL810" s="6"/>
      <c r="BM810" s="6"/>
      <c r="BN810" s="6"/>
      <c r="BO810" s="6"/>
      <c r="BP810" s="6"/>
      <c r="BQ810" s="6"/>
      <c r="BR810" s="6"/>
      <c r="BS810" s="6"/>
      <c r="BT810" s="6"/>
      <c r="BU810" s="6"/>
      <c r="BV810" s="6"/>
      <c r="BW810" s="6"/>
      <c r="BX810" s="6"/>
      <c r="BY810" s="6"/>
    </row>
    <row r="811" spans="1:77" x14ac:dyDescent="0.25">
      <c r="A811" s="4"/>
      <c r="B811" s="137"/>
      <c r="C811" s="130"/>
      <c r="D811" s="130"/>
      <c r="E811" s="130"/>
      <c r="F811" s="130"/>
      <c r="G811" s="129"/>
      <c r="H811" s="135"/>
      <c r="I811" s="135"/>
      <c r="J811" s="135"/>
      <c r="K811" s="135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  <c r="BH811" s="6"/>
      <c r="BI811" s="6"/>
      <c r="BJ811" s="6"/>
      <c r="BK811" s="6"/>
      <c r="BL811" s="6"/>
      <c r="BM811" s="6"/>
      <c r="BN811" s="6"/>
      <c r="BO811" s="6"/>
      <c r="BP811" s="6"/>
      <c r="BQ811" s="6"/>
      <c r="BR811" s="6"/>
      <c r="BS811" s="6"/>
      <c r="BT811" s="6"/>
      <c r="BU811" s="6"/>
      <c r="BV811" s="6"/>
      <c r="BW811" s="6"/>
      <c r="BX811" s="6"/>
      <c r="BY811" s="6"/>
    </row>
    <row r="812" spans="1:77" x14ac:dyDescent="0.25">
      <c r="A812" s="4"/>
      <c r="B812" s="137"/>
      <c r="C812" s="130"/>
      <c r="D812" s="130"/>
      <c r="E812" s="130"/>
      <c r="F812" s="130"/>
      <c r="G812" s="129"/>
      <c r="H812" s="135"/>
      <c r="I812" s="135"/>
      <c r="J812" s="135"/>
      <c r="K812" s="135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  <c r="BH812" s="6"/>
      <c r="BI812" s="6"/>
      <c r="BJ812" s="6"/>
      <c r="BK812" s="6"/>
      <c r="BL812" s="6"/>
      <c r="BM812" s="6"/>
      <c r="BN812" s="6"/>
      <c r="BO812" s="6"/>
      <c r="BP812" s="6"/>
      <c r="BQ812" s="6"/>
      <c r="BR812" s="6"/>
      <c r="BS812" s="6"/>
      <c r="BT812" s="6"/>
      <c r="BU812" s="6"/>
      <c r="BV812" s="6"/>
      <c r="BW812" s="6"/>
      <c r="BX812" s="6"/>
      <c r="BY812" s="6"/>
    </row>
    <row r="813" spans="1:77" x14ac:dyDescent="0.25">
      <c r="A813" s="4"/>
      <c r="B813" s="137"/>
      <c r="C813" s="130"/>
      <c r="D813" s="130"/>
      <c r="E813" s="130"/>
      <c r="F813" s="130"/>
      <c r="G813" s="129"/>
      <c r="H813" s="135"/>
      <c r="I813" s="135"/>
      <c r="J813" s="135"/>
      <c r="K813" s="135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  <c r="BH813" s="6"/>
      <c r="BI813" s="6"/>
      <c r="BJ813" s="6"/>
      <c r="BK813" s="6"/>
      <c r="BL813" s="6"/>
      <c r="BM813" s="6"/>
      <c r="BN813" s="6"/>
      <c r="BO813" s="6"/>
      <c r="BP813" s="6"/>
      <c r="BQ813" s="6"/>
      <c r="BR813" s="6"/>
      <c r="BS813" s="6"/>
      <c r="BT813" s="6"/>
      <c r="BU813" s="6"/>
      <c r="BV813" s="6"/>
      <c r="BW813" s="6"/>
      <c r="BX813" s="6"/>
      <c r="BY813" s="6"/>
    </row>
    <row r="814" spans="1:77" x14ac:dyDescent="0.25">
      <c r="A814" s="4"/>
      <c r="B814" s="137"/>
      <c r="C814" s="130"/>
      <c r="D814" s="130"/>
      <c r="E814" s="130"/>
      <c r="F814" s="130"/>
      <c r="G814" s="129"/>
      <c r="H814" s="135"/>
      <c r="I814" s="135"/>
      <c r="J814" s="135"/>
      <c r="K814" s="135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  <c r="BH814" s="6"/>
      <c r="BI814" s="6"/>
      <c r="BJ814" s="6"/>
      <c r="BK814" s="6"/>
      <c r="BL814" s="6"/>
      <c r="BM814" s="6"/>
      <c r="BN814" s="6"/>
      <c r="BO814" s="6"/>
      <c r="BP814" s="6"/>
      <c r="BQ814" s="6"/>
      <c r="BR814" s="6"/>
      <c r="BS814" s="6"/>
      <c r="BT814" s="6"/>
      <c r="BU814" s="6"/>
      <c r="BV814" s="6"/>
      <c r="BW814" s="6"/>
      <c r="BX814" s="6"/>
      <c r="BY814" s="6"/>
    </row>
    <row r="815" spans="1:77" x14ac:dyDescent="0.25">
      <c r="B815" s="138"/>
      <c r="C815" s="130"/>
      <c r="D815" s="130"/>
      <c r="E815" s="130"/>
      <c r="F815" s="130"/>
      <c r="G815" s="129"/>
      <c r="H815" s="131"/>
      <c r="I815" s="131"/>
      <c r="J815" s="131"/>
    </row>
    <row r="816" spans="1:77" x14ac:dyDescent="0.25">
      <c r="B816" s="138"/>
      <c r="C816" s="130"/>
      <c r="D816" s="130"/>
      <c r="E816" s="130"/>
      <c r="F816" s="130"/>
      <c r="G816" s="129"/>
      <c r="H816" s="131"/>
      <c r="I816" s="131"/>
      <c r="J816" s="131"/>
    </row>
    <row r="817" spans="2:10" x14ac:dyDescent="0.25">
      <c r="B817" s="138"/>
      <c r="C817" s="130"/>
      <c r="D817" s="130"/>
      <c r="E817" s="130"/>
      <c r="F817" s="130"/>
      <c r="G817" s="129"/>
      <c r="H817" s="131"/>
      <c r="I817" s="131"/>
      <c r="J817" s="131"/>
    </row>
    <row r="818" spans="2:10" x14ac:dyDescent="0.25">
      <c r="B818" s="138"/>
      <c r="C818" s="130"/>
      <c r="D818" s="130"/>
      <c r="E818" s="130"/>
      <c r="F818" s="130"/>
      <c r="G818" s="129"/>
      <c r="H818" s="131"/>
      <c r="I818" s="131"/>
      <c r="J818" s="131"/>
    </row>
    <row r="819" spans="2:10" x14ac:dyDescent="0.25">
      <c r="B819" s="138"/>
      <c r="C819" s="130"/>
      <c r="D819" s="130"/>
      <c r="E819" s="130"/>
      <c r="F819" s="130"/>
      <c r="G819" s="129"/>
      <c r="H819" s="131"/>
      <c r="I819" s="131"/>
      <c r="J819" s="131"/>
    </row>
    <row r="820" spans="2:10" x14ac:dyDescent="0.25">
      <c r="B820" s="138"/>
      <c r="C820" s="130"/>
      <c r="D820" s="130"/>
      <c r="E820" s="130"/>
      <c r="F820" s="130"/>
      <c r="G820" s="129"/>
      <c r="H820" s="131"/>
      <c r="I820" s="131"/>
      <c r="J820" s="131"/>
    </row>
    <row r="821" spans="2:10" x14ac:dyDescent="0.25">
      <c r="B821" s="138"/>
      <c r="C821" s="130"/>
      <c r="D821" s="130"/>
      <c r="E821" s="130"/>
      <c r="F821" s="130"/>
      <c r="G821" s="129"/>
      <c r="H821" s="131"/>
      <c r="I821" s="131"/>
      <c r="J821" s="131"/>
    </row>
    <row r="822" spans="2:10" x14ac:dyDescent="0.25">
      <c r="B822" s="138"/>
      <c r="C822" s="130"/>
      <c r="D822" s="130"/>
      <c r="E822" s="130"/>
      <c r="F822" s="130"/>
      <c r="G822" s="129"/>
      <c r="H822" s="131"/>
      <c r="I822" s="131"/>
      <c r="J822" s="131"/>
    </row>
    <row r="823" spans="2:10" x14ac:dyDescent="0.25">
      <c r="B823" s="138"/>
      <c r="C823" s="130"/>
      <c r="D823" s="130"/>
      <c r="E823" s="130"/>
      <c r="F823" s="130"/>
      <c r="G823" s="129"/>
      <c r="H823" s="131"/>
      <c r="I823" s="131"/>
      <c r="J823" s="131"/>
    </row>
    <row r="824" spans="2:10" x14ac:dyDescent="0.25">
      <c r="B824" s="138"/>
      <c r="C824" s="130"/>
      <c r="D824" s="130"/>
      <c r="E824" s="130"/>
      <c r="F824" s="130"/>
      <c r="G824" s="129"/>
      <c r="H824" s="131"/>
      <c r="I824" s="131"/>
      <c r="J824" s="131"/>
    </row>
    <row r="825" spans="2:10" x14ac:dyDescent="0.25">
      <c r="B825" s="138"/>
      <c r="C825" s="130"/>
      <c r="D825" s="130"/>
      <c r="E825" s="130"/>
      <c r="F825" s="130"/>
      <c r="G825" s="129"/>
      <c r="H825" s="131"/>
      <c r="I825" s="131"/>
      <c r="J825" s="131"/>
    </row>
    <row r="826" spans="2:10" x14ac:dyDescent="0.25">
      <c r="B826" s="138"/>
      <c r="C826" s="130"/>
      <c r="D826" s="130"/>
      <c r="E826" s="130"/>
      <c r="F826" s="130"/>
      <c r="G826" s="129"/>
      <c r="H826" s="131"/>
      <c r="I826" s="131"/>
      <c r="J826" s="131"/>
    </row>
    <row r="827" spans="2:10" x14ac:dyDescent="0.25">
      <c r="B827" s="138"/>
      <c r="C827" s="130"/>
      <c r="D827" s="130"/>
      <c r="E827" s="130"/>
      <c r="F827" s="130"/>
      <c r="G827" s="129"/>
      <c r="H827" s="131"/>
      <c r="I827" s="131"/>
      <c r="J827" s="131"/>
    </row>
    <row r="828" spans="2:10" x14ac:dyDescent="0.25">
      <c r="B828" s="138"/>
      <c r="C828" s="130"/>
      <c r="D828" s="130"/>
      <c r="E828" s="130"/>
      <c r="F828" s="130"/>
      <c r="G828" s="129"/>
      <c r="H828" s="131"/>
      <c r="I828" s="131"/>
      <c r="J828" s="131"/>
    </row>
    <row r="829" spans="2:10" x14ac:dyDescent="0.25">
      <c r="B829" s="138"/>
      <c r="C829" s="130"/>
      <c r="D829" s="130"/>
      <c r="E829" s="130"/>
      <c r="F829" s="130"/>
      <c r="G829" s="129"/>
      <c r="H829" s="131"/>
      <c r="I829" s="131"/>
      <c r="J829" s="131"/>
    </row>
    <row r="830" spans="2:10" x14ac:dyDescent="0.25">
      <c r="B830" s="138"/>
      <c r="C830" s="130"/>
      <c r="D830" s="130"/>
      <c r="E830" s="130"/>
      <c r="F830" s="130"/>
      <c r="G830" s="129"/>
      <c r="H830" s="131"/>
      <c r="I830" s="131"/>
      <c r="J830" s="131"/>
    </row>
    <row r="831" spans="2:10" x14ac:dyDescent="0.25">
      <c r="B831" s="138"/>
      <c r="C831" s="130"/>
      <c r="D831" s="130"/>
      <c r="E831" s="130"/>
      <c r="F831" s="130"/>
      <c r="G831" s="129"/>
      <c r="H831" s="131"/>
      <c r="I831" s="131"/>
      <c r="J831" s="131"/>
    </row>
    <row r="832" spans="2:10" x14ac:dyDescent="0.25">
      <c r="B832" s="138"/>
      <c r="C832" s="130"/>
      <c r="D832" s="130"/>
      <c r="E832" s="130"/>
      <c r="F832" s="130"/>
      <c r="G832" s="129"/>
      <c r="H832" s="131"/>
      <c r="I832" s="131"/>
      <c r="J832" s="131"/>
    </row>
    <row r="833" spans="2:10" x14ac:dyDescent="0.25">
      <c r="B833" s="138"/>
      <c r="C833" s="130"/>
      <c r="D833" s="130"/>
      <c r="E833" s="130"/>
      <c r="F833" s="130"/>
      <c r="G833" s="129"/>
      <c r="H833" s="131"/>
      <c r="I833" s="131"/>
      <c r="J833" s="131"/>
    </row>
    <row r="834" spans="2:10" x14ac:dyDescent="0.25">
      <c r="B834" s="138"/>
      <c r="C834" s="130"/>
      <c r="D834" s="130"/>
      <c r="E834" s="130"/>
      <c r="F834" s="130"/>
      <c r="G834" s="129"/>
      <c r="H834" s="131"/>
      <c r="I834" s="131"/>
      <c r="J834" s="131"/>
    </row>
    <row r="835" spans="2:10" x14ac:dyDescent="0.25">
      <c r="B835" s="138"/>
      <c r="C835" s="130"/>
      <c r="D835" s="130"/>
      <c r="E835" s="130"/>
      <c r="F835" s="130"/>
      <c r="G835" s="129"/>
      <c r="H835" s="131"/>
      <c r="I835" s="131"/>
      <c r="J835" s="131"/>
    </row>
    <row r="836" spans="2:10" x14ac:dyDescent="0.25">
      <c r="B836" s="138"/>
      <c r="C836" s="130"/>
      <c r="D836" s="130"/>
      <c r="E836" s="130"/>
      <c r="F836" s="130"/>
      <c r="G836" s="129"/>
      <c r="H836" s="131"/>
      <c r="I836" s="131"/>
      <c r="J836" s="131"/>
    </row>
    <row r="837" spans="2:10" x14ac:dyDescent="0.25">
      <c r="B837" s="138"/>
      <c r="C837" s="130"/>
      <c r="D837" s="130"/>
      <c r="E837" s="130"/>
      <c r="F837" s="130"/>
      <c r="G837" s="129"/>
      <c r="H837" s="131"/>
      <c r="I837" s="131"/>
      <c r="J837" s="131"/>
    </row>
    <row r="838" spans="2:10" x14ac:dyDescent="0.25">
      <c r="B838" s="138"/>
      <c r="C838" s="130"/>
      <c r="D838" s="130"/>
      <c r="E838" s="130"/>
      <c r="F838" s="130"/>
      <c r="G838" s="129"/>
      <c r="H838" s="131"/>
      <c r="I838" s="131"/>
      <c r="J838" s="131"/>
    </row>
    <row r="839" spans="2:10" x14ac:dyDescent="0.25">
      <c r="B839" s="138"/>
      <c r="C839" s="130"/>
      <c r="D839" s="130"/>
      <c r="E839" s="130"/>
      <c r="F839" s="130"/>
      <c r="G839" s="129"/>
      <c r="H839" s="131"/>
      <c r="I839" s="131"/>
      <c r="J839" s="131"/>
    </row>
    <row r="840" spans="2:10" x14ac:dyDescent="0.25">
      <c r="B840" s="138"/>
      <c r="C840" s="130"/>
      <c r="D840" s="130"/>
      <c r="E840" s="130"/>
      <c r="F840" s="130"/>
      <c r="G840" s="129"/>
      <c r="H840" s="131"/>
      <c r="I840" s="131"/>
      <c r="J840" s="131"/>
    </row>
    <row r="841" spans="2:10" x14ac:dyDescent="0.25">
      <c r="B841" s="138"/>
      <c r="C841" s="130"/>
      <c r="D841" s="130"/>
      <c r="E841" s="130"/>
      <c r="F841" s="130"/>
      <c r="G841" s="129"/>
      <c r="H841" s="131"/>
      <c r="I841" s="131"/>
      <c r="J841" s="131"/>
    </row>
    <row r="842" spans="2:10" x14ac:dyDescent="0.25">
      <c r="B842" s="138"/>
      <c r="C842" s="130"/>
      <c r="D842" s="130"/>
      <c r="E842" s="130"/>
      <c r="F842" s="130"/>
      <c r="G842" s="129"/>
      <c r="H842" s="131"/>
      <c r="I842" s="131"/>
      <c r="J842" s="131"/>
    </row>
    <row r="843" spans="2:10" x14ac:dyDescent="0.25">
      <c r="B843" s="138"/>
      <c r="C843" s="130"/>
      <c r="D843" s="130"/>
      <c r="E843" s="130"/>
      <c r="F843" s="130"/>
      <c r="G843" s="129"/>
      <c r="H843" s="131"/>
      <c r="I843" s="131"/>
      <c r="J843" s="131"/>
    </row>
    <row r="844" spans="2:10" x14ac:dyDescent="0.25">
      <c r="B844" s="138"/>
      <c r="C844" s="130"/>
      <c r="D844" s="130"/>
      <c r="E844" s="130"/>
      <c r="F844" s="130"/>
      <c r="G844" s="129"/>
      <c r="H844" s="131"/>
      <c r="I844" s="131"/>
      <c r="J844" s="131"/>
    </row>
    <row r="845" spans="2:10" x14ac:dyDescent="0.25">
      <c r="B845" s="138"/>
      <c r="C845" s="130"/>
      <c r="D845" s="130"/>
      <c r="E845" s="130"/>
      <c r="F845" s="130"/>
      <c r="G845" s="129"/>
      <c r="H845" s="131"/>
      <c r="I845" s="131"/>
      <c r="J845" s="131"/>
    </row>
    <row r="846" spans="2:10" x14ac:dyDescent="0.25">
      <c r="B846" s="138"/>
      <c r="C846" s="130"/>
      <c r="D846" s="130"/>
      <c r="E846" s="130"/>
      <c r="F846" s="130"/>
      <c r="G846" s="129"/>
      <c r="H846" s="131"/>
      <c r="I846" s="131"/>
      <c r="J846" s="131"/>
    </row>
    <row r="847" spans="2:10" x14ac:dyDescent="0.25">
      <c r="B847" s="138"/>
      <c r="C847" s="130"/>
      <c r="D847" s="130"/>
      <c r="E847" s="130"/>
      <c r="F847" s="130"/>
      <c r="G847" s="129"/>
      <c r="H847" s="131"/>
      <c r="I847" s="131"/>
      <c r="J847" s="131"/>
    </row>
    <row r="848" spans="2:10" x14ac:dyDescent="0.25">
      <c r="B848" s="138"/>
      <c r="C848" s="130"/>
      <c r="D848" s="130"/>
      <c r="E848" s="130"/>
      <c r="F848" s="130"/>
      <c r="G848" s="129"/>
      <c r="H848" s="131"/>
      <c r="I848" s="131"/>
      <c r="J848" s="131"/>
    </row>
    <row r="849" spans="2:10" x14ac:dyDescent="0.25">
      <c r="B849" s="138"/>
      <c r="C849" s="130"/>
      <c r="D849" s="130"/>
      <c r="E849" s="130"/>
      <c r="F849" s="130"/>
      <c r="G849" s="129"/>
      <c r="H849" s="131"/>
      <c r="I849" s="131"/>
      <c r="J849" s="131"/>
    </row>
    <row r="850" spans="2:10" x14ac:dyDescent="0.25">
      <c r="B850" s="138"/>
      <c r="C850" s="130"/>
      <c r="D850" s="130"/>
      <c r="E850" s="130"/>
      <c r="F850" s="130"/>
      <c r="G850" s="129"/>
      <c r="H850" s="131"/>
      <c r="I850" s="131"/>
      <c r="J850" s="131"/>
    </row>
    <row r="851" spans="2:10" x14ac:dyDescent="0.25">
      <c r="B851" s="138"/>
      <c r="C851" s="130"/>
      <c r="D851" s="130"/>
      <c r="E851" s="130"/>
      <c r="F851" s="130"/>
      <c r="G851" s="129"/>
      <c r="H851" s="131"/>
      <c r="I851" s="131"/>
      <c r="J851" s="131"/>
    </row>
    <row r="852" spans="2:10" x14ac:dyDescent="0.25">
      <c r="B852" s="138"/>
      <c r="C852" s="130"/>
      <c r="D852" s="130"/>
      <c r="E852" s="130"/>
      <c r="F852" s="130"/>
      <c r="G852" s="129"/>
      <c r="H852" s="131"/>
      <c r="I852" s="131"/>
      <c r="J852" s="131"/>
    </row>
    <row r="853" spans="2:10" x14ac:dyDescent="0.25">
      <c r="B853" s="138"/>
      <c r="C853" s="130"/>
      <c r="D853" s="130"/>
      <c r="E853" s="130"/>
      <c r="F853" s="130"/>
      <c r="G853" s="129"/>
      <c r="H853" s="131"/>
      <c r="I853" s="131"/>
      <c r="J853" s="131"/>
    </row>
    <row r="854" spans="2:10" x14ac:dyDescent="0.25">
      <c r="B854" s="138"/>
      <c r="C854" s="130"/>
      <c r="D854" s="130"/>
      <c r="E854" s="130"/>
      <c r="F854" s="130"/>
      <c r="G854" s="129"/>
      <c r="H854" s="131"/>
      <c r="I854" s="131"/>
      <c r="J854" s="131"/>
    </row>
    <row r="855" spans="2:10" x14ac:dyDescent="0.25">
      <c r="B855" s="138"/>
      <c r="C855" s="130"/>
      <c r="D855" s="130"/>
      <c r="E855" s="130"/>
      <c r="F855" s="130"/>
      <c r="G855" s="129"/>
      <c r="H855" s="131"/>
      <c r="I855" s="131"/>
      <c r="J855" s="131"/>
    </row>
    <row r="856" spans="2:10" x14ac:dyDescent="0.25">
      <c r="B856" s="138"/>
      <c r="C856" s="130"/>
      <c r="D856" s="130"/>
      <c r="E856" s="130"/>
      <c r="F856" s="130"/>
      <c r="G856" s="129"/>
      <c r="H856" s="131"/>
      <c r="I856" s="131"/>
      <c r="J856" s="131"/>
    </row>
    <row r="857" spans="2:10" x14ac:dyDescent="0.25">
      <c r="B857" s="138"/>
      <c r="C857" s="130"/>
      <c r="D857" s="130"/>
      <c r="E857" s="130"/>
      <c r="F857" s="130"/>
      <c r="G857" s="129"/>
      <c r="H857" s="131"/>
      <c r="I857" s="131"/>
      <c r="J857" s="131"/>
    </row>
    <row r="858" spans="2:10" x14ac:dyDescent="0.25">
      <c r="B858" s="138"/>
      <c r="C858" s="130"/>
      <c r="D858" s="130"/>
      <c r="E858" s="130"/>
      <c r="F858" s="130"/>
      <c r="G858" s="129"/>
      <c r="H858" s="131"/>
      <c r="I858" s="131"/>
      <c r="J858" s="131"/>
    </row>
    <row r="859" spans="2:10" x14ac:dyDescent="0.25">
      <c r="B859" s="138"/>
      <c r="C859" s="130"/>
      <c r="D859" s="130"/>
      <c r="E859" s="130"/>
      <c r="F859" s="130"/>
      <c r="G859" s="129"/>
      <c r="H859" s="131"/>
      <c r="I859" s="131"/>
      <c r="J859" s="131"/>
    </row>
    <row r="860" spans="2:10" x14ac:dyDescent="0.25">
      <c r="B860" s="138"/>
      <c r="C860" s="130"/>
      <c r="D860" s="130"/>
      <c r="E860" s="130"/>
      <c r="F860" s="130"/>
      <c r="G860" s="129"/>
      <c r="H860" s="131"/>
      <c r="I860" s="131"/>
      <c r="J860" s="131"/>
    </row>
    <row r="861" spans="2:10" x14ac:dyDescent="0.25">
      <c r="B861" s="138"/>
      <c r="C861" s="130"/>
      <c r="D861" s="130"/>
      <c r="E861" s="130"/>
      <c r="F861" s="130"/>
      <c r="G861" s="129"/>
      <c r="H861" s="131"/>
      <c r="I861" s="131"/>
      <c r="J861" s="131"/>
    </row>
    <row r="862" spans="2:10" x14ac:dyDescent="0.25">
      <c r="B862" s="138"/>
      <c r="C862" s="130"/>
      <c r="D862" s="130"/>
      <c r="E862" s="130"/>
      <c r="F862" s="130"/>
      <c r="G862" s="129"/>
      <c r="H862" s="131"/>
      <c r="I862" s="131"/>
      <c r="J862" s="131"/>
    </row>
    <row r="863" spans="2:10" x14ac:dyDescent="0.25">
      <c r="B863" s="138"/>
      <c r="C863" s="130"/>
      <c r="D863" s="130"/>
      <c r="E863" s="130"/>
      <c r="F863" s="130"/>
      <c r="G863" s="129"/>
      <c r="H863" s="131"/>
      <c r="I863" s="131"/>
      <c r="J863" s="131"/>
    </row>
    <row r="864" spans="2:10" x14ac:dyDescent="0.25">
      <c r="B864" s="138"/>
      <c r="C864" s="130"/>
      <c r="D864" s="130"/>
      <c r="E864" s="130"/>
      <c r="F864" s="130"/>
      <c r="G864" s="129"/>
      <c r="H864" s="131"/>
      <c r="I864" s="131"/>
      <c r="J864" s="131"/>
    </row>
    <row r="865" spans="2:10" x14ac:dyDescent="0.25">
      <c r="B865" s="138"/>
      <c r="C865" s="130"/>
      <c r="D865" s="130"/>
      <c r="E865" s="130"/>
      <c r="F865" s="130"/>
      <c r="G865" s="129"/>
      <c r="H865" s="131"/>
      <c r="I865" s="131"/>
      <c r="J865" s="131"/>
    </row>
    <row r="866" spans="2:10" x14ac:dyDescent="0.25">
      <c r="B866" s="138"/>
      <c r="C866" s="130"/>
      <c r="D866" s="130"/>
      <c r="E866" s="130"/>
      <c r="F866" s="130"/>
      <c r="G866" s="129"/>
      <c r="H866" s="131"/>
      <c r="I866" s="131"/>
      <c r="J866" s="131"/>
    </row>
    <row r="867" spans="2:10" x14ac:dyDescent="0.25">
      <c r="B867" s="138"/>
      <c r="C867" s="130"/>
      <c r="D867" s="130"/>
      <c r="E867" s="130"/>
      <c r="F867" s="130"/>
      <c r="G867" s="129"/>
      <c r="H867" s="131"/>
      <c r="I867" s="131"/>
      <c r="J867" s="131"/>
    </row>
    <row r="868" spans="2:10" x14ac:dyDescent="0.25">
      <c r="B868" s="138"/>
      <c r="C868" s="130"/>
      <c r="D868" s="130"/>
      <c r="E868" s="130"/>
      <c r="F868" s="130"/>
      <c r="G868" s="129"/>
      <c r="H868" s="131"/>
      <c r="I868" s="131"/>
      <c r="J868" s="131"/>
    </row>
    <row r="869" spans="2:10" x14ac:dyDescent="0.25">
      <c r="B869" s="138"/>
      <c r="C869" s="130"/>
      <c r="D869" s="130"/>
      <c r="E869" s="130"/>
      <c r="F869" s="130"/>
      <c r="G869" s="129"/>
      <c r="H869" s="131"/>
      <c r="I869" s="131"/>
      <c r="J869" s="131"/>
    </row>
    <row r="870" spans="2:10" x14ac:dyDescent="0.25">
      <c r="B870" s="138"/>
      <c r="C870" s="130"/>
      <c r="D870" s="130"/>
      <c r="E870" s="130"/>
      <c r="F870" s="130"/>
      <c r="G870" s="129"/>
      <c r="H870" s="131"/>
      <c r="I870" s="131"/>
      <c r="J870" s="131"/>
    </row>
    <row r="871" spans="2:10" x14ac:dyDescent="0.25">
      <c r="B871" s="138"/>
      <c r="C871" s="130"/>
      <c r="D871" s="130"/>
      <c r="E871" s="130"/>
      <c r="F871" s="130"/>
      <c r="G871" s="129"/>
      <c r="H871" s="131"/>
      <c r="I871" s="131"/>
      <c r="J871" s="131"/>
    </row>
    <row r="872" spans="2:10" x14ac:dyDescent="0.25">
      <c r="B872" s="138"/>
      <c r="C872" s="130"/>
      <c r="D872" s="130"/>
      <c r="E872" s="130"/>
      <c r="F872" s="130"/>
      <c r="G872" s="129"/>
      <c r="H872" s="131"/>
      <c r="I872" s="131"/>
      <c r="J872" s="131"/>
    </row>
    <row r="873" spans="2:10" x14ac:dyDescent="0.25">
      <c r="B873" s="138"/>
      <c r="C873" s="130"/>
      <c r="D873" s="130"/>
      <c r="E873" s="130"/>
      <c r="F873" s="130"/>
      <c r="G873" s="129"/>
      <c r="H873" s="131"/>
      <c r="I873" s="131"/>
      <c r="J873" s="131"/>
    </row>
    <row r="874" spans="2:10" x14ac:dyDescent="0.25">
      <c r="B874" s="138"/>
      <c r="C874" s="130"/>
      <c r="D874" s="130"/>
      <c r="E874" s="130"/>
      <c r="F874" s="130"/>
      <c r="G874" s="129"/>
      <c r="H874" s="131"/>
      <c r="I874" s="131"/>
      <c r="J874" s="131"/>
    </row>
    <row r="875" spans="2:10" x14ac:dyDescent="0.25">
      <c r="B875" s="138"/>
      <c r="C875" s="130"/>
      <c r="D875" s="130"/>
      <c r="E875" s="130"/>
      <c r="F875" s="130"/>
      <c r="G875" s="129"/>
      <c r="H875" s="131"/>
      <c r="I875" s="131"/>
      <c r="J875" s="131"/>
    </row>
    <row r="876" spans="2:10" x14ac:dyDescent="0.25">
      <c r="B876" s="138"/>
      <c r="C876" s="130"/>
      <c r="D876" s="130"/>
      <c r="E876" s="130"/>
      <c r="F876" s="130"/>
      <c r="G876" s="129"/>
      <c r="H876" s="131"/>
      <c r="I876" s="131"/>
      <c r="J876" s="131"/>
    </row>
    <row r="877" spans="2:10" x14ac:dyDescent="0.25">
      <c r="B877" s="138"/>
      <c r="C877" s="130"/>
      <c r="D877" s="130"/>
      <c r="E877" s="130"/>
      <c r="F877" s="130"/>
      <c r="G877" s="129"/>
      <c r="H877" s="131"/>
      <c r="I877" s="131"/>
      <c r="J877" s="131"/>
    </row>
    <row r="878" spans="2:10" x14ac:dyDescent="0.25">
      <c r="B878" s="138"/>
      <c r="C878" s="130"/>
      <c r="D878" s="130"/>
      <c r="E878" s="130"/>
      <c r="F878" s="130"/>
      <c r="G878" s="129"/>
      <c r="H878" s="131"/>
      <c r="I878" s="131"/>
      <c r="J878" s="131"/>
    </row>
    <row r="879" spans="2:10" x14ac:dyDescent="0.25">
      <c r="B879" s="138"/>
      <c r="C879" s="130"/>
      <c r="D879" s="130"/>
      <c r="E879" s="130"/>
      <c r="F879" s="130"/>
      <c r="G879" s="129"/>
      <c r="H879" s="131"/>
      <c r="I879" s="131"/>
      <c r="J879" s="131"/>
    </row>
    <row r="880" spans="2:10" x14ac:dyDescent="0.25">
      <c r="B880" s="138"/>
      <c r="C880" s="130"/>
      <c r="D880" s="130"/>
      <c r="E880" s="130"/>
      <c r="F880" s="130"/>
      <c r="G880" s="129"/>
      <c r="H880" s="131"/>
      <c r="I880" s="131"/>
      <c r="J880" s="131"/>
    </row>
    <row r="881" spans="2:10" x14ac:dyDescent="0.25">
      <c r="B881" s="138"/>
      <c r="C881" s="130"/>
      <c r="D881" s="130"/>
      <c r="E881" s="130"/>
      <c r="F881" s="130"/>
      <c r="G881" s="129"/>
      <c r="H881" s="131"/>
      <c r="I881" s="131"/>
      <c r="J881" s="131"/>
    </row>
    <row r="882" spans="2:10" x14ac:dyDescent="0.25">
      <c r="B882" s="138"/>
      <c r="C882" s="130"/>
      <c r="D882" s="130"/>
      <c r="E882" s="130"/>
      <c r="F882" s="130"/>
      <c r="G882" s="129"/>
      <c r="H882" s="131"/>
      <c r="I882" s="131"/>
      <c r="J882" s="131"/>
    </row>
    <row r="883" spans="2:10" x14ac:dyDescent="0.25">
      <c r="B883" s="138"/>
      <c r="C883" s="130"/>
      <c r="D883" s="130"/>
      <c r="E883" s="130"/>
      <c r="F883" s="130"/>
      <c r="G883" s="129"/>
      <c r="H883" s="131"/>
      <c r="I883" s="131"/>
      <c r="J883" s="131"/>
    </row>
    <row r="884" spans="2:10" x14ac:dyDescent="0.25">
      <c r="B884" s="138"/>
      <c r="C884" s="130"/>
      <c r="D884" s="130"/>
      <c r="E884" s="130"/>
      <c r="F884" s="130"/>
      <c r="G884" s="129"/>
      <c r="H884" s="131"/>
      <c r="I884" s="131"/>
      <c r="J884" s="131"/>
    </row>
    <row r="885" spans="2:10" x14ac:dyDescent="0.25">
      <c r="B885" s="138"/>
      <c r="C885" s="130"/>
      <c r="D885" s="130"/>
      <c r="E885" s="130"/>
      <c r="F885" s="130"/>
      <c r="G885" s="129"/>
      <c r="H885" s="131"/>
      <c r="I885" s="131"/>
      <c r="J885" s="131"/>
    </row>
    <row r="886" spans="2:10" x14ac:dyDescent="0.25">
      <c r="B886" s="138"/>
      <c r="C886" s="130"/>
      <c r="D886" s="130"/>
      <c r="E886" s="130"/>
      <c r="F886" s="130"/>
      <c r="G886" s="129"/>
      <c r="H886" s="131"/>
      <c r="I886" s="131"/>
      <c r="J886" s="131"/>
    </row>
    <row r="887" spans="2:10" x14ac:dyDescent="0.25">
      <c r="B887" s="138"/>
      <c r="C887" s="130"/>
      <c r="D887" s="130"/>
      <c r="E887" s="130"/>
      <c r="F887" s="130"/>
      <c r="G887" s="129"/>
      <c r="H887" s="131"/>
      <c r="I887" s="131"/>
      <c r="J887" s="131"/>
    </row>
    <row r="888" spans="2:10" x14ac:dyDescent="0.25">
      <c r="B888" s="138"/>
      <c r="C888" s="130"/>
      <c r="D888" s="130"/>
      <c r="E888" s="130"/>
      <c r="F888" s="130"/>
      <c r="G888" s="129"/>
      <c r="H888" s="131"/>
      <c r="I888" s="131"/>
      <c r="J888" s="131"/>
    </row>
    <row r="889" spans="2:10" x14ac:dyDescent="0.25">
      <c r="B889" s="138"/>
      <c r="C889" s="130"/>
      <c r="D889" s="130"/>
      <c r="E889" s="130"/>
      <c r="F889" s="130"/>
      <c r="G889" s="129"/>
      <c r="H889" s="131"/>
      <c r="I889" s="131"/>
      <c r="J889" s="131"/>
    </row>
    <row r="890" spans="2:10" x14ac:dyDescent="0.25">
      <c r="B890" s="138"/>
      <c r="C890" s="130"/>
      <c r="D890" s="130"/>
      <c r="E890" s="130"/>
      <c r="F890" s="130"/>
      <c r="G890" s="129"/>
      <c r="H890" s="131"/>
      <c r="I890" s="131"/>
      <c r="J890" s="131"/>
    </row>
    <row r="891" spans="2:10" x14ac:dyDescent="0.25">
      <c r="B891" s="138"/>
      <c r="C891" s="130"/>
      <c r="D891" s="130"/>
      <c r="E891" s="130"/>
      <c r="F891" s="130"/>
      <c r="G891" s="129"/>
      <c r="H891" s="131"/>
      <c r="I891" s="131"/>
      <c r="J891" s="131"/>
    </row>
    <row r="892" spans="2:10" x14ac:dyDescent="0.25">
      <c r="B892" s="138"/>
      <c r="C892" s="130"/>
      <c r="D892" s="130"/>
      <c r="E892" s="130"/>
      <c r="F892" s="130"/>
      <c r="G892" s="129"/>
      <c r="H892" s="131"/>
      <c r="I892" s="131"/>
      <c r="J892" s="131"/>
    </row>
    <row r="893" spans="2:10" x14ac:dyDescent="0.25">
      <c r="B893" s="138"/>
      <c r="C893" s="130"/>
      <c r="D893" s="130"/>
      <c r="E893" s="130"/>
      <c r="F893" s="130"/>
      <c r="G893" s="129"/>
      <c r="H893" s="131"/>
      <c r="I893" s="131"/>
      <c r="J893" s="131"/>
    </row>
    <row r="894" spans="2:10" x14ac:dyDescent="0.25">
      <c r="B894" s="138"/>
      <c r="C894" s="130"/>
      <c r="D894" s="130"/>
      <c r="E894" s="130"/>
      <c r="F894" s="130"/>
      <c r="G894" s="129"/>
      <c r="H894" s="131"/>
      <c r="I894" s="131"/>
      <c r="J894" s="131"/>
    </row>
    <row r="895" spans="2:10" x14ac:dyDescent="0.25">
      <c r="B895" s="138"/>
      <c r="C895" s="130"/>
      <c r="D895" s="130"/>
      <c r="E895" s="130"/>
      <c r="F895" s="130"/>
      <c r="G895" s="129"/>
      <c r="H895" s="131"/>
      <c r="I895" s="131"/>
      <c r="J895" s="131"/>
    </row>
    <row r="896" spans="2:10" x14ac:dyDescent="0.25">
      <c r="B896" s="138"/>
      <c r="C896" s="130"/>
      <c r="D896" s="130"/>
      <c r="E896" s="130"/>
      <c r="F896" s="130"/>
      <c r="G896" s="129"/>
      <c r="H896" s="131"/>
      <c r="I896" s="131"/>
      <c r="J896" s="131"/>
    </row>
    <row r="897" spans="2:10" x14ac:dyDescent="0.25">
      <c r="B897" s="138"/>
      <c r="C897" s="130"/>
      <c r="D897" s="130"/>
      <c r="E897" s="130"/>
      <c r="F897" s="130"/>
      <c r="G897" s="129"/>
      <c r="H897" s="131"/>
      <c r="I897" s="131"/>
      <c r="J897" s="131"/>
    </row>
    <row r="898" spans="2:10" x14ac:dyDescent="0.25">
      <c r="B898" s="138"/>
      <c r="C898" s="130"/>
      <c r="D898" s="130"/>
      <c r="E898" s="130"/>
      <c r="F898" s="130"/>
      <c r="G898" s="129"/>
      <c r="H898" s="131"/>
      <c r="I898" s="131"/>
      <c r="J898" s="131"/>
    </row>
    <row r="899" spans="2:10" x14ac:dyDescent="0.25">
      <c r="B899" s="138"/>
      <c r="C899" s="130"/>
      <c r="D899" s="130"/>
      <c r="E899" s="130"/>
      <c r="F899" s="130"/>
      <c r="G899" s="129"/>
      <c r="H899" s="131"/>
      <c r="I899" s="131"/>
      <c r="J899" s="131"/>
    </row>
    <row r="900" spans="2:10" x14ac:dyDescent="0.25">
      <c r="B900" s="138"/>
      <c r="C900" s="130"/>
      <c r="D900" s="130"/>
      <c r="E900" s="130"/>
      <c r="F900" s="130"/>
      <c r="G900" s="129"/>
      <c r="H900" s="131"/>
      <c r="I900" s="131"/>
      <c r="J900" s="131"/>
    </row>
    <row r="901" spans="2:10" x14ac:dyDescent="0.25">
      <c r="B901" s="138"/>
      <c r="C901" s="130"/>
      <c r="D901" s="130"/>
      <c r="E901" s="130"/>
      <c r="F901" s="130"/>
      <c r="G901" s="129"/>
      <c r="H901" s="131"/>
      <c r="I901" s="131"/>
      <c r="J901" s="131"/>
    </row>
    <row r="902" spans="2:10" x14ac:dyDescent="0.25">
      <c r="B902" s="138"/>
      <c r="C902" s="130"/>
      <c r="D902" s="130"/>
      <c r="E902" s="130"/>
      <c r="F902" s="130"/>
      <c r="G902" s="129"/>
      <c r="H902" s="131"/>
      <c r="I902" s="131"/>
      <c r="J902" s="131"/>
    </row>
    <row r="903" spans="2:10" x14ac:dyDescent="0.25">
      <c r="B903" s="138"/>
      <c r="C903" s="130"/>
      <c r="D903" s="130"/>
      <c r="E903" s="130"/>
      <c r="F903" s="130"/>
      <c r="G903" s="129"/>
      <c r="H903" s="131"/>
      <c r="I903" s="131"/>
      <c r="J903" s="131"/>
    </row>
    <row r="904" spans="2:10" x14ac:dyDescent="0.25">
      <c r="B904" s="138"/>
      <c r="C904" s="130"/>
      <c r="D904" s="130"/>
      <c r="E904" s="130"/>
      <c r="F904" s="130"/>
      <c r="G904" s="129"/>
      <c r="H904" s="131"/>
      <c r="I904" s="131"/>
      <c r="J904" s="131"/>
    </row>
    <row r="905" spans="2:10" x14ac:dyDescent="0.25">
      <c r="B905" s="138"/>
      <c r="C905" s="130"/>
      <c r="D905" s="130"/>
      <c r="E905" s="130"/>
      <c r="F905" s="130"/>
      <c r="G905" s="129"/>
      <c r="H905" s="131"/>
      <c r="I905" s="131"/>
      <c r="J905" s="131"/>
    </row>
    <row r="906" spans="2:10" x14ac:dyDescent="0.25">
      <c r="B906" s="138"/>
      <c r="C906" s="130"/>
      <c r="D906" s="130"/>
      <c r="E906" s="130"/>
      <c r="F906" s="130"/>
      <c r="G906" s="129"/>
      <c r="H906" s="131"/>
      <c r="I906" s="131"/>
      <c r="J906" s="131"/>
    </row>
    <row r="907" spans="2:10" x14ac:dyDescent="0.25">
      <c r="B907" s="138"/>
      <c r="C907" s="130"/>
      <c r="D907" s="130"/>
      <c r="E907" s="130"/>
      <c r="F907" s="130"/>
      <c r="G907" s="129"/>
      <c r="H907" s="131"/>
      <c r="I907" s="131"/>
      <c r="J907" s="131"/>
    </row>
    <row r="908" spans="2:10" x14ac:dyDescent="0.25">
      <c r="B908" s="138"/>
      <c r="C908" s="130"/>
      <c r="D908" s="130"/>
      <c r="E908" s="130"/>
      <c r="F908" s="130"/>
      <c r="G908" s="129"/>
      <c r="H908" s="131"/>
      <c r="I908" s="131"/>
      <c r="J908" s="131"/>
    </row>
    <row r="909" spans="2:10" x14ac:dyDescent="0.25">
      <c r="B909" s="138"/>
      <c r="C909" s="130"/>
      <c r="D909" s="130"/>
      <c r="E909" s="130"/>
      <c r="F909" s="130"/>
      <c r="G909" s="129"/>
      <c r="H909" s="131"/>
      <c r="I909" s="131"/>
      <c r="J909" s="131"/>
    </row>
    <row r="910" spans="2:10" x14ac:dyDescent="0.25">
      <c r="B910" s="138"/>
      <c r="C910" s="130"/>
      <c r="D910" s="130"/>
      <c r="E910" s="130"/>
      <c r="F910" s="130"/>
      <c r="G910" s="129"/>
      <c r="H910" s="131"/>
      <c r="I910" s="131"/>
      <c r="J910" s="131"/>
    </row>
    <row r="911" spans="2:10" x14ac:dyDescent="0.25">
      <c r="B911" s="138"/>
      <c r="C911" s="130"/>
      <c r="D911" s="130"/>
      <c r="E911" s="130"/>
      <c r="F911" s="130"/>
      <c r="G911" s="129"/>
      <c r="H911" s="131"/>
      <c r="I911" s="131"/>
      <c r="J911" s="131"/>
    </row>
    <row r="912" spans="2:10" x14ac:dyDescent="0.25">
      <c r="B912" s="138"/>
      <c r="C912" s="130"/>
      <c r="D912" s="130"/>
      <c r="E912" s="130"/>
      <c r="F912" s="130"/>
      <c r="G912" s="129"/>
      <c r="H912" s="131"/>
      <c r="I912" s="131"/>
      <c r="J912" s="131"/>
    </row>
    <row r="913" spans="2:10" x14ac:dyDescent="0.25">
      <c r="B913" s="138"/>
      <c r="C913" s="130"/>
      <c r="D913" s="130"/>
      <c r="E913" s="130"/>
      <c r="F913" s="130"/>
      <c r="G913" s="129"/>
      <c r="H913" s="131"/>
      <c r="I913" s="131"/>
      <c r="J913" s="131"/>
    </row>
    <row r="914" spans="2:10" x14ac:dyDescent="0.25">
      <c r="B914" s="138"/>
      <c r="C914" s="130"/>
      <c r="D914" s="130"/>
      <c r="E914" s="130"/>
      <c r="F914" s="130"/>
      <c r="G914" s="129"/>
      <c r="H914" s="131"/>
      <c r="I914" s="131"/>
      <c r="J914" s="131"/>
    </row>
    <row r="915" spans="2:10" x14ac:dyDescent="0.25">
      <c r="B915" s="138"/>
      <c r="C915" s="130"/>
      <c r="D915" s="130"/>
      <c r="E915" s="130"/>
      <c r="F915" s="130"/>
      <c r="G915" s="129"/>
      <c r="H915" s="131"/>
      <c r="I915" s="131"/>
      <c r="J915" s="131"/>
    </row>
    <row r="916" spans="2:10" x14ac:dyDescent="0.25">
      <c r="B916" s="138"/>
      <c r="C916" s="130"/>
      <c r="D916" s="130"/>
      <c r="E916" s="130"/>
      <c r="F916" s="130"/>
      <c r="G916" s="129"/>
      <c r="H916" s="131"/>
      <c r="I916" s="131"/>
      <c r="J916" s="131"/>
    </row>
    <row r="917" spans="2:10" x14ac:dyDescent="0.25">
      <c r="B917" s="138"/>
      <c r="C917" s="130"/>
      <c r="D917" s="130"/>
      <c r="E917" s="130"/>
      <c r="F917" s="130"/>
      <c r="G917" s="129"/>
      <c r="H917" s="131"/>
      <c r="I917" s="131"/>
      <c r="J917" s="131"/>
    </row>
    <row r="918" spans="2:10" x14ac:dyDescent="0.25">
      <c r="B918" s="138"/>
      <c r="C918" s="130"/>
      <c r="D918" s="130"/>
      <c r="E918" s="130"/>
      <c r="F918" s="130"/>
      <c r="G918" s="129"/>
      <c r="H918" s="131"/>
      <c r="I918" s="131"/>
      <c r="J918" s="131"/>
    </row>
    <row r="919" spans="2:10" x14ac:dyDescent="0.25">
      <c r="B919" s="138"/>
      <c r="C919" s="130"/>
      <c r="D919" s="130"/>
      <c r="E919" s="130"/>
      <c r="F919" s="130"/>
      <c r="G919" s="129"/>
      <c r="H919" s="131"/>
      <c r="I919" s="131"/>
      <c r="J919" s="131"/>
    </row>
    <row r="920" spans="2:10" x14ac:dyDescent="0.25">
      <c r="B920" s="138"/>
      <c r="C920" s="130"/>
      <c r="D920" s="130"/>
      <c r="E920" s="130"/>
      <c r="F920" s="130"/>
      <c r="G920" s="129"/>
      <c r="H920" s="131"/>
      <c r="I920" s="131"/>
      <c r="J920" s="131"/>
    </row>
    <row r="921" spans="2:10" x14ac:dyDescent="0.25">
      <c r="B921" s="138"/>
      <c r="C921" s="130"/>
      <c r="D921" s="130"/>
      <c r="E921" s="130"/>
      <c r="F921" s="130"/>
      <c r="G921" s="129"/>
      <c r="H921" s="131"/>
      <c r="I921" s="131"/>
      <c r="J921" s="131"/>
    </row>
    <row r="922" spans="2:10" x14ac:dyDescent="0.25">
      <c r="B922" s="138"/>
      <c r="C922" s="130"/>
      <c r="D922" s="130"/>
      <c r="E922" s="130"/>
      <c r="F922" s="130"/>
      <c r="G922" s="129"/>
      <c r="H922" s="131"/>
      <c r="I922" s="131"/>
      <c r="J922" s="131"/>
    </row>
    <row r="923" spans="2:10" x14ac:dyDescent="0.25">
      <c r="B923" s="138"/>
      <c r="C923" s="130"/>
      <c r="D923" s="130"/>
      <c r="E923" s="130"/>
      <c r="F923" s="130"/>
      <c r="G923" s="129"/>
      <c r="H923" s="131"/>
      <c r="I923" s="131"/>
      <c r="J923" s="131"/>
    </row>
    <row r="924" spans="2:10" x14ac:dyDescent="0.25">
      <c r="B924" s="138"/>
      <c r="C924" s="130"/>
      <c r="D924" s="130"/>
      <c r="E924" s="130"/>
      <c r="F924" s="130"/>
      <c r="G924" s="129"/>
      <c r="H924" s="131"/>
      <c r="I924" s="131"/>
      <c r="J924" s="131"/>
    </row>
    <row r="925" spans="2:10" x14ac:dyDescent="0.25">
      <c r="B925" s="138"/>
      <c r="C925" s="130"/>
      <c r="D925" s="130"/>
      <c r="E925" s="130"/>
      <c r="F925" s="130"/>
      <c r="G925" s="129"/>
      <c r="H925" s="131"/>
      <c r="I925" s="131"/>
      <c r="J925" s="131"/>
    </row>
    <row r="926" spans="2:10" x14ac:dyDescent="0.25">
      <c r="B926" s="138"/>
      <c r="C926" s="130"/>
      <c r="D926" s="130"/>
      <c r="E926" s="130"/>
      <c r="F926" s="130"/>
      <c r="G926" s="129"/>
      <c r="H926" s="131"/>
      <c r="I926" s="131"/>
      <c r="J926" s="131"/>
    </row>
    <row r="927" spans="2:10" x14ac:dyDescent="0.25">
      <c r="B927" s="138"/>
      <c r="C927" s="130"/>
      <c r="D927" s="130"/>
      <c r="E927" s="130"/>
      <c r="F927" s="130"/>
      <c r="G927" s="129"/>
      <c r="H927" s="131"/>
      <c r="I927" s="131"/>
      <c r="J927" s="131"/>
    </row>
    <row r="928" spans="2:10" x14ac:dyDescent="0.25">
      <c r="B928" s="138"/>
      <c r="C928" s="130"/>
      <c r="D928" s="130"/>
      <c r="E928" s="130"/>
      <c r="F928" s="130"/>
      <c r="G928" s="129"/>
      <c r="H928" s="131"/>
      <c r="I928" s="131"/>
      <c r="J928" s="131"/>
    </row>
    <row r="929" spans="2:10" x14ac:dyDescent="0.25">
      <c r="B929" s="138"/>
      <c r="C929" s="130"/>
      <c r="D929" s="130"/>
      <c r="E929" s="130"/>
      <c r="F929" s="130"/>
      <c r="G929" s="129"/>
      <c r="H929" s="131"/>
      <c r="I929" s="131"/>
      <c r="J929" s="131"/>
    </row>
    <row r="930" spans="2:10" x14ac:dyDescent="0.25">
      <c r="B930" s="138"/>
      <c r="C930" s="130"/>
      <c r="D930" s="130"/>
      <c r="E930" s="130"/>
      <c r="F930" s="130"/>
      <c r="G930" s="129"/>
      <c r="H930" s="131"/>
      <c r="I930" s="131"/>
      <c r="J930" s="131"/>
    </row>
    <row r="931" spans="2:10" x14ac:dyDescent="0.25">
      <c r="B931" s="138"/>
      <c r="C931" s="130"/>
      <c r="D931" s="130"/>
      <c r="E931" s="130"/>
      <c r="F931" s="130"/>
      <c r="G931" s="129"/>
      <c r="H931" s="131"/>
      <c r="I931" s="131"/>
      <c r="J931" s="131"/>
    </row>
    <row r="932" spans="2:10" x14ac:dyDescent="0.25">
      <c r="B932" s="138"/>
      <c r="C932" s="130"/>
      <c r="D932" s="130"/>
      <c r="E932" s="130"/>
      <c r="F932" s="130"/>
      <c r="G932" s="129"/>
      <c r="H932" s="131"/>
      <c r="I932" s="131"/>
      <c r="J932" s="131"/>
    </row>
    <row r="933" spans="2:10" x14ac:dyDescent="0.25">
      <c r="B933" s="138"/>
      <c r="C933" s="130"/>
      <c r="D933" s="130"/>
      <c r="E933" s="130"/>
      <c r="F933" s="130"/>
      <c r="G933" s="129"/>
      <c r="H933" s="131"/>
      <c r="I933" s="131"/>
      <c r="J933" s="131"/>
    </row>
    <row r="934" spans="2:10" x14ac:dyDescent="0.25">
      <c r="B934" s="138"/>
      <c r="C934" s="130"/>
      <c r="D934" s="130"/>
      <c r="E934" s="130"/>
      <c r="F934" s="130"/>
      <c r="G934" s="129"/>
      <c r="H934" s="131"/>
      <c r="I934" s="131"/>
      <c r="J934" s="131"/>
    </row>
    <row r="935" spans="2:10" x14ac:dyDescent="0.25">
      <c r="B935" s="138"/>
      <c r="C935" s="130"/>
      <c r="D935" s="130"/>
      <c r="E935" s="130"/>
      <c r="F935" s="130"/>
      <c r="G935" s="129"/>
      <c r="H935" s="131"/>
      <c r="I935" s="131"/>
      <c r="J935" s="131"/>
    </row>
    <row r="936" spans="2:10" x14ac:dyDescent="0.25">
      <c r="B936" s="138"/>
      <c r="C936" s="130"/>
      <c r="D936" s="130"/>
      <c r="E936" s="130"/>
      <c r="F936" s="130"/>
      <c r="G936" s="129"/>
      <c r="H936" s="131"/>
      <c r="I936" s="131"/>
      <c r="J936" s="131"/>
    </row>
    <row r="937" spans="2:10" x14ac:dyDescent="0.25">
      <c r="B937" s="138"/>
      <c r="C937" s="130"/>
      <c r="D937" s="130"/>
      <c r="E937" s="130"/>
      <c r="F937" s="130"/>
      <c r="G937" s="129"/>
      <c r="H937" s="131"/>
      <c r="I937" s="131"/>
      <c r="J937" s="131"/>
    </row>
    <row r="938" spans="2:10" x14ac:dyDescent="0.25">
      <c r="B938" s="138"/>
      <c r="C938" s="130"/>
      <c r="D938" s="130"/>
      <c r="E938" s="130"/>
      <c r="F938" s="130"/>
      <c r="G938" s="129"/>
      <c r="H938" s="131"/>
      <c r="I938" s="131"/>
      <c r="J938" s="131"/>
    </row>
    <row r="939" spans="2:10" x14ac:dyDescent="0.25">
      <c r="B939" s="138"/>
      <c r="C939" s="130"/>
      <c r="D939" s="130"/>
      <c r="E939" s="130"/>
      <c r="F939" s="130"/>
      <c r="G939" s="129"/>
      <c r="H939" s="131"/>
      <c r="I939" s="131"/>
      <c r="J939" s="131"/>
    </row>
    <row r="940" spans="2:10" x14ac:dyDescent="0.25">
      <c r="B940" s="138"/>
      <c r="C940" s="130"/>
      <c r="D940" s="130"/>
      <c r="E940" s="130"/>
      <c r="F940" s="130"/>
      <c r="G940" s="129"/>
      <c r="H940" s="131"/>
      <c r="I940" s="131"/>
      <c r="J940" s="131"/>
    </row>
    <row r="941" spans="2:10" x14ac:dyDescent="0.25">
      <c r="B941" s="138"/>
      <c r="C941" s="130"/>
      <c r="D941" s="130"/>
      <c r="E941" s="130"/>
      <c r="F941" s="130"/>
      <c r="G941" s="129"/>
      <c r="H941" s="131"/>
      <c r="I941" s="131"/>
      <c r="J941" s="131"/>
    </row>
    <row r="942" spans="2:10" x14ac:dyDescent="0.25">
      <c r="B942" s="138"/>
      <c r="C942" s="130"/>
      <c r="D942" s="130"/>
      <c r="E942" s="130"/>
      <c r="F942" s="130"/>
      <c r="G942" s="129"/>
      <c r="H942" s="131"/>
      <c r="I942" s="131"/>
      <c r="J942" s="131"/>
    </row>
    <row r="943" spans="2:10" x14ac:dyDescent="0.25">
      <c r="B943" s="138"/>
      <c r="C943" s="130"/>
      <c r="D943" s="130"/>
      <c r="E943" s="130"/>
      <c r="F943" s="130"/>
      <c r="G943" s="129"/>
      <c r="H943" s="131"/>
      <c r="I943" s="131"/>
      <c r="J943" s="131"/>
    </row>
    <row r="944" spans="2:10" x14ac:dyDescent="0.25">
      <c r="B944" s="138"/>
      <c r="C944" s="130"/>
      <c r="D944" s="130"/>
      <c r="E944" s="130"/>
      <c r="F944" s="130"/>
      <c r="G944" s="129"/>
      <c r="H944" s="131"/>
      <c r="I944" s="131"/>
      <c r="J944" s="131"/>
    </row>
    <row r="945" spans="2:10" x14ac:dyDescent="0.25">
      <c r="B945" s="138"/>
      <c r="C945" s="130"/>
      <c r="D945" s="130"/>
      <c r="E945" s="130"/>
      <c r="F945" s="130"/>
      <c r="G945" s="129"/>
      <c r="H945" s="131"/>
      <c r="I945" s="131"/>
      <c r="J945" s="131"/>
    </row>
    <row r="946" spans="2:10" x14ac:dyDescent="0.25">
      <c r="B946" s="138"/>
      <c r="C946" s="130"/>
      <c r="D946" s="130"/>
      <c r="E946" s="130"/>
      <c r="F946" s="130"/>
      <c r="G946" s="129"/>
      <c r="H946" s="131"/>
      <c r="I946" s="131"/>
      <c r="J946" s="131"/>
    </row>
    <row r="947" spans="2:10" x14ac:dyDescent="0.25">
      <c r="B947" s="138"/>
      <c r="C947" s="130"/>
      <c r="D947" s="130"/>
      <c r="E947" s="130"/>
      <c r="F947" s="130"/>
      <c r="G947" s="129"/>
      <c r="H947" s="131"/>
      <c r="I947" s="131"/>
      <c r="J947" s="131"/>
    </row>
    <row r="948" spans="2:10" x14ac:dyDescent="0.25">
      <c r="B948" s="138"/>
      <c r="C948" s="130"/>
      <c r="D948" s="130"/>
      <c r="E948" s="130"/>
      <c r="F948" s="130"/>
      <c r="G948" s="129"/>
      <c r="H948" s="131"/>
      <c r="I948" s="131"/>
      <c r="J948" s="131"/>
    </row>
    <row r="949" spans="2:10" x14ac:dyDescent="0.25">
      <c r="B949" s="138"/>
      <c r="C949" s="130"/>
      <c r="D949" s="130"/>
      <c r="E949" s="130"/>
      <c r="F949" s="130"/>
      <c r="G949" s="129"/>
      <c r="H949" s="131"/>
      <c r="I949" s="131"/>
      <c r="J949" s="131"/>
    </row>
    <row r="950" spans="2:10" x14ac:dyDescent="0.25">
      <c r="B950" s="138"/>
      <c r="C950" s="130"/>
      <c r="D950" s="130"/>
      <c r="E950" s="130"/>
      <c r="F950" s="130"/>
      <c r="G950" s="129"/>
      <c r="H950" s="131"/>
      <c r="I950" s="131"/>
      <c r="J950" s="131"/>
    </row>
    <row r="951" spans="2:10" x14ac:dyDescent="0.25">
      <c r="B951" s="138"/>
      <c r="C951" s="130"/>
      <c r="D951" s="130"/>
      <c r="E951" s="130"/>
      <c r="F951" s="130"/>
      <c r="G951" s="129"/>
      <c r="H951" s="131"/>
      <c r="I951" s="131"/>
      <c r="J951" s="131"/>
    </row>
    <row r="952" spans="2:10" x14ac:dyDescent="0.25">
      <c r="B952" s="138"/>
      <c r="C952" s="130"/>
      <c r="D952" s="130"/>
      <c r="E952" s="130"/>
      <c r="F952" s="130"/>
      <c r="G952" s="129"/>
      <c r="H952" s="131"/>
      <c r="I952" s="131"/>
      <c r="J952" s="131"/>
    </row>
    <row r="953" spans="2:10" x14ac:dyDescent="0.25">
      <c r="B953" s="138"/>
      <c r="C953" s="130"/>
      <c r="D953" s="130"/>
      <c r="E953" s="130"/>
      <c r="F953" s="130"/>
      <c r="G953" s="129"/>
      <c r="H953" s="131"/>
      <c r="I953" s="131"/>
      <c r="J953" s="131"/>
    </row>
    <row r="954" spans="2:10" x14ac:dyDescent="0.25">
      <c r="B954" s="138"/>
      <c r="C954" s="130"/>
      <c r="D954" s="130"/>
      <c r="E954" s="130"/>
      <c r="F954" s="130"/>
      <c r="G954" s="129"/>
      <c r="H954" s="131"/>
      <c r="I954" s="131"/>
      <c r="J954" s="131"/>
    </row>
    <row r="955" spans="2:10" x14ac:dyDescent="0.25">
      <c r="B955" s="138"/>
      <c r="C955" s="130"/>
      <c r="D955" s="130"/>
      <c r="E955" s="130"/>
      <c r="F955" s="130"/>
      <c r="G955" s="129"/>
      <c r="H955" s="131"/>
      <c r="I955" s="131"/>
      <c r="J955" s="131"/>
    </row>
    <row r="956" spans="2:10" x14ac:dyDescent="0.25">
      <c r="B956" s="138"/>
      <c r="C956" s="130"/>
      <c r="D956" s="130"/>
      <c r="E956" s="130"/>
      <c r="F956" s="130"/>
      <c r="G956" s="129"/>
      <c r="H956" s="131"/>
      <c r="I956" s="131"/>
      <c r="J956" s="131"/>
    </row>
    <row r="957" spans="2:10" x14ac:dyDescent="0.25">
      <c r="B957" s="138"/>
      <c r="C957" s="130"/>
      <c r="D957" s="130"/>
      <c r="E957" s="130"/>
      <c r="F957" s="130"/>
      <c r="G957" s="129"/>
      <c r="H957" s="131"/>
      <c r="I957" s="131"/>
      <c r="J957" s="131"/>
    </row>
    <row r="958" spans="2:10" x14ac:dyDescent="0.25">
      <c r="B958" s="138"/>
      <c r="C958" s="130"/>
      <c r="D958" s="130"/>
      <c r="E958" s="130"/>
      <c r="F958" s="130"/>
      <c r="G958" s="129"/>
      <c r="H958" s="131"/>
      <c r="I958" s="131"/>
      <c r="J958" s="131"/>
    </row>
    <row r="959" spans="2:10" x14ac:dyDescent="0.25">
      <c r="B959" s="138"/>
      <c r="C959" s="130"/>
      <c r="D959" s="130"/>
      <c r="E959" s="130"/>
      <c r="F959" s="130"/>
      <c r="G959" s="129"/>
      <c r="H959" s="131"/>
      <c r="I959" s="131"/>
      <c r="J959" s="131"/>
    </row>
    <row r="960" spans="2:10" x14ac:dyDescent="0.25">
      <c r="B960" s="138"/>
      <c r="C960" s="130"/>
      <c r="D960" s="130"/>
      <c r="E960" s="130"/>
      <c r="F960" s="130"/>
      <c r="G960" s="129"/>
      <c r="H960" s="131"/>
      <c r="I960" s="131"/>
      <c r="J960" s="131"/>
    </row>
    <row r="961" spans="2:10" x14ac:dyDescent="0.25">
      <c r="B961" s="138"/>
      <c r="C961" s="130"/>
      <c r="D961" s="130"/>
      <c r="E961" s="130"/>
      <c r="F961" s="130"/>
      <c r="G961" s="129"/>
      <c r="H961" s="131"/>
      <c r="I961" s="131"/>
      <c r="J961" s="131"/>
    </row>
    <row r="962" spans="2:10" x14ac:dyDescent="0.25">
      <c r="B962" s="138"/>
      <c r="C962" s="130"/>
      <c r="D962" s="130"/>
      <c r="E962" s="130"/>
      <c r="F962" s="130"/>
      <c r="G962" s="129"/>
      <c r="H962" s="131"/>
      <c r="I962" s="131"/>
      <c r="J962" s="131"/>
    </row>
    <row r="963" spans="2:10" x14ac:dyDescent="0.25">
      <c r="B963" s="138"/>
      <c r="C963" s="130"/>
      <c r="D963" s="130"/>
      <c r="E963" s="130"/>
      <c r="F963" s="130"/>
      <c r="G963" s="129"/>
      <c r="H963" s="131"/>
      <c r="I963" s="131"/>
      <c r="J963" s="131"/>
    </row>
    <row r="964" spans="2:10" x14ac:dyDescent="0.25">
      <c r="B964" s="138"/>
      <c r="C964" s="130"/>
      <c r="D964" s="130"/>
      <c r="E964" s="130"/>
      <c r="F964" s="130"/>
      <c r="G964" s="129"/>
      <c r="H964" s="131"/>
      <c r="I964" s="131"/>
      <c r="J964" s="131"/>
    </row>
    <row r="965" spans="2:10" x14ac:dyDescent="0.25">
      <c r="B965" s="138"/>
      <c r="C965" s="130"/>
      <c r="D965" s="130"/>
      <c r="E965" s="130"/>
      <c r="F965" s="130"/>
      <c r="G965" s="129"/>
      <c r="H965" s="131"/>
      <c r="I965" s="131"/>
      <c r="J965" s="131"/>
    </row>
    <row r="966" spans="2:10" x14ac:dyDescent="0.25">
      <c r="B966" s="138"/>
      <c r="C966" s="130"/>
      <c r="D966" s="130"/>
      <c r="E966" s="130"/>
      <c r="F966" s="130"/>
      <c r="G966" s="129"/>
      <c r="H966" s="131"/>
      <c r="I966" s="131"/>
      <c r="J966" s="131"/>
    </row>
    <row r="967" spans="2:10" x14ac:dyDescent="0.25">
      <c r="B967" s="138"/>
      <c r="C967" s="130"/>
      <c r="D967" s="130"/>
      <c r="E967" s="130"/>
      <c r="F967" s="130"/>
      <c r="G967" s="129"/>
      <c r="H967" s="131"/>
      <c r="I967" s="131"/>
      <c r="J967" s="131"/>
    </row>
    <row r="968" spans="2:10" x14ac:dyDescent="0.25">
      <c r="B968" s="138"/>
      <c r="C968" s="130"/>
      <c r="D968" s="130"/>
      <c r="E968" s="130"/>
      <c r="F968" s="130"/>
      <c r="G968" s="129"/>
      <c r="H968" s="131"/>
      <c r="I968" s="131"/>
      <c r="J968" s="131"/>
    </row>
    <row r="969" spans="2:10" x14ac:dyDescent="0.25">
      <c r="B969" s="138"/>
      <c r="C969" s="130"/>
      <c r="D969" s="130"/>
      <c r="E969" s="130"/>
      <c r="F969" s="130"/>
      <c r="G969" s="129"/>
      <c r="H969" s="131"/>
      <c r="I969" s="131"/>
      <c r="J969" s="131"/>
    </row>
    <row r="970" spans="2:10" x14ac:dyDescent="0.25">
      <c r="B970" s="138"/>
      <c r="C970" s="130"/>
      <c r="D970" s="130"/>
      <c r="E970" s="130"/>
      <c r="F970" s="130"/>
      <c r="G970" s="129"/>
      <c r="H970" s="131"/>
      <c r="I970" s="131"/>
      <c r="J970" s="131"/>
    </row>
    <row r="971" spans="2:10" x14ac:dyDescent="0.25">
      <c r="B971" s="138"/>
      <c r="C971" s="130"/>
      <c r="D971" s="130"/>
      <c r="E971" s="130"/>
      <c r="F971" s="130"/>
      <c r="G971" s="129"/>
      <c r="H971" s="131"/>
      <c r="I971" s="131"/>
      <c r="J971" s="131"/>
    </row>
    <row r="972" spans="2:10" x14ac:dyDescent="0.25">
      <c r="B972" s="138"/>
      <c r="C972" s="130"/>
      <c r="D972" s="130"/>
      <c r="E972" s="130"/>
      <c r="F972" s="130"/>
      <c r="G972" s="129"/>
      <c r="H972" s="131"/>
      <c r="I972" s="131"/>
      <c r="J972" s="131"/>
    </row>
    <row r="973" spans="2:10" x14ac:dyDescent="0.25">
      <c r="B973" s="138"/>
      <c r="C973" s="130"/>
      <c r="D973" s="130"/>
      <c r="E973" s="130"/>
      <c r="F973" s="130"/>
      <c r="G973" s="129"/>
      <c r="H973" s="131"/>
      <c r="I973" s="131"/>
      <c r="J973" s="131"/>
    </row>
    <row r="974" spans="2:10" x14ac:dyDescent="0.25">
      <c r="B974" s="138"/>
      <c r="C974" s="130"/>
      <c r="D974" s="130"/>
      <c r="E974" s="130"/>
      <c r="F974" s="130"/>
      <c r="G974" s="129"/>
      <c r="H974" s="131"/>
      <c r="I974" s="131"/>
      <c r="J974" s="131"/>
    </row>
    <row r="975" spans="2:10" x14ac:dyDescent="0.25">
      <c r="B975" s="138"/>
      <c r="C975" s="130"/>
      <c r="D975" s="130"/>
      <c r="E975" s="130"/>
      <c r="F975" s="130"/>
      <c r="G975" s="129"/>
      <c r="H975" s="131"/>
      <c r="I975" s="131"/>
      <c r="J975" s="131"/>
    </row>
    <row r="976" spans="2:10" x14ac:dyDescent="0.25">
      <c r="B976" s="138"/>
      <c r="C976" s="130"/>
      <c r="D976" s="130"/>
      <c r="E976" s="130"/>
      <c r="F976" s="130"/>
      <c r="G976" s="129"/>
      <c r="H976" s="131"/>
      <c r="I976" s="131"/>
      <c r="J976" s="131"/>
    </row>
    <row r="977" spans="2:10" x14ac:dyDescent="0.25">
      <c r="B977" s="138"/>
      <c r="C977" s="130"/>
      <c r="D977" s="130"/>
      <c r="E977" s="130"/>
      <c r="F977" s="130"/>
      <c r="G977" s="129"/>
      <c r="H977" s="131"/>
      <c r="I977" s="131"/>
      <c r="J977" s="131"/>
    </row>
    <row r="978" spans="2:10" x14ac:dyDescent="0.25">
      <c r="B978" s="138"/>
      <c r="C978" s="130"/>
      <c r="D978" s="130"/>
      <c r="E978" s="130"/>
      <c r="F978" s="130"/>
      <c r="G978" s="129"/>
      <c r="H978" s="131"/>
      <c r="I978" s="131"/>
      <c r="J978" s="131"/>
    </row>
    <row r="979" spans="2:10" x14ac:dyDescent="0.25">
      <c r="B979" s="138"/>
      <c r="C979" s="130"/>
      <c r="D979" s="130"/>
      <c r="E979" s="130"/>
      <c r="F979" s="130"/>
      <c r="G979" s="129"/>
      <c r="H979" s="131"/>
      <c r="I979" s="131"/>
      <c r="J979" s="131"/>
    </row>
    <row r="980" spans="2:10" x14ac:dyDescent="0.25">
      <c r="B980" s="138"/>
      <c r="C980" s="130"/>
      <c r="D980" s="130"/>
      <c r="E980" s="130"/>
      <c r="F980" s="130"/>
      <c r="G980" s="129"/>
      <c r="H980" s="131"/>
      <c r="I980" s="131"/>
      <c r="J980" s="131"/>
    </row>
    <row r="981" spans="2:10" x14ac:dyDescent="0.25">
      <c r="B981" s="138"/>
      <c r="C981" s="130"/>
      <c r="D981" s="130"/>
      <c r="E981" s="130"/>
      <c r="F981" s="130"/>
      <c r="G981" s="129"/>
      <c r="H981" s="131"/>
      <c r="I981" s="131"/>
      <c r="J981" s="131"/>
    </row>
    <row r="982" spans="2:10" x14ac:dyDescent="0.25">
      <c r="B982" s="138"/>
      <c r="C982" s="130"/>
      <c r="D982" s="130"/>
      <c r="E982" s="130"/>
      <c r="F982" s="130"/>
      <c r="G982" s="129"/>
      <c r="H982" s="131"/>
      <c r="I982" s="131"/>
      <c r="J982" s="131"/>
    </row>
    <row r="983" spans="2:10" x14ac:dyDescent="0.25">
      <c r="B983" s="138"/>
      <c r="C983" s="130"/>
      <c r="D983" s="130"/>
      <c r="E983" s="130"/>
      <c r="F983" s="130"/>
      <c r="G983" s="129"/>
      <c r="H983" s="131"/>
      <c r="I983" s="131"/>
      <c r="J983" s="131"/>
    </row>
    <row r="984" spans="2:10" x14ac:dyDescent="0.25">
      <c r="B984" s="138"/>
      <c r="C984" s="130"/>
      <c r="D984" s="130"/>
      <c r="E984" s="130"/>
      <c r="F984" s="130"/>
      <c r="G984" s="129"/>
      <c r="H984" s="131"/>
      <c r="I984" s="131"/>
      <c r="J984" s="131"/>
    </row>
    <row r="985" spans="2:10" x14ac:dyDescent="0.25">
      <c r="B985" s="138"/>
      <c r="C985" s="130"/>
      <c r="D985" s="130"/>
      <c r="E985" s="130"/>
      <c r="F985" s="130"/>
      <c r="G985" s="129"/>
      <c r="H985" s="131"/>
      <c r="I985" s="131"/>
      <c r="J985" s="131"/>
    </row>
    <row r="986" spans="2:10" x14ac:dyDescent="0.25">
      <c r="B986" s="138"/>
      <c r="C986" s="130"/>
      <c r="D986" s="130"/>
      <c r="E986" s="130"/>
      <c r="F986" s="130"/>
      <c r="G986" s="129"/>
      <c r="H986" s="131"/>
      <c r="I986" s="131"/>
      <c r="J986" s="131"/>
    </row>
    <row r="987" spans="2:10" x14ac:dyDescent="0.25">
      <c r="B987" s="138"/>
      <c r="C987" s="130"/>
      <c r="D987" s="130"/>
      <c r="E987" s="130"/>
      <c r="F987" s="130"/>
      <c r="G987" s="129"/>
      <c r="H987" s="131"/>
      <c r="I987" s="131"/>
      <c r="J987" s="131"/>
    </row>
    <row r="988" spans="2:10" x14ac:dyDescent="0.25">
      <c r="B988" s="138"/>
      <c r="C988" s="130"/>
      <c r="D988" s="130"/>
      <c r="E988" s="130"/>
      <c r="F988" s="130"/>
      <c r="G988" s="129"/>
      <c r="H988" s="131"/>
      <c r="I988" s="131"/>
      <c r="J988" s="131"/>
    </row>
    <row r="989" spans="2:10" x14ac:dyDescent="0.25">
      <c r="B989" s="138"/>
      <c r="C989" s="130"/>
      <c r="D989" s="130"/>
      <c r="E989" s="130"/>
      <c r="F989" s="130"/>
      <c r="G989" s="129"/>
      <c r="H989" s="131"/>
      <c r="I989" s="131"/>
      <c r="J989" s="131"/>
    </row>
    <row r="990" spans="2:10" x14ac:dyDescent="0.25">
      <c r="B990" s="138"/>
      <c r="C990" s="130"/>
      <c r="D990" s="130"/>
      <c r="E990" s="130"/>
      <c r="F990" s="130"/>
      <c r="G990" s="129"/>
      <c r="H990" s="131"/>
      <c r="I990" s="131"/>
      <c r="J990" s="131"/>
    </row>
    <row r="991" spans="2:10" x14ac:dyDescent="0.25">
      <c r="B991" s="138"/>
      <c r="C991" s="130"/>
      <c r="D991" s="130"/>
      <c r="E991" s="130"/>
      <c r="F991" s="130"/>
      <c r="G991" s="129"/>
      <c r="H991" s="131"/>
      <c r="I991" s="131"/>
      <c r="J991" s="131"/>
    </row>
    <row r="992" spans="2:10" x14ac:dyDescent="0.25">
      <c r="B992" s="138"/>
      <c r="C992" s="130"/>
      <c r="D992" s="130"/>
      <c r="E992" s="130"/>
      <c r="F992" s="130"/>
      <c r="G992" s="129"/>
      <c r="H992" s="131"/>
      <c r="I992" s="131"/>
      <c r="J992" s="131"/>
    </row>
    <row r="993" spans="2:10" x14ac:dyDescent="0.25">
      <c r="B993" s="138"/>
      <c r="C993" s="130"/>
      <c r="D993" s="130"/>
      <c r="E993" s="130"/>
      <c r="F993" s="130"/>
      <c r="G993" s="129"/>
      <c r="H993" s="131"/>
      <c r="I993" s="131"/>
      <c r="J993" s="131"/>
    </row>
    <row r="994" spans="2:10" x14ac:dyDescent="0.25">
      <c r="B994" s="138"/>
      <c r="C994" s="130"/>
      <c r="D994" s="130"/>
      <c r="E994" s="130"/>
      <c r="F994" s="130"/>
      <c r="G994" s="129"/>
      <c r="H994" s="131"/>
      <c r="I994" s="131"/>
      <c r="J994" s="131"/>
    </row>
    <row r="995" spans="2:10" x14ac:dyDescent="0.25">
      <c r="B995" s="138"/>
      <c r="C995" s="130"/>
      <c r="D995" s="130"/>
      <c r="E995" s="130"/>
      <c r="F995" s="130"/>
      <c r="G995" s="129"/>
      <c r="H995" s="131"/>
      <c r="I995" s="131"/>
      <c r="J995" s="131"/>
    </row>
    <row r="996" spans="2:10" x14ac:dyDescent="0.25">
      <c r="B996" s="138"/>
      <c r="C996" s="130"/>
      <c r="D996" s="130"/>
      <c r="E996" s="130"/>
      <c r="F996" s="130"/>
      <c r="G996" s="129"/>
      <c r="H996" s="131"/>
      <c r="I996" s="131"/>
      <c r="J996" s="131"/>
    </row>
    <row r="997" spans="2:10" x14ac:dyDescent="0.25">
      <c r="B997" s="138"/>
      <c r="C997" s="130"/>
      <c r="D997" s="130"/>
      <c r="E997" s="130"/>
      <c r="F997" s="130"/>
      <c r="G997" s="129"/>
      <c r="H997" s="131"/>
      <c r="I997" s="131"/>
      <c r="J997" s="131"/>
    </row>
    <row r="998" spans="2:10" x14ac:dyDescent="0.25">
      <c r="B998" s="138"/>
      <c r="C998" s="130"/>
      <c r="D998" s="130"/>
      <c r="E998" s="130"/>
      <c r="F998" s="130"/>
      <c r="G998" s="129"/>
      <c r="H998" s="131"/>
      <c r="I998" s="131"/>
      <c r="J998" s="131"/>
    </row>
    <row r="999" spans="2:10" x14ac:dyDescent="0.25">
      <c r="B999" s="138"/>
      <c r="C999" s="130"/>
      <c r="D999" s="130"/>
      <c r="E999" s="130"/>
      <c r="F999" s="130"/>
      <c r="G999" s="129"/>
      <c r="H999" s="131"/>
      <c r="I999" s="131"/>
      <c r="J999" s="131"/>
    </row>
    <row r="1000" spans="2:10" x14ac:dyDescent="0.25">
      <c r="B1000" s="138"/>
      <c r="C1000" s="130"/>
      <c r="D1000" s="130"/>
      <c r="E1000" s="130"/>
      <c r="F1000" s="130"/>
      <c r="G1000" s="129"/>
      <c r="H1000" s="131"/>
      <c r="I1000" s="131"/>
      <c r="J1000" s="131"/>
    </row>
    <row r="1001" spans="2:10" x14ac:dyDescent="0.25">
      <c r="B1001" s="138"/>
      <c r="C1001" s="130"/>
      <c r="D1001" s="130"/>
      <c r="E1001" s="130"/>
      <c r="F1001" s="130"/>
      <c r="G1001" s="129"/>
      <c r="H1001" s="131"/>
      <c r="I1001" s="131"/>
      <c r="J1001" s="131"/>
    </row>
    <row r="1002" spans="2:10" x14ac:dyDescent="0.25">
      <c r="B1002" s="138"/>
      <c r="C1002" s="130"/>
      <c r="D1002" s="130"/>
      <c r="E1002" s="130"/>
      <c r="F1002" s="130"/>
      <c r="G1002" s="129"/>
      <c r="H1002" s="131"/>
      <c r="I1002" s="131"/>
      <c r="J1002" s="131"/>
    </row>
    <row r="1003" spans="2:10" x14ac:dyDescent="0.25">
      <c r="B1003" s="138"/>
      <c r="C1003" s="130"/>
      <c r="D1003" s="130"/>
      <c r="E1003" s="130"/>
      <c r="F1003" s="130"/>
      <c r="G1003" s="129"/>
      <c r="H1003" s="131"/>
      <c r="I1003" s="131"/>
      <c r="J1003" s="131"/>
    </row>
    <row r="1004" spans="2:10" x14ac:dyDescent="0.25">
      <c r="B1004" s="138"/>
      <c r="C1004" s="130"/>
      <c r="D1004" s="130"/>
      <c r="E1004" s="130"/>
      <c r="F1004" s="130"/>
      <c r="G1004" s="129"/>
      <c r="H1004" s="131"/>
      <c r="I1004" s="131"/>
      <c r="J1004" s="131"/>
    </row>
    <row r="1005" spans="2:10" x14ac:dyDescent="0.25">
      <c r="B1005" s="138"/>
      <c r="C1005" s="130"/>
      <c r="D1005" s="130"/>
      <c r="E1005" s="130"/>
      <c r="F1005" s="130"/>
      <c r="G1005" s="129"/>
      <c r="H1005" s="131"/>
      <c r="I1005" s="131"/>
      <c r="J1005" s="131"/>
    </row>
    <row r="1006" spans="2:10" x14ac:dyDescent="0.25">
      <c r="B1006" s="138"/>
      <c r="C1006" s="130"/>
      <c r="D1006" s="130"/>
      <c r="E1006" s="130"/>
      <c r="F1006" s="130"/>
      <c r="G1006" s="129"/>
      <c r="H1006" s="131"/>
      <c r="I1006" s="131"/>
      <c r="J1006" s="131"/>
    </row>
    <row r="1007" spans="2:10" x14ac:dyDescent="0.25">
      <c r="B1007" s="138"/>
      <c r="C1007" s="130"/>
      <c r="D1007" s="130"/>
      <c r="E1007" s="130"/>
      <c r="F1007" s="130"/>
      <c r="G1007" s="129"/>
      <c r="H1007" s="131"/>
      <c r="I1007" s="131"/>
      <c r="J1007" s="131"/>
    </row>
    <row r="1008" spans="2:10" x14ac:dyDescent="0.25">
      <c r="B1008" s="138"/>
      <c r="C1008" s="130"/>
      <c r="D1008" s="130"/>
      <c r="E1008" s="130"/>
      <c r="F1008" s="130"/>
      <c r="G1008" s="129"/>
      <c r="H1008" s="131"/>
      <c r="I1008" s="131"/>
      <c r="J1008" s="131"/>
    </row>
    <row r="1009" spans="2:10" x14ac:dyDescent="0.25">
      <c r="B1009" s="138"/>
      <c r="C1009" s="130"/>
      <c r="D1009" s="130"/>
      <c r="E1009" s="130"/>
      <c r="F1009" s="130"/>
      <c r="G1009" s="129"/>
      <c r="H1009" s="131"/>
      <c r="I1009" s="131"/>
      <c r="J1009" s="131"/>
    </row>
    <row r="1010" spans="2:10" x14ac:dyDescent="0.25">
      <c r="B1010" s="138"/>
      <c r="C1010" s="130"/>
      <c r="D1010" s="130"/>
      <c r="E1010" s="130"/>
      <c r="F1010" s="130"/>
      <c r="G1010" s="129"/>
      <c r="H1010" s="131"/>
      <c r="I1010" s="131"/>
      <c r="J1010" s="131"/>
    </row>
    <row r="1011" spans="2:10" x14ac:dyDescent="0.25">
      <c r="B1011" s="138"/>
      <c r="C1011" s="130"/>
      <c r="D1011" s="130"/>
      <c r="E1011" s="130"/>
      <c r="F1011" s="130"/>
      <c r="G1011" s="129"/>
      <c r="H1011" s="131"/>
      <c r="I1011" s="131"/>
      <c r="J1011" s="131"/>
    </row>
    <row r="1012" spans="2:10" x14ac:dyDescent="0.25">
      <c r="B1012" s="138"/>
      <c r="C1012" s="130"/>
      <c r="D1012" s="130"/>
      <c r="E1012" s="130"/>
      <c r="F1012" s="130"/>
      <c r="G1012" s="129"/>
      <c r="H1012" s="131"/>
      <c r="I1012" s="131"/>
      <c r="J1012" s="131"/>
    </row>
    <row r="1013" spans="2:10" x14ac:dyDescent="0.25">
      <c r="B1013" s="138"/>
      <c r="C1013" s="130"/>
      <c r="D1013" s="130"/>
      <c r="E1013" s="130"/>
      <c r="F1013" s="130"/>
      <c r="G1013" s="129"/>
      <c r="H1013" s="131"/>
      <c r="I1013" s="131"/>
      <c r="J1013" s="131"/>
    </row>
    <row r="1014" spans="2:10" x14ac:dyDescent="0.25">
      <c r="B1014" s="138"/>
      <c r="C1014" s="130"/>
      <c r="D1014" s="130"/>
      <c r="E1014" s="130"/>
      <c r="F1014" s="130"/>
      <c r="G1014" s="129"/>
      <c r="H1014" s="131"/>
      <c r="I1014" s="131"/>
      <c r="J1014" s="131"/>
    </row>
    <row r="1015" spans="2:10" x14ac:dyDescent="0.25">
      <c r="B1015" s="138"/>
      <c r="C1015" s="130"/>
      <c r="D1015" s="130"/>
      <c r="E1015" s="130"/>
      <c r="F1015" s="130"/>
      <c r="G1015" s="129"/>
      <c r="H1015" s="131"/>
      <c r="I1015" s="131"/>
      <c r="J1015" s="131"/>
    </row>
    <row r="1016" spans="2:10" x14ac:dyDescent="0.25">
      <c r="B1016" s="138"/>
      <c r="C1016" s="130"/>
      <c r="D1016" s="130"/>
      <c r="E1016" s="130"/>
      <c r="F1016" s="130"/>
      <c r="G1016" s="129"/>
      <c r="H1016" s="131"/>
      <c r="I1016" s="131"/>
      <c r="J1016" s="131"/>
    </row>
    <row r="1017" spans="2:10" x14ac:dyDescent="0.25">
      <c r="B1017" s="138"/>
      <c r="C1017" s="130"/>
      <c r="D1017" s="130"/>
      <c r="E1017" s="130"/>
      <c r="F1017" s="130"/>
      <c r="G1017" s="129"/>
      <c r="H1017" s="131"/>
      <c r="I1017" s="131"/>
      <c r="J1017" s="131"/>
    </row>
    <row r="1018" spans="2:10" x14ac:dyDescent="0.25">
      <c r="B1018" s="138"/>
      <c r="C1018" s="130"/>
      <c r="D1018" s="130"/>
      <c r="E1018" s="130"/>
      <c r="F1018" s="130"/>
      <c r="G1018" s="129"/>
      <c r="H1018" s="131"/>
      <c r="I1018" s="131"/>
      <c r="J1018" s="131"/>
    </row>
    <row r="1019" spans="2:10" x14ac:dyDescent="0.25">
      <c r="B1019" s="138"/>
      <c r="C1019" s="130"/>
      <c r="D1019" s="130"/>
      <c r="E1019" s="130"/>
      <c r="F1019" s="130"/>
      <c r="G1019" s="129"/>
      <c r="H1019" s="131"/>
      <c r="I1019" s="131"/>
      <c r="J1019" s="131"/>
    </row>
    <row r="1020" spans="2:10" x14ac:dyDescent="0.25">
      <c r="B1020" s="138"/>
      <c r="C1020" s="130"/>
      <c r="D1020" s="130"/>
      <c r="E1020" s="130"/>
      <c r="F1020" s="130"/>
      <c r="G1020" s="129"/>
      <c r="H1020" s="131"/>
      <c r="I1020" s="131"/>
      <c r="J1020" s="131"/>
    </row>
    <row r="1021" spans="2:10" x14ac:dyDescent="0.25">
      <c r="B1021" s="138"/>
      <c r="C1021" s="130"/>
      <c r="D1021" s="130"/>
      <c r="E1021" s="130"/>
      <c r="F1021" s="130"/>
      <c r="G1021" s="129"/>
      <c r="H1021" s="131"/>
      <c r="I1021" s="131"/>
      <c r="J1021" s="131"/>
    </row>
    <row r="1022" spans="2:10" x14ac:dyDescent="0.25">
      <c r="B1022" s="138"/>
      <c r="C1022" s="130"/>
      <c r="D1022" s="130"/>
      <c r="E1022" s="130"/>
      <c r="F1022" s="130"/>
      <c r="G1022" s="129"/>
      <c r="H1022" s="131"/>
      <c r="I1022" s="131"/>
      <c r="J1022" s="131"/>
    </row>
    <row r="1023" spans="2:10" x14ac:dyDescent="0.25">
      <c r="B1023" s="138"/>
      <c r="C1023" s="130"/>
      <c r="D1023" s="130"/>
      <c r="E1023" s="130"/>
      <c r="F1023" s="130"/>
      <c r="G1023" s="129"/>
      <c r="H1023" s="131"/>
      <c r="I1023" s="131"/>
      <c r="J1023" s="131"/>
    </row>
    <row r="1024" spans="2:10" x14ac:dyDescent="0.25">
      <c r="B1024" s="138"/>
      <c r="C1024" s="130"/>
      <c r="D1024" s="130"/>
      <c r="E1024" s="130"/>
      <c r="F1024" s="130"/>
      <c r="G1024" s="129"/>
      <c r="H1024" s="131"/>
      <c r="I1024" s="131"/>
      <c r="J1024" s="131"/>
    </row>
    <row r="1025" spans="2:10" x14ac:dyDescent="0.25">
      <c r="B1025" s="138"/>
      <c r="C1025" s="130"/>
      <c r="D1025" s="130"/>
      <c r="E1025" s="130"/>
      <c r="F1025" s="130"/>
      <c r="G1025" s="129"/>
      <c r="H1025" s="131"/>
      <c r="I1025" s="131"/>
      <c r="J1025" s="131"/>
    </row>
    <row r="1026" spans="2:10" x14ac:dyDescent="0.25">
      <c r="B1026" s="138"/>
      <c r="C1026" s="130"/>
      <c r="D1026" s="130"/>
      <c r="E1026" s="130"/>
      <c r="F1026" s="130"/>
      <c r="G1026" s="129"/>
      <c r="H1026" s="131"/>
      <c r="I1026" s="131"/>
      <c r="J1026" s="131"/>
    </row>
    <row r="1027" spans="2:10" x14ac:dyDescent="0.25">
      <c r="B1027" s="138"/>
      <c r="C1027" s="130"/>
      <c r="D1027" s="130"/>
      <c r="E1027" s="130"/>
      <c r="F1027" s="130"/>
      <c r="G1027" s="129"/>
      <c r="H1027" s="131"/>
      <c r="I1027" s="131"/>
      <c r="J1027" s="131"/>
    </row>
    <row r="1028" spans="2:10" x14ac:dyDescent="0.25">
      <c r="B1028" s="138"/>
      <c r="C1028" s="130"/>
      <c r="D1028" s="130"/>
      <c r="E1028" s="130"/>
      <c r="F1028" s="130"/>
      <c r="G1028" s="129"/>
      <c r="H1028" s="131"/>
      <c r="I1028" s="131"/>
      <c r="J1028" s="131"/>
    </row>
    <row r="1029" spans="2:10" x14ac:dyDescent="0.25">
      <c r="B1029" s="138"/>
      <c r="C1029" s="130"/>
      <c r="D1029" s="130"/>
      <c r="E1029" s="130"/>
      <c r="F1029" s="130"/>
      <c r="G1029" s="129"/>
      <c r="H1029" s="131"/>
      <c r="I1029" s="131"/>
      <c r="J1029" s="131"/>
    </row>
    <row r="1030" spans="2:10" x14ac:dyDescent="0.25">
      <c r="B1030" s="138"/>
      <c r="C1030" s="130"/>
      <c r="D1030" s="130"/>
      <c r="E1030" s="130"/>
      <c r="F1030" s="130"/>
      <c r="G1030" s="129"/>
      <c r="H1030" s="131"/>
      <c r="I1030" s="131"/>
      <c r="J1030" s="131"/>
    </row>
    <row r="1031" spans="2:10" x14ac:dyDescent="0.25">
      <c r="B1031" s="138"/>
      <c r="C1031" s="130"/>
      <c r="D1031" s="130"/>
      <c r="E1031" s="130"/>
      <c r="F1031" s="130"/>
      <c r="G1031" s="129"/>
      <c r="H1031" s="131"/>
      <c r="I1031" s="131"/>
      <c r="J1031" s="131"/>
    </row>
    <row r="1032" spans="2:10" x14ac:dyDescent="0.25">
      <c r="B1032" s="138"/>
      <c r="C1032" s="130"/>
      <c r="D1032" s="130"/>
      <c r="E1032" s="130"/>
      <c r="F1032" s="130"/>
      <c r="G1032" s="129"/>
      <c r="H1032" s="131"/>
      <c r="I1032" s="131"/>
      <c r="J1032" s="131"/>
    </row>
    <row r="1033" spans="2:10" x14ac:dyDescent="0.25">
      <c r="B1033" s="138"/>
      <c r="C1033" s="130"/>
      <c r="D1033" s="130"/>
      <c r="E1033" s="130"/>
      <c r="F1033" s="130"/>
      <c r="G1033" s="129"/>
      <c r="H1033" s="131"/>
      <c r="I1033" s="131"/>
      <c r="J1033" s="131"/>
    </row>
    <row r="1034" spans="2:10" x14ac:dyDescent="0.25">
      <c r="B1034" s="138"/>
      <c r="C1034" s="130"/>
      <c r="D1034" s="130"/>
      <c r="E1034" s="130"/>
      <c r="F1034" s="130"/>
      <c r="G1034" s="129"/>
      <c r="H1034" s="131"/>
      <c r="I1034" s="131"/>
      <c r="J1034" s="131"/>
    </row>
    <row r="1035" spans="2:10" x14ac:dyDescent="0.25">
      <c r="B1035" s="138"/>
      <c r="C1035" s="130"/>
      <c r="D1035" s="130"/>
      <c r="E1035" s="130"/>
      <c r="F1035" s="130"/>
      <c r="G1035" s="129"/>
      <c r="H1035" s="131"/>
      <c r="I1035" s="131"/>
      <c r="J1035" s="131"/>
    </row>
    <row r="1036" spans="2:10" x14ac:dyDescent="0.25">
      <c r="B1036" s="138"/>
      <c r="C1036" s="130"/>
      <c r="D1036" s="130"/>
      <c r="E1036" s="130"/>
      <c r="F1036" s="130"/>
      <c r="G1036" s="129"/>
      <c r="H1036" s="131"/>
      <c r="I1036" s="131"/>
      <c r="J1036" s="131"/>
    </row>
    <row r="1037" spans="2:10" x14ac:dyDescent="0.25">
      <c r="B1037" s="138"/>
      <c r="C1037" s="130"/>
      <c r="D1037" s="130"/>
      <c r="E1037" s="130"/>
      <c r="F1037" s="130"/>
      <c r="G1037" s="129"/>
      <c r="H1037" s="131"/>
      <c r="I1037" s="131"/>
      <c r="J1037" s="131"/>
    </row>
    <row r="1038" spans="2:10" x14ac:dyDescent="0.25">
      <c r="B1038" s="138"/>
      <c r="C1038" s="130"/>
      <c r="D1038" s="130"/>
      <c r="E1038" s="130"/>
      <c r="F1038" s="130"/>
      <c r="G1038" s="129"/>
      <c r="H1038" s="131"/>
      <c r="I1038" s="131"/>
      <c r="J1038" s="131"/>
    </row>
    <row r="1039" spans="2:10" x14ac:dyDescent="0.25">
      <c r="B1039" s="138"/>
      <c r="C1039" s="130"/>
      <c r="D1039" s="130"/>
      <c r="E1039" s="130"/>
      <c r="F1039" s="130"/>
      <c r="G1039" s="129"/>
      <c r="H1039" s="131"/>
      <c r="I1039" s="131"/>
      <c r="J1039" s="131"/>
    </row>
    <row r="1040" spans="2:10" x14ac:dyDescent="0.25">
      <c r="B1040" s="138"/>
      <c r="C1040" s="130"/>
      <c r="D1040" s="130"/>
      <c r="E1040" s="130"/>
      <c r="F1040" s="130"/>
      <c r="G1040" s="129"/>
      <c r="H1040" s="131"/>
      <c r="I1040" s="131"/>
      <c r="J1040" s="131"/>
    </row>
    <row r="1041" spans="2:10" x14ac:dyDescent="0.25">
      <c r="B1041" s="138"/>
      <c r="C1041" s="130"/>
      <c r="D1041" s="130"/>
      <c r="E1041" s="130"/>
      <c r="F1041" s="130"/>
      <c r="G1041" s="129"/>
      <c r="H1041" s="131"/>
      <c r="I1041" s="131"/>
      <c r="J1041" s="131"/>
    </row>
    <row r="1042" spans="2:10" x14ac:dyDescent="0.25">
      <c r="B1042" s="138"/>
      <c r="C1042" s="130"/>
      <c r="D1042" s="130"/>
      <c r="E1042" s="130"/>
      <c r="F1042" s="130"/>
      <c r="G1042" s="129"/>
      <c r="H1042" s="131"/>
      <c r="I1042" s="131"/>
      <c r="J1042" s="131"/>
    </row>
    <row r="1043" spans="2:10" x14ac:dyDescent="0.25">
      <c r="B1043" s="138"/>
      <c r="C1043" s="130"/>
      <c r="D1043" s="130"/>
      <c r="E1043" s="130"/>
      <c r="F1043" s="130"/>
      <c r="G1043" s="129"/>
      <c r="H1043" s="131"/>
      <c r="I1043" s="131"/>
      <c r="J1043" s="131"/>
    </row>
    <row r="1044" spans="2:10" x14ac:dyDescent="0.25">
      <c r="B1044" s="138"/>
      <c r="C1044" s="130"/>
      <c r="D1044" s="130"/>
      <c r="E1044" s="130"/>
      <c r="F1044" s="130"/>
      <c r="G1044" s="129"/>
      <c r="H1044" s="131"/>
      <c r="I1044" s="131"/>
      <c r="J1044" s="131"/>
    </row>
    <row r="1045" spans="2:10" x14ac:dyDescent="0.25">
      <c r="B1045" s="138"/>
      <c r="C1045" s="130"/>
      <c r="D1045" s="130"/>
      <c r="E1045" s="130"/>
      <c r="F1045" s="130"/>
      <c r="G1045" s="129"/>
      <c r="H1045" s="131"/>
      <c r="I1045" s="131"/>
      <c r="J1045" s="131"/>
    </row>
    <row r="1046" spans="2:10" x14ac:dyDescent="0.25">
      <c r="B1046" s="138"/>
      <c r="C1046" s="130"/>
      <c r="D1046" s="130"/>
      <c r="E1046" s="130"/>
      <c r="F1046" s="130"/>
      <c r="G1046" s="129"/>
      <c r="H1046" s="131"/>
      <c r="I1046" s="131"/>
      <c r="J1046" s="131"/>
    </row>
    <row r="1047" spans="2:10" x14ac:dyDescent="0.25">
      <c r="B1047" s="138"/>
      <c r="C1047" s="130"/>
      <c r="D1047" s="130"/>
      <c r="E1047" s="130"/>
      <c r="F1047" s="130"/>
      <c r="G1047" s="129"/>
      <c r="H1047" s="131"/>
      <c r="I1047" s="131"/>
      <c r="J1047" s="131"/>
    </row>
    <row r="1048" spans="2:10" x14ac:dyDescent="0.25">
      <c r="B1048" s="138"/>
      <c r="C1048" s="130"/>
      <c r="D1048" s="130"/>
      <c r="E1048" s="130"/>
      <c r="F1048" s="130"/>
      <c r="G1048" s="129"/>
      <c r="H1048" s="131"/>
      <c r="I1048" s="131"/>
      <c r="J1048" s="131"/>
    </row>
    <row r="1049" spans="2:10" x14ac:dyDescent="0.25">
      <c r="B1049" s="138"/>
      <c r="C1049" s="130"/>
      <c r="D1049" s="130"/>
      <c r="E1049" s="130"/>
      <c r="F1049" s="130"/>
      <c r="G1049" s="129"/>
      <c r="H1049" s="131"/>
      <c r="I1049" s="131"/>
      <c r="J1049" s="131"/>
    </row>
    <row r="1050" spans="2:10" x14ac:dyDescent="0.25">
      <c r="B1050" s="138"/>
      <c r="C1050" s="130"/>
      <c r="D1050" s="130"/>
      <c r="E1050" s="130"/>
      <c r="F1050" s="130"/>
      <c r="G1050" s="129"/>
      <c r="H1050" s="131"/>
      <c r="I1050" s="131"/>
      <c r="J1050" s="131"/>
    </row>
    <row r="1051" spans="2:10" x14ac:dyDescent="0.25">
      <c r="B1051" s="138"/>
      <c r="C1051" s="130"/>
      <c r="D1051" s="130"/>
      <c r="E1051" s="130"/>
      <c r="F1051" s="130"/>
      <c r="G1051" s="129"/>
      <c r="H1051" s="131"/>
      <c r="I1051" s="131"/>
      <c r="J1051" s="131"/>
    </row>
    <row r="1052" spans="2:10" x14ac:dyDescent="0.25">
      <c r="B1052" s="138"/>
      <c r="C1052" s="130"/>
      <c r="D1052" s="130"/>
      <c r="E1052" s="130"/>
      <c r="F1052" s="130"/>
      <c r="G1052" s="129"/>
      <c r="H1052" s="131"/>
      <c r="I1052" s="131"/>
      <c r="J1052" s="131"/>
    </row>
    <row r="1053" spans="2:10" x14ac:dyDescent="0.25">
      <c r="B1053" s="138"/>
      <c r="C1053" s="130"/>
      <c r="D1053" s="130"/>
      <c r="E1053" s="130"/>
      <c r="F1053" s="130"/>
      <c r="G1053" s="129"/>
      <c r="H1053" s="131"/>
      <c r="I1053" s="131"/>
      <c r="J1053" s="131"/>
    </row>
    <row r="1054" spans="2:10" x14ac:dyDescent="0.25">
      <c r="B1054" s="138"/>
      <c r="C1054" s="130"/>
      <c r="D1054" s="130"/>
      <c r="E1054" s="130"/>
      <c r="F1054" s="130"/>
      <c r="G1054" s="129"/>
      <c r="H1054" s="131"/>
      <c r="I1054" s="131"/>
      <c r="J1054" s="131"/>
    </row>
    <row r="1055" spans="2:10" x14ac:dyDescent="0.25">
      <c r="B1055" s="138"/>
      <c r="C1055" s="130"/>
      <c r="D1055" s="130"/>
      <c r="E1055" s="130"/>
      <c r="F1055" s="130"/>
      <c r="G1055" s="129"/>
      <c r="H1055" s="131"/>
      <c r="I1055" s="131"/>
      <c r="J1055" s="131"/>
    </row>
    <row r="1056" spans="2:10" x14ac:dyDescent="0.25">
      <c r="B1056" s="138"/>
      <c r="C1056" s="130"/>
      <c r="D1056" s="130"/>
      <c r="E1056" s="130"/>
      <c r="F1056" s="130"/>
      <c r="G1056" s="129"/>
      <c r="H1056" s="131"/>
      <c r="I1056" s="131"/>
      <c r="J1056" s="131"/>
    </row>
    <row r="1057" spans="2:10" x14ac:dyDescent="0.25">
      <c r="B1057" s="138"/>
      <c r="C1057" s="130"/>
      <c r="D1057" s="130"/>
      <c r="E1057" s="130"/>
      <c r="F1057" s="130"/>
      <c r="G1057" s="129"/>
      <c r="H1057" s="131"/>
      <c r="I1057" s="131"/>
      <c r="J1057" s="131"/>
    </row>
    <row r="1058" spans="2:10" x14ac:dyDescent="0.25">
      <c r="B1058" s="138"/>
      <c r="C1058" s="130"/>
      <c r="D1058" s="130"/>
      <c r="E1058" s="130"/>
      <c r="F1058" s="130"/>
      <c r="G1058" s="129"/>
      <c r="H1058" s="131"/>
      <c r="I1058" s="131"/>
      <c r="J1058" s="131"/>
    </row>
    <row r="1059" spans="2:10" x14ac:dyDescent="0.25">
      <c r="B1059" s="138"/>
      <c r="C1059" s="130"/>
      <c r="D1059" s="130"/>
      <c r="E1059" s="130"/>
      <c r="F1059" s="130"/>
      <c r="G1059" s="129"/>
      <c r="H1059" s="131"/>
      <c r="I1059" s="131"/>
      <c r="J1059" s="131"/>
    </row>
    <row r="1060" spans="2:10" x14ac:dyDescent="0.25">
      <c r="B1060" s="138"/>
      <c r="C1060" s="130"/>
      <c r="D1060" s="130"/>
      <c r="E1060" s="130"/>
      <c r="F1060" s="130"/>
      <c r="G1060" s="129"/>
      <c r="H1060" s="131"/>
      <c r="I1060" s="131"/>
      <c r="J1060" s="131"/>
    </row>
    <row r="1061" spans="2:10" x14ac:dyDescent="0.25">
      <c r="B1061" s="138"/>
      <c r="C1061" s="130"/>
      <c r="D1061" s="130"/>
      <c r="E1061" s="130"/>
      <c r="F1061" s="130"/>
      <c r="G1061" s="129"/>
      <c r="H1061" s="131"/>
      <c r="I1061" s="131"/>
      <c r="J1061" s="131"/>
    </row>
    <row r="1062" spans="2:10" x14ac:dyDescent="0.25">
      <c r="B1062" s="138"/>
      <c r="C1062" s="130"/>
      <c r="D1062" s="130"/>
      <c r="E1062" s="130"/>
      <c r="F1062" s="130"/>
      <c r="G1062" s="129"/>
      <c r="H1062" s="131"/>
      <c r="I1062" s="131"/>
      <c r="J1062" s="131"/>
    </row>
    <row r="1063" spans="2:10" x14ac:dyDescent="0.25">
      <c r="B1063" s="138"/>
      <c r="C1063" s="130"/>
      <c r="D1063" s="130"/>
      <c r="E1063" s="130"/>
      <c r="F1063" s="130"/>
      <c r="G1063" s="129"/>
      <c r="H1063" s="131"/>
      <c r="I1063" s="131"/>
      <c r="J1063" s="131"/>
    </row>
    <row r="1064" spans="2:10" x14ac:dyDescent="0.25">
      <c r="B1064" s="138"/>
      <c r="C1064" s="130"/>
      <c r="D1064" s="130"/>
      <c r="E1064" s="130"/>
      <c r="F1064" s="130"/>
      <c r="G1064" s="129"/>
      <c r="H1064" s="131"/>
      <c r="I1064" s="131"/>
      <c r="J1064" s="131"/>
    </row>
    <row r="1065" spans="2:10" x14ac:dyDescent="0.25">
      <c r="B1065" s="138"/>
      <c r="C1065" s="130"/>
      <c r="D1065" s="130"/>
      <c r="E1065" s="130"/>
      <c r="F1065" s="130"/>
      <c r="G1065" s="129"/>
      <c r="H1065" s="131"/>
      <c r="I1065" s="131"/>
      <c r="J1065" s="131"/>
    </row>
    <row r="1066" spans="2:10" x14ac:dyDescent="0.25">
      <c r="B1066" s="138"/>
      <c r="C1066" s="130"/>
      <c r="D1066" s="130"/>
      <c r="E1066" s="130"/>
      <c r="F1066" s="130"/>
      <c r="G1066" s="129"/>
      <c r="H1066" s="131"/>
      <c r="I1066" s="131"/>
      <c r="J1066" s="131"/>
    </row>
    <row r="1067" spans="2:10" x14ac:dyDescent="0.25">
      <c r="B1067" s="138"/>
      <c r="C1067" s="130"/>
      <c r="D1067" s="130"/>
      <c r="E1067" s="130"/>
      <c r="F1067" s="130"/>
      <c r="G1067" s="129"/>
      <c r="H1067" s="131"/>
      <c r="I1067" s="131"/>
      <c r="J1067" s="131"/>
    </row>
    <row r="1068" spans="2:10" x14ac:dyDescent="0.25">
      <c r="B1068" s="138"/>
      <c r="C1068" s="130"/>
      <c r="D1068" s="130"/>
      <c r="E1068" s="130"/>
      <c r="F1068" s="130"/>
      <c r="G1068" s="129"/>
      <c r="H1068" s="131"/>
      <c r="I1068" s="131"/>
      <c r="J1068" s="131"/>
    </row>
    <row r="1069" spans="2:10" x14ac:dyDescent="0.25">
      <c r="B1069" s="138"/>
      <c r="C1069" s="130"/>
      <c r="D1069" s="130"/>
      <c r="E1069" s="130"/>
      <c r="F1069" s="130"/>
      <c r="G1069" s="129"/>
      <c r="H1069" s="131"/>
      <c r="I1069" s="131"/>
      <c r="J1069" s="131"/>
    </row>
    <row r="1070" spans="2:10" x14ac:dyDescent="0.25">
      <c r="B1070" s="138"/>
      <c r="C1070" s="130"/>
      <c r="D1070" s="130"/>
      <c r="E1070" s="130"/>
      <c r="F1070" s="130"/>
      <c r="G1070" s="129"/>
      <c r="H1070" s="131"/>
      <c r="I1070" s="131"/>
      <c r="J1070" s="131"/>
    </row>
    <row r="1071" spans="2:10" x14ac:dyDescent="0.25">
      <c r="B1071" s="138"/>
      <c r="C1071" s="130"/>
      <c r="D1071" s="130"/>
      <c r="E1071" s="130"/>
      <c r="F1071" s="130"/>
      <c r="G1071" s="129"/>
      <c r="H1071" s="131"/>
      <c r="I1071" s="131"/>
      <c r="J1071" s="131"/>
    </row>
    <row r="1072" spans="2:10" x14ac:dyDescent="0.25">
      <c r="B1072" s="138"/>
      <c r="C1072" s="130"/>
      <c r="D1072" s="130"/>
      <c r="E1072" s="130"/>
      <c r="F1072" s="130"/>
      <c r="G1072" s="129"/>
      <c r="H1072" s="131"/>
      <c r="I1072" s="131"/>
      <c r="J1072" s="131"/>
    </row>
    <row r="1073" spans="2:10" x14ac:dyDescent="0.25">
      <c r="B1073" s="138"/>
      <c r="C1073" s="130"/>
      <c r="D1073" s="130"/>
      <c r="E1073" s="130"/>
      <c r="F1073" s="130"/>
      <c r="G1073" s="129"/>
      <c r="H1073" s="131"/>
      <c r="I1073" s="131"/>
      <c r="J1073" s="131"/>
    </row>
    <row r="1074" spans="2:10" x14ac:dyDescent="0.25">
      <c r="B1074" s="138"/>
      <c r="C1074" s="130"/>
      <c r="D1074" s="130"/>
      <c r="E1074" s="130"/>
      <c r="F1074" s="130"/>
      <c r="G1074" s="129"/>
      <c r="H1074" s="131"/>
      <c r="I1074" s="131"/>
      <c r="J1074" s="131"/>
    </row>
    <row r="1075" spans="2:10" x14ac:dyDescent="0.25">
      <c r="B1075" s="138"/>
      <c r="C1075" s="130"/>
      <c r="D1075" s="130"/>
      <c r="E1075" s="130"/>
      <c r="F1075" s="130"/>
      <c r="G1075" s="129"/>
      <c r="H1075" s="131"/>
      <c r="I1075" s="131"/>
      <c r="J1075" s="131"/>
    </row>
    <row r="1076" spans="2:10" x14ac:dyDescent="0.25">
      <c r="B1076" s="138"/>
      <c r="C1076" s="130"/>
      <c r="D1076" s="130"/>
      <c r="E1076" s="130"/>
      <c r="F1076" s="130"/>
      <c r="G1076" s="129"/>
      <c r="H1076" s="131"/>
      <c r="I1076" s="131"/>
      <c r="J1076" s="131"/>
    </row>
    <row r="1077" spans="2:10" x14ac:dyDescent="0.25">
      <c r="B1077" s="138"/>
      <c r="C1077" s="130"/>
      <c r="D1077" s="130"/>
      <c r="E1077" s="130"/>
      <c r="F1077" s="130"/>
      <c r="G1077" s="129"/>
      <c r="H1077" s="131"/>
      <c r="I1077" s="131"/>
      <c r="J1077" s="131"/>
    </row>
    <row r="1078" spans="2:10" x14ac:dyDescent="0.25">
      <c r="B1078" s="138"/>
      <c r="C1078" s="130"/>
      <c r="D1078" s="130"/>
      <c r="E1078" s="130"/>
      <c r="F1078" s="130"/>
      <c r="G1078" s="129"/>
      <c r="H1078" s="131"/>
      <c r="I1078" s="131"/>
      <c r="J1078" s="131"/>
    </row>
    <row r="1079" spans="2:10" x14ac:dyDescent="0.25">
      <c r="B1079" s="138"/>
      <c r="C1079" s="130"/>
      <c r="D1079" s="130"/>
      <c r="E1079" s="130"/>
      <c r="F1079" s="130"/>
      <c r="G1079" s="129"/>
      <c r="H1079" s="131"/>
      <c r="I1079" s="131"/>
      <c r="J1079" s="131"/>
    </row>
    <row r="1080" spans="2:10" x14ac:dyDescent="0.25">
      <c r="B1080" s="138"/>
      <c r="C1080" s="130"/>
      <c r="D1080" s="130"/>
      <c r="E1080" s="130"/>
      <c r="F1080" s="130"/>
      <c r="G1080" s="129"/>
      <c r="H1080" s="131"/>
      <c r="I1080" s="131"/>
      <c r="J1080" s="131"/>
    </row>
    <row r="1081" spans="2:10" x14ac:dyDescent="0.25">
      <c r="B1081" s="138"/>
      <c r="C1081" s="130"/>
      <c r="D1081" s="130"/>
      <c r="E1081" s="130"/>
      <c r="F1081" s="130"/>
      <c r="G1081" s="129"/>
      <c r="H1081" s="131"/>
      <c r="I1081" s="131"/>
      <c r="J1081" s="131"/>
    </row>
    <row r="1082" spans="2:10" x14ac:dyDescent="0.25">
      <c r="B1082" s="138"/>
      <c r="C1082" s="130"/>
      <c r="D1082" s="130"/>
      <c r="E1082" s="130"/>
      <c r="F1082" s="130"/>
      <c r="G1082" s="129"/>
      <c r="H1082" s="131"/>
      <c r="I1082" s="131"/>
      <c r="J1082" s="131"/>
    </row>
    <row r="1083" spans="2:10" x14ac:dyDescent="0.25">
      <c r="B1083" s="138"/>
      <c r="C1083" s="130"/>
      <c r="D1083" s="130"/>
      <c r="E1083" s="130"/>
      <c r="F1083" s="130"/>
      <c r="G1083" s="129"/>
      <c r="H1083" s="131"/>
      <c r="I1083" s="131"/>
      <c r="J1083" s="131"/>
    </row>
    <row r="1084" spans="2:10" x14ac:dyDescent="0.25">
      <c r="B1084" s="138"/>
      <c r="C1084" s="130"/>
      <c r="D1084" s="130"/>
      <c r="E1084" s="130"/>
      <c r="F1084" s="130"/>
      <c r="G1084" s="129"/>
      <c r="H1084" s="131"/>
      <c r="I1084" s="131"/>
      <c r="J1084" s="131"/>
    </row>
    <row r="1085" spans="2:10" x14ac:dyDescent="0.25">
      <c r="B1085" s="138"/>
      <c r="C1085" s="130"/>
      <c r="D1085" s="130"/>
      <c r="E1085" s="130"/>
      <c r="F1085" s="130"/>
      <c r="G1085" s="129"/>
      <c r="H1085" s="131"/>
      <c r="I1085" s="131"/>
      <c r="J1085" s="131"/>
    </row>
    <row r="1086" spans="2:10" x14ac:dyDescent="0.25">
      <c r="B1086" s="138"/>
      <c r="C1086" s="130"/>
      <c r="D1086" s="130"/>
      <c r="E1086" s="130"/>
      <c r="F1086" s="130"/>
      <c r="G1086" s="129"/>
      <c r="H1086" s="131"/>
      <c r="I1086" s="131"/>
      <c r="J1086" s="131"/>
    </row>
    <row r="1087" spans="2:10" x14ac:dyDescent="0.25">
      <c r="B1087" s="138"/>
      <c r="C1087" s="130"/>
      <c r="D1087" s="130"/>
      <c r="E1087" s="130"/>
      <c r="F1087" s="130"/>
      <c r="G1087" s="129"/>
      <c r="H1087" s="131"/>
      <c r="I1087" s="131"/>
      <c r="J1087" s="131"/>
    </row>
    <row r="1088" spans="2:10" x14ac:dyDescent="0.25">
      <c r="B1088" s="138"/>
      <c r="C1088" s="130"/>
      <c r="D1088" s="130"/>
      <c r="E1088" s="130"/>
      <c r="F1088" s="130"/>
      <c r="G1088" s="129"/>
      <c r="H1088" s="131"/>
      <c r="I1088" s="131"/>
      <c r="J1088" s="131"/>
    </row>
    <row r="1089" spans="2:10" x14ac:dyDescent="0.25">
      <c r="B1089" s="138"/>
      <c r="C1089" s="130"/>
      <c r="D1089" s="130"/>
      <c r="E1089" s="130"/>
      <c r="F1089" s="130"/>
      <c r="G1089" s="129"/>
      <c r="H1089" s="131"/>
      <c r="I1089" s="131"/>
      <c r="J1089" s="131"/>
    </row>
    <row r="1090" spans="2:10" x14ac:dyDescent="0.25">
      <c r="B1090" s="138"/>
      <c r="C1090" s="130"/>
      <c r="D1090" s="130"/>
      <c r="E1090" s="130"/>
      <c r="F1090" s="130"/>
      <c r="G1090" s="129"/>
      <c r="H1090" s="131"/>
      <c r="I1090" s="131"/>
      <c r="J1090" s="131"/>
    </row>
    <row r="1091" spans="2:10" x14ac:dyDescent="0.25">
      <c r="B1091" s="138"/>
      <c r="C1091" s="130"/>
      <c r="D1091" s="130"/>
      <c r="E1091" s="130"/>
      <c r="F1091" s="130"/>
      <c r="G1091" s="129"/>
      <c r="H1091" s="131"/>
      <c r="I1091" s="131"/>
      <c r="J1091" s="131"/>
    </row>
    <row r="1092" spans="2:10" x14ac:dyDescent="0.25">
      <c r="B1092" s="138"/>
      <c r="C1092" s="130"/>
      <c r="D1092" s="130"/>
      <c r="E1092" s="130"/>
      <c r="F1092" s="130"/>
      <c r="G1092" s="129"/>
      <c r="H1092" s="131"/>
      <c r="I1092" s="131"/>
      <c r="J1092" s="131"/>
    </row>
    <row r="1093" spans="2:10" x14ac:dyDescent="0.25">
      <c r="B1093" s="138"/>
      <c r="C1093" s="130"/>
      <c r="D1093" s="130"/>
      <c r="E1093" s="130"/>
      <c r="F1093" s="130"/>
      <c r="G1093" s="129"/>
      <c r="H1093" s="131"/>
      <c r="I1093" s="131"/>
      <c r="J1093" s="131"/>
    </row>
    <row r="1094" spans="2:10" x14ac:dyDescent="0.25">
      <c r="B1094" s="138"/>
      <c r="C1094" s="130"/>
      <c r="D1094" s="130"/>
      <c r="E1094" s="130"/>
      <c r="F1094" s="130"/>
      <c r="G1094" s="129"/>
      <c r="H1094" s="131"/>
      <c r="I1094" s="131"/>
      <c r="J1094" s="131"/>
    </row>
    <row r="1095" spans="2:10" x14ac:dyDescent="0.25">
      <c r="B1095" s="138"/>
      <c r="C1095" s="130"/>
      <c r="D1095" s="130"/>
      <c r="E1095" s="130"/>
      <c r="F1095" s="130"/>
      <c r="G1095" s="129"/>
      <c r="H1095" s="131"/>
      <c r="I1095" s="131"/>
      <c r="J1095" s="131"/>
    </row>
    <row r="1096" spans="2:10" x14ac:dyDescent="0.25">
      <c r="B1096" s="138"/>
      <c r="C1096" s="130"/>
      <c r="D1096" s="130"/>
      <c r="E1096" s="130"/>
      <c r="F1096" s="130"/>
      <c r="G1096" s="129"/>
      <c r="H1096" s="131"/>
      <c r="I1096" s="131"/>
      <c r="J1096" s="131"/>
    </row>
    <row r="1097" spans="2:10" x14ac:dyDescent="0.25">
      <c r="B1097" s="138"/>
      <c r="C1097" s="130"/>
      <c r="D1097" s="130"/>
      <c r="E1097" s="130"/>
      <c r="F1097" s="130"/>
      <c r="G1097" s="129"/>
      <c r="H1097" s="131"/>
      <c r="I1097" s="131"/>
      <c r="J1097" s="131"/>
    </row>
    <row r="1098" spans="2:10" x14ac:dyDescent="0.25">
      <c r="B1098" s="138"/>
      <c r="C1098" s="130"/>
      <c r="D1098" s="130"/>
      <c r="E1098" s="130"/>
      <c r="F1098" s="130"/>
      <c r="G1098" s="129"/>
      <c r="H1098" s="131"/>
      <c r="I1098" s="131"/>
      <c r="J1098" s="131"/>
    </row>
    <row r="1099" spans="2:10" x14ac:dyDescent="0.25">
      <c r="B1099" s="138"/>
      <c r="C1099" s="130"/>
      <c r="D1099" s="130"/>
      <c r="E1099" s="130"/>
      <c r="F1099" s="130"/>
      <c r="G1099" s="129"/>
      <c r="H1099" s="131"/>
      <c r="I1099" s="131"/>
      <c r="J1099" s="131"/>
    </row>
    <row r="1100" spans="2:10" x14ac:dyDescent="0.25">
      <c r="B1100" s="138"/>
      <c r="C1100" s="130"/>
      <c r="D1100" s="130"/>
      <c r="E1100" s="130"/>
      <c r="F1100" s="130"/>
      <c r="G1100" s="129"/>
      <c r="H1100" s="131"/>
      <c r="I1100" s="131"/>
      <c r="J1100" s="131"/>
    </row>
    <row r="1101" spans="2:10" x14ac:dyDescent="0.25">
      <c r="B1101" s="138"/>
      <c r="C1101" s="130"/>
      <c r="D1101" s="130"/>
      <c r="E1101" s="130"/>
      <c r="F1101" s="130"/>
      <c r="G1101" s="129"/>
      <c r="H1101" s="131"/>
      <c r="I1101" s="131"/>
      <c r="J1101" s="131"/>
    </row>
    <row r="1102" spans="2:10" x14ac:dyDescent="0.25">
      <c r="B1102" s="138"/>
      <c r="C1102" s="130"/>
      <c r="D1102" s="130"/>
      <c r="E1102" s="130"/>
      <c r="F1102" s="130"/>
      <c r="G1102" s="129"/>
      <c r="H1102" s="131"/>
      <c r="I1102" s="131"/>
      <c r="J1102" s="131"/>
    </row>
    <row r="1103" spans="2:10" x14ac:dyDescent="0.25">
      <c r="B1103" s="138"/>
      <c r="C1103" s="130"/>
      <c r="D1103" s="130"/>
      <c r="E1103" s="130"/>
      <c r="F1103" s="130"/>
      <c r="G1103" s="129"/>
      <c r="H1103" s="131"/>
      <c r="I1103" s="131"/>
      <c r="J1103" s="131"/>
    </row>
    <row r="1104" spans="2:10" x14ac:dyDescent="0.25">
      <c r="B1104" s="138"/>
      <c r="C1104" s="130"/>
      <c r="D1104" s="130"/>
      <c r="E1104" s="130"/>
      <c r="F1104" s="130"/>
      <c r="G1104" s="129"/>
      <c r="H1104" s="131"/>
      <c r="I1104" s="131"/>
      <c r="J1104" s="131"/>
    </row>
    <row r="1105" spans="2:10" x14ac:dyDescent="0.25">
      <c r="B1105" s="138"/>
      <c r="C1105" s="130"/>
      <c r="D1105" s="130"/>
      <c r="E1105" s="130"/>
      <c r="F1105" s="130"/>
      <c r="G1105" s="129"/>
      <c r="H1105" s="131"/>
      <c r="I1105" s="131"/>
      <c r="J1105" s="131"/>
    </row>
    <row r="1106" spans="2:10" x14ac:dyDescent="0.25">
      <c r="B1106" s="138"/>
      <c r="C1106" s="130"/>
      <c r="D1106" s="130"/>
      <c r="E1106" s="130"/>
      <c r="F1106" s="130"/>
      <c r="G1106" s="129"/>
      <c r="H1106" s="131"/>
      <c r="I1106" s="131"/>
      <c r="J1106" s="131"/>
    </row>
    <row r="1107" spans="2:10" x14ac:dyDescent="0.25">
      <c r="B1107" s="138"/>
      <c r="C1107" s="130"/>
      <c r="D1107" s="130"/>
      <c r="E1107" s="130"/>
      <c r="F1107" s="130"/>
      <c r="G1107" s="129"/>
      <c r="H1107" s="131"/>
      <c r="I1107" s="131"/>
      <c r="J1107" s="131"/>
    </row>
    <row r="1108" spans="2:10" x14ac:dyDescent="0.25">
      <c r="B1108" s="138"/>
      <c r="C1108" s="130"/>
      <c r="D1108" s="130"/>
      <c r="E1108" s="130"/>
      <c r="F1108" s="130"/>
      <c r="G1108" s="129"/>
      <c r="H1108" s="131"/>
      <c r="I1108" s="131"/>
      <c r="J1108" s="131"/>
    </row>
    <row r="1109" spans="2:10" x14ac:dyDescent="0.25">
      <c r="B1109" s="138"/>
      <c r="C1109" s="130"/>
      <c r="D1109" s="130"/>
      <c r="E1109" s="130"/>
      <c r="F1109" s="130"/>
      <c r="G1109" s="129"/>
      <c r="H1109" s="131"/>
      <c r="I1109" s="131"/>
      <c r="J1109" s="131"/>
    </row>
    <row r="1110" spans="2:10" x14ac:dyDescent="0.25">
      <c r="B1110" s="138"/>
      <c r="C1110" s="130"/>
      <c r="D1110" s="130"/>
      <c r="E1110" s="130"/>
      <c r="F1110" s="130"/>
      <c r="G1110" s="129"/>
      <c r="H1110" s="131"/>
      <c r="I1110" s="131"/>
      <c r="J1110" s="131"/>
    </row>
    <row r="1111" spans="2:10" x14ac:dyDescent="0.25">
      <c r="B1111" s="138"/>
      <c r="C1111" s="130"/>
      <c r="D1111" s="130"/>
      <c r="E1111" s="130"/>
      <c r="F1111" s="130"/>
      <c r="G1111" s="129"/>
      <c r="H1111" s="131"/>
      <c r="I1111" s="131"/>
      <c r="J1111" s="131"/>
    </row>
    <row r="1112" spans="2:10" x14ac:dyDescent="0.25">
      <c r="B1112" s="138"/>
      <c r="C1112" s="130"/>
      <c r="D1112" s="130"/>
      <c r="E1112" s="130"/>
      <c r="F1112" s="130"/>
      <c r="G1112" s="129"/>
      <c r="H1112" s="131"/>
      <c r="I1112" s="131"/>
      <c r="J1112" s="131"/>
    </row>
    <row r="1113" spans="2:10" x14ac:dyDescent="0.25">
      <c r="B1113" s="138"/>
      <c r="C1113" s="130"/>
      <c r="D1113" s="130"/>
      <c r="E1113" s="130"/>
      <c r="F1113" s="130"/>
      <c r="G1113" s="129"/>
      <c r="H1113" s="131"/>
      <c r="I1113" s="131"/>
      <c r="J1113" s="131"/>
    </row>
    <row r="1114" spans="2:10" x14ac:dyDescent="0.25">
      <c r="B1114" s="138"/>
      <c r="C1114" s="130"/>
      <c r="D1114" s="130"/>
      <c r="E1114" s="130"/>
      <c r="F1114" s="130"/>
      <c r="G1114" s="129"/>
      <c r="H1114" s="131"/>
      <c r="I1114" s="131"/>
      <c r="J1114" s="131"/>
    </row>
    <row r="1115" spans="2:10" x14ac:dyDescent="0.25">
      <c r="B1115" s="138"/>
      <c r="C1115" s="130"/>
      <c r="D1115" s="130"/>
      <c r="E1115" s="130"/>
      <c r="F1115" s="130"/>
      <c r="G1115" s="129"/>
      <c r="H1115" s="131"/>
      <c r="I1115" s="131"/>
      <c r="J1115" s="131"/>
    </row>
    <row r="1116" spans="2:10" x14ac:dyDescent="0.25">
      <c r="B1116" s="138"/>
      <c r="C1116" s="130"/>
      <c r="D1116" s="130"/>
      <c r="E1116" s="130"/>
      <c r="F1116" s="130"/>
      <c r="G1116" s="129"/>
      <c r="H1116" s="131"/>
      <c r="I1116" s="131"/>
      <c r="J1116" s="131"/>
    </row>
    <row r="1117" spans="2:10" x14ac:dyDescent="0.25">
      <c r="B1117" s="138"/>
      <c r="C1117" s="130"/>
      <c r="D1117" s="130"/>
      <c r="E1117" s="130"/>
      <c r="F1117" s="130"/>
      <c r="G1117" s="129"/>
      <c r="H1117" s="131"/>
      <c r="I1117" s="131"/>
      <c r="J1117" s="131"/>
    </row>
    <row r="1118" spans="2:10" x14ac:dyDescent="0.25">
      <c r="B1118" s="138"/>
      <c r="C1118" s="130"/>
      <c r="D1118" s="130"/>
      <c r="E1118" s="130"/>
      <c r="F1118" s="130"/>
      <c r="G1118" s="129"/>
      <c r="H1118" s="131"/>
      <c r="I1118" s="131"/>
      <c r="J1118" s="131"/>
    </row>
    <row r="1119" spans="2:10" x14ac:dyDescent="0.25">
      <c r="B1119" s="138"/>
      <c r="C1119" s="130"/>
      <c r="D1119" s="130"/>
      <c r="E1119" s="130"/>
      <c r="F1119" s="130"/>
      <c r="G1119" s="129"/>
      <c r="H1119" s="131"/>
      <c r="I1119" s="131"/>
      <c r="J1119" s="131"/>
    </row>
    <row r="1120" spans="2:10" x14ac:dyDescent="0.25">
      <c r="B1120" s="138"/>
      <c r="C1120" s="130"/>
      <c r="D1120" s="130"/>
      <c r="E1120" s="130"/>
      <c r="F1120" s="130"/>
      <c r="G1120" s="129"/>
      <c r="H1120" s="131"/>
      <c r="I1120" s="131"/>
      <c r="J1120" s="131"/>
    </row>
    <row r="1121" spans="2:10" x14ac:dyDescent="0.25">
      <c r="B1121" s="138"/>
      <c r="C1121" s="130"/>
      <c r="D1121" s="130"/>
      <c r="E1121" s="130"/>
      <c r="F1121" s="130"/>
      <c r="G1121" s="129"/>
      <c r="H1121" s="131"/>
      <c r="I1121" s="131"/>
      <c r="J1121" s="131"/>
    </row>
    <row r="1122" spans="2:10" x14ac:dyDescent="0.25">
      <c r="B1122" s="138"/>
      <c r="C1122" s="130"/>
      <c r="D1122" s="130"/>
      <c r="E1122" s="130"/>
      <c r="F1122" s="130"/>
      <c r="G1122" s="129"/>
      <c r="H1122" s="131"/>
      <c r="I1122" s="131"/>
      <c r="J1122" s="131"/>
    </row>
    <row r="1123" spans="2:10" x14ac:dyDescent="0.25">
      <c r="B1123" s="138"/>
      <c r="C1123" s="130"/>
      <c r="D1123" s="130"/>
      <c r="E1123" s="130"/>
      <c r="F1123" s="130"/>
      <c r="G1123" s="129"/>
      <c r="H1123" s="131"/>
      <c r="I1123" s="131"/>
      <c r="J1123" s="131"/>
    </row>
    <row r="1124" spans="2:10" x14ac:dyDescent="0.25">
      <c r="B1124" s="138"/>
      <c r="C1124" s="130"/>
      <c r="D1124" s="130"/>
      <c r="E1124" s="130"/>
      <c r="F1124" s="130"/>
      <c r="G1124" s="129"/>
      <c r="H1124" s="131"/>
      <c r="I1124" s="131"/>
      <c r="J1124" s="131"/>
    </row>
    <row r="1125" spans="2:10" x14ac:dyDescent="0.25">
      <c r="B1125" s="138"/>
      <c r="C1125" s="130"/>
      <c r="D1125" s="130"/>
      <c r="E1125" s="130"/>
      <c r="F1125" s="130"/>
      <c r="G1125" s="129"/>
      <c r="H1125" s="131"/>
      <c r="I1125" s="131"/>
      <c r="J1125" s="131"/>
    </row>
    <row r="1126" spans="2:10" x14ac:dyDescent="0.25">
      <c r="B1126" s="138"/>
      <c r="C1126" s="130"/>
      <c r="D1126" s="130"/>
      <c r="E1126" s="130"/>
      <c r="F1126" s="130"/>
      <c r="G1126" s="129"/>
      <c r="H1126" s="131"/>
      <c r="I1126" s="131"/>
      <c r="J1126" s="131"/>
    </row>
    <row r="1127" spans="2:10" x14ac:dyDescent="0.25">
      <c r="B1127" s="138"/>
      <c r="C1127" s="130"/>
      <c r="D1127" s="130"/>
      <c r="E1127" s="130"/>
      <c r="F1127" s="130"/>
      <c r="G1127" s="129"/>
      <c r="H1127" s="131"/>
      <c r="I1127" s="131"/>
      <c r="J1127" s="131"/>
    </row>
    <row r="1128" spans="2:10" x14ac:dyDescent="0.25">
      <c r="B1128" s="138"/>
      <c r="C1128" s="130"/>
      <c r="D1128" s="130"/>
      <c r="E1128" s="130"/>
      <c r="F1128" s="130"/>
      <c r="G1128" s="129"/>
      <c r="H1128" s="131"/>
      <c r="I1128" s="131"/>
      <c r="J1128" s="131"/>
    </row>
    <row r="1129" spans="2:10" x14ac:dyDescent="0.25">
      <c r="B1129" s="138"/>
      <c r="C1129" s="130"/>
      <c r="D1129" s="130"/>
      <c r="E1129" s="130"/>
      <c r="F1129" s="130"/>
      <c r="G1129" s="129"/>
      <c r="H1129" s="131"/>
      <c r="I1129" s="131"/>
      <c r="J1129" s="131"/>
    </row>
    <row r="1130" spans="2:10" x14ac:dyDescent="0.25">
      <c r="B1130" s="138"/>
      <c r="C1130" s="130"/>
      <c r="D1130" s="130"/>
      <c r="E1130" s="130"/>
      <c r="F1130" s="130"/>
      <c r="G1130" s="129"/>
      <c r="H1130" s="131"/>
      <c r="I1130" s="131"/>
      <c r="J1130" s="131"/>
    </row>
    <row r="1131" spans="2:10" x14ac:dyDescent="0.25">
      <c r="B1131" s="138"/>
      <c r="C1131" s="130"/>
      <c r="D1131" s="130"/>
      <c r="E1131" s="130"/>
      <c r="F1131" s="130"/>
      <c r="G1131" s="129"/>
      <c r="H1131" s="131"/>
      <c r="I1131" s="131"/>
      <c r="J1131" s="131"/>
    </row>
    <row r="1132" spans="2:10" x14ac:dyDescent="0.25">
      <c r="B1132" s="138"/>
      <c r="C1132" s="130"/>
      <c r="D1132" s="130"/>
      <c r="E1132" s="130"/>
      <c r="F1132" s="130"/>
      <c r="G1132" s="129"/>
      <c r="H1132" s="131"/>
      <c r="I1132" s="131"/>
      <c r="J1132" s="131"/>
    </row>
    <row r="1133" spans="2:10" x14ac:dyDescent="0.25">
      <c r="B1133" s="138"/>
      <c r="C1133" s="130"/>
      <c r="D1133" s="130"/>
      <c r="E1133" s="130"/>
      <c r="F1133" s="130"/>
      <c r="G1133" s="129"/>
      <c r="H1133" s="131"/>
      <c r="I1133" s="131"/>
      <c r="J1133" s="131"/>
    </row>
    <row r="1134" spans="2:10" x14ac:dyDescent="0.25">
      <c r="B1134" s="138"/>
      <c r="C1134" s="130"/>
      <c r="D1134" s="130"/>
      <c r="E1134" s="130"/>
      <c r="F1134" s="130"/>
      <c r="G1134" s="129"/>
      <c r="H1134" s="131"/>
      <c r="I1134" s="131"/>
      <c r="J1134" s="131"/>
    </row>
    <row r="1135" spans="2:10" x14ac:dyDescent="0.25">
      <c r="B1135" s="138"/>
      <c r="C1135" s="130"/>
      <c r="D1135" s="130"/>
      <c r="E1135" s="130"/>
      <c r="F1135" s="130"/>
      <c r="G1135" s="129"/>
      <c r="H1135" s="131"/>
      <c r="I1135" s="131"/>
      <c r="J1135" s="131"/>
    </row>
    <row r="1136" spans="2:10" x14ac:dyDescent="0.25">
      <c r="B1136" s="138"/>
      <c r="C1136" s="130"/>
      <c r="D1136" s="130"/>
      <c r="E1136" s="130"/>
      <c r="F1136" s="130"/>
      <c r="G1136" s="129"/>
      <c r="H1136" s="131"/>
      <c r="I1136" s="131"/>
      <c r="J1136" s="131"/>
    </row>
    <row r="1137" spans="2:10" x14ac:dyDescent="0.25">
      <c r="B1137" s="138"/>
      <c r="C1137" s="130"/>
      <c r="D1137" s="130"/>
      <c r="E1137" s="130"/>
      <c r="F1137" s="130"/>
      <c r="G1137" s="129"/>
      <c r="H1137" s="131"/>
      <c r="I1137" s="131"/>
      <c r="J1137" s="131"/>
    </row>
    <row r="1138" spans="2:10" x14ac:dyDescent="0.25">
      <c r="B1138" s="138"/>
      <c r="C1138" s="130"/>
      <c r="D1138" s="130"/>
      <c r="E1138" s="130"/>
      <c r="F1138" s="130"/>
      <c r="G1138" s="129"/>
      <c r="H1138" s="131"/>
      <c r="I1138" s="131"/>
      <c r="J1138" s="131"/>
    </row>
    <row r="1139" spans="2:10" x14ac:dyDescent="0.25">
      <c r="B1139" s="138"/>
      <c r="C1139" s="130"/>
      <c r="D1139" s="130"/>
      <c r="E1139" s="130"/>
      <c r="F1139" s="130"/>
      <c r="G1139" s="129"/>
      <c r="H1139" s="131"/>
      <c r="I1139" s="131"/>
      <c r="J1139" s="131"/>
    </row>
    <row r="1140" spans="2:10" x14ac:dyDescent="0.25">
      <c r="B1140" s="138"/>
      <c r="C1140" s="130"/>
      <c r="D1140" s="130"/>
      <c r="E1140" s="130"/>
      <c r="F1140" s="130"/>
      <c r="G1140" s="129"/>
      <c r="H1140" s="131"/>
      <c r="I1140" s="131"/>
      <c r="J1140" s="131"/>
    </row>
    <row r="1141" spans="2:10" x14ac:dyDescent="0.25">
      <c r="B1141" s="138"/>
      <c r="C1141" s="130"/>
      <c r="D1141" s="130"/>
      <c r="E1141" s="130"/>
      <c r="F1141" s="130"/>
      <c r="G1141" s="129"/>
      <c r="H1141" s="131"/>
      <c r="I1141" s="131"/>
      <c r="J1141" s="131"/>
    </row>
    <row r="1142" spans="2:10" x14ac:dyDescent="0.25">
      <c r="B1142" s="138"/>
      <c r="C1142" s="130"/>
      <c r="D1142" s="130"/>
      <c r="E1142" s="130"/>
      <c r="F1142" s="130"/>
      <c r="G1142" s="129"/>
      <c r="H1142" s="131"/>
      <c r="I1142" s="131"/>
      <c r="J1142" s="131"/>
    </row>
    <row r="1143" spans="2:10" x14ac:dyDescent="0.25">
      <c r="B1143" s="138"/>
      <c r="C1143" s="130"/>
      <c r="D1143" s="130"/>
      <c r="E1143" s="130"/>
      <c r="F1143" s="130"/>
      <c r="G1143" s="129"/>
      <c r="H1143" s="131"/>
      <c r="I1143" s="131"/>
      <c r="J1143" s="131"/>
    </row>
    <row r="1144" spans="2:10" x14ac:dyDescent="0.25">
      <c r="B1144" s="138"/>
      <c r="C1144" s="130"/>
      <c r="D1144" s="130"/>
      <c r="E1144" s="130"/>
      <c r="F1144" s="130"/>
      <c r="G1144" s="129"/>
      <c r="H1144" s="131"/>
      <c r="I1144" s="131"/>
      <c r="J1144" s="131"/>
    </row>
    <row r="1145" spans="2:10" x14ac:dyDescent="0.25">
      <c r="B1145" s="138"/>
      <c r="C1145" s="130"/>
      <c r="D1145" s="130"/>
      <c r="E1145" s="130"/>
      <c r="F1145" s="130"/>
      <c r="G1145" s="129"/>
      <c r="H1145" s="131"/>
      <c r="I1145" s="131"/>
      <c r="J1145" s="131"/>
    </row>
    <row r="1146" spans="2:10" x14ac:dyDescent="0.25">
      <c r="B1146" s="138"/>
      <c r="C1146" s="130"/>
      <c r="D1146" s="130"/>
      <c r="E1146" s="130"/>
      <c r="F1146" s="130"/>
      <c r="G1146" s="129"/>
      <c r="H1146" s="131"/>
      <c r="I1146" s="131"/>
      <c r="J1146" s="131"/>
    </row>
    <row r="1147" spans="2:10" x14ac:dyDescent="0.25">
      <c r="B1147" s="138"/>
      <c r="C1147" s="130"/>
      <c r="D1147" s="130"/>
      <c r="E1147" s="130"/>
      <c r="F1147" s="130"/>
      <c r="G1147" s="129"/>
      <c r="H1147" s="131"/>
      <c r="I1147" s="131"/>
      <c r="J1147" s="131"/>
    </row>
    <row r="1148" spans="2:10" x14ac:dyDescent="0.25">
      <c r="B1148" s="138"/>
      <c r="C1148" s="130"/>
      <c r="D1148" s="130"/>
      <c r="E1148" s="130"/>
      <c r="F1148" s="130"/>
      <c r="G1148" s="129"/>
      <c r="H1148" s="131"/>
      <c r="I1148" s="131"/>
      <c r="J1148" s="131"/>
    </row>
    <row r="1149" spans="2:10" x14ac:dyDescent="0.25">
      <c r="B1149" s="138"/>
      <c r="C1149" s="130"/>
      <c r="D1149" s="130"/>
      <c r="E1149" s="130"/>
      <c r="F1149" s="130"/>
      <c r="G1149" s="129"/>
      <c r="H1149" s="131"/>
      <c r="I1149" s="131"/>
      <c r="J1149" s="131"/>
    </row>
    <row r="1150" spans="2:10" x14ac:dyDescent="0.25">
      <c r="B1150" s="138"/>
      <c r="C1150" s="130"/>
      <c r="D1150" s="130"/>
      <c r="E1150" s="130"/>
      <c r="F1150" s="130"/>
      <c r="G1150" s="129"/>
      <c r="H1150" s="131"/>
      <c r="I1150" s="131"/>
      <c r="J1150" s="131"/>
    </row>
    <row r="1151" spans="2:10" x14ac:dyDescent="0.25">
      <c r="B1151" s="138"/>
      <c r="C1151" s="130"/>
      <c r="D1151" s="130"/>
      <c r="E1151" s="130"/>
      <c r="F1151" s="130"/>
      <c r="G1151" s="129"/>
      <c r="H1151" s="131"/>
      <c r="I1151" s="131"/>
      <c r="J1151" s="131"/>
    </row>
    <row r="1152" spans="2:10" x14ac:dyDescent="0.25">
      <c r="B1152" s="138"/>
      <c r="C1152" s="130"/>
      <c r="D1152" s="130"/>
      <c r="E1152" s="130"/>
      <c r="F1152" s="130"/>
      <c r="G1152" s="129"/>
      <c r="H1152" s="131"/>
      <c r="I1152" s="131"/>
      <c r="J1152" s="131"/>
    </row>
    <row r="1153" spans="2:10" x14ac:dyDescent="0.25">
      <c r="B1153" s="138"/>
      <c r="C1153" s="130"/>
      <c r="D1153" s="130"/>
      <c r="E1153" s="130"/>
      <c r="F1153" s="130"/>
      <c r="G1153" s="129"/>
      <c r="H1153" s="131"/>
      <c r="I1153" s="131"/>
      <c r="J1153" s="131"/>
    </row>
    <row r="1154" spans="2:10" x14ac:dyDescent="0.25">
      <c r="B1154" s="138"/>
      <c r="C1154" s="130"/>
      <c r="D1154" s="130"/>
      <c r="E1154" s="130"/>
      <c r="F1154" s="130"/>
      <c r="G1154" s="129"/>
      <c r="H1154" s="131"/>
      <c r="I1154" s="131"/>
      <c r="J1154" s="131"/>
    </row>
    <row r="1155" spans="2:10" x14ac:dyDescent="0.25">
      <c r="B1155" s="138"/>
      <c r="C1155" s="130"/>
      <c r="D1155" s="130"/>
      <c r="E1155" s="130"/>
      <c r="F1155" s="130"/>
      <c r="G1155" s="129"/>
      <c r="H1155" s="131"/>
      <c r="I1155" s="131"/>
      <c r="J1155" s="131"/>
    </row>
    <row r="1156" spans="2:10" x14ac:dyDescent="0.25">
      <c r="B1156" s="138"/>
      <c r="C1156" s="130"/>
      <c r="D1156" s="130"/>
      <c r="E1156" s="130"/>
      <c r="F1156" s="130"/>
      <c r="G1156" s="129"/>
      <c r="H1156" s="131"/>
      <c r="I1156" s="131"/>
      <c r="J1156" s="131"/>
    </row>
    <row r="1157" spans="2:10" x14ac:dyDescent="0.25">
      <c r="B1157" s="138"/>
      <c r="C1157" s="130"/>
      <c r="D1157" s="130"/>
      <c r="E1157" s="130"/>
      <c r="F1157" s="130"/>
      <c r="G1157" s="129"/>
      <c r="H1157" s="131"/>
      <c r="I1157" s="131"/>
      <c r="J1157" s="131"/>
    </row>
    <row r="1158" spans="2:10" x14ac:dyDescent="0.25">
      <c r="B1158" s="138"/>
      <c r="C1158" s="130"/>
      <c r="D1158" s="130"/>
      <c r="E1158" s="130"/>
      <c r="F1158" s="130"/>
      <c r="G1158" s="129"/>
      <c r="H1158" s="131"/>
      <c r="I1158" s="131"/>
      <c r="J1158" s="131"/>
    </row>
    <row r="1159" spans="2:10" x14ac:dyDescent="0.25">
      <c r="B1159" s="138"/>
      <c r="C1159" s="130"/>
      <c r="D1159" s="130"/>
      <c r="E1159" s="130"/>
      <c r="F1159" s="130"/>
      <c r="G1159" s="129"/>
      <c r="H1159" s="131"/>
      <c r="I1159" s="131"/>
      <c r="J1159" s="131"/>
    </row>
    <row r="1160" spans="2:10" x14ac:dyDescent="0.25">
      <c r="B1160" s="138"/>
      <c r="C1160" s="130"/>
      <c r="D1160" s="130"/>
      <c r="E1160" s="130"/>
      <c r="F1160" s="130"/>
      <c r="G1160" s="129"/>
      <c r="H1160" s="131"/>
      <c r="I1160" s="131"/>
      <c r="J1160" s="131"/>
    </row>
    <row r="1161" spans="2:10" x14ac:dyDescent="0.25">
      <c r="B1161" s="138"/>
      <c r="C1161" s="130"/>
      <c r="D1161" s="130"/>
      <c r="E1161" s="130"/>
      <c r="F1161" s="130"/>
      <c r="G1161" s="129"/>
      <c r="H1161" s="131"/>
      <c r="I1161" s="131"/>
      <c r="J1161" s="131"/>
    </row>
    <row r="1162" spans="2:10" x14ac:dyDescent="0.25">
      <c r="B1162" s="138"/>
      <c r="C1162" s="130"/>
      <c r="D1162" s="130"/>
      <c r="E1162" s="130"/>
      <c r="F1162" s="130"/>
      <c r="G1162" s="129"/>
      <c r="H1162" s="131"/>
      <c r="I1162" s="131"/>
      <c r="J1162" s="131"/>
    </row>
    <row r="1163" spans="2:10" x14ac:dyDescent="0.25">
      <c r="B1163" s="138"/>
      <c r="C1163" s="130"/>
      <c r="D1163" s="130"/>
      <c r="E1163" s="130"/>
      <c r="F1163" s="130"/>
      <c r="G1163" s="129"/>
      <c r="H1163" s="131"/>
      <c r="I1163" s="131"/>
      <c r="J1163" s="131"/>
    </row>
    <row r="1164" spans="2:10" x14ac:dyDescent="0.25">
      <c r="B1164" s="138"/>
      <c r="C1164" s="130"/>
      <c r="D1164" s="130"/>
      <c r="E1164" s="130"/>
      <c r="F1164" s="130"/>
      <c r="G1164" s="129"/>
      <c r="H1164" s="131"/>
      <c r="I1164" s="131"/>
      <c r="J1164" s="131"/>
    </row>
    <row r="1165" spans="2:10" x14ac:dyDescent="0.25">
      <c r="B1165" s="138"/>
      <c r="C1165" s="130"/>
      <c r="D1165" s="130"/>
      <c r="E1165" s="130"/>
      <c r="F1165" s="130"/>
      <c r="G1165" s="129"/>
      <c r="H1165" s="131"/>
      <c r="I1165" s="131"/>
      <c r="J1165" s="131"/>
    </row>
    <row r="1166" spans="2:10" x14ac:dyDescent="0.25">
      <c r="B1166" s="138"/>
      <c r="C1166" s="130"/>
      <c r="D1166" s="130"/>
      <c r="E1166" s="130"/>
      <c r="F1166" s="130"/>
      <c r="G1166" s="129"/>
      <c r="H1166" s="131"/>
      <c r="I1166" s="131"/>
      <c r="J1166" s="131"/>
    </row>
    <row r="1167" spans="2:10" x14ac:dyDescent="0.25">
      <c r="B1167" s="138"/>
      <c r="C1167" s="130"/>
      <c r="D1167" s="130"/>
      <c r="E1167" s="130"/>
      <c r="F1167" s="130"/>
      <c r="G1167" s="129"/>
      <c r="H1167" s="131"/>
      <c r="I1167" s="131"/>
      <c r="J1167" s="131"/>
    </row>
    <row r="1168" spans="2:10" x14ac:dyDescent="0.25">
      <c r="B1168" s="138"/>
      <c r="C1168" s="130"/>
      <c r="D1168" s="130"/>
      <c r="E1168" s="130"/>
      <c r="F1168" s="130"/>
      <c r="G1168" s="129"/>
      <c r="H1168" s="131"/>
      <c r="I1168" s="131"/>
      <c r="J1168" s="131"/>
    </row>
    <row r="1169" spans="2:10" x14ac:dyDescent="0.25">
      <c r="B1169" s="138"/>
      <c r="C1169" s="130"/>
      <c r="D1169" s="130"/>
      <c r="E1169" s="130"/>
      <c r="F1169" s="130"/>
      <c r="G1169" s="129"/>
      <c r="H1169" s="131"/>
      <c r="I1169" s="131"/>
      <c r="J1169" s="131"/>
    </row>
    <row r="1170" spans="2:10" x14ac:dyDescent="0.25">
      <c r="B1170" s="138"/>
      <c r="C1170" s="130"/>
      <c r="D1170" s="130"/>
      <c r="E1170" s="130"/>
      <c r="F1170" s="130"/>
      <c r="G1170" s="129"/>
      <c r="H1170" s="131"/>
      <c r="I1170" s="131"/>
      <c r="J1170" s="131"/>
    </row>
    <row r="1171" spans="2:10" x14ac:dyDescent="0.25">
      <c r="B1171" s="138"/>
      <c r="C1171" s="130"/>
      <c r="D1171" s="130"/>
      <c r="E1171" s="130"/>
      <c r="F1171" s="130"/>
      <c r="G1171" s="129"/>
      <c r="H1171" s="131"/>
      <c r="I1171" s="131"/>
      <c r="J1171" s="131"/>
    </row>
    <row r="1172" spans="2:10" x14ac:dyDescent="0.25">
      <c r="B1172" s="138"/>
      <c r="C1172" s="130"/>
      <c r="D1172" s="130"/>
      <c r="E1172" s="130"/>
      <c r="F1172" s="130"/>
      <c r="G1172" s="129"/>
      <c r="H1172" s="131"/>
      <c r="I1172" s="131"/>
      <c r="J1172" s="131"/>
    </row>
    <row r="1173" spans="2:10" x14ac:dyDescent="0.25">
      <c r="B1173" s="138"/>
      <c r="C1173" s="130"/>
      <c r="D1173" s="130"/>
      <c r="E1173" s="130"/>
      <c r="F1173" s="130"/>
      <c r="G1173" s="129"/>
      <c r="H1173" s="131"/>
      <c r="I1173" s="131"/>
      <c r="J1173" s="131"/>
    </row>
    <row r="1174" spans="2:10" x14ac:dyDescent="0.25">
      <c r="B1174" s="138"/>
      <c r="C1174" s="130"/>
      <c r="D1174" s="130"/>
      <c r="E1174" s="130"/>
      <c r="F1174" s="130"/>
      <c r="G1174" s="129"/>
      <c r="H1174" s="131"/>
      <c r="I1174" s="131"/>
      <c r="J1174" s="131"/>
    </row>
    <row r="1175" spans="2:10" x14ac:dyDescent="0.25">
      <c r="B1175" s="138"/>
      <c r="C1175" s="130"/>
      <c r="D1175" s="130"/>
      <c r="E1175" s="130"/>
      <c r="F1175" s="130"/>
      <c r="G1175" s="129"/>
      <c r="H1175" s="131"/>
      <c r="I1175" s="131"/>
      <c r="J1175" s="131"/>
    </row>
    <row r="1176" spans="2:10" x14ac:dyDescent="0.25">
      <c r="B1176" s="138"/>
      <c r="C1176" s="130"/>
      <c r="D1176" s="130"/>
      <c r="E1176" s="130"/>
      <c r="F1176" s="130"/>
      <c r="G1176" s="129"/>
      <c r="H1176" s="131"/>
      <c r="I1176" s="131"/>
      <c r="J1176" s="131"/>
    </row>
    <row r="1177" spans="2:10" x14ac:dyDescent="0.25">
      <c r="B1177" s="138"/>
      <c r="C1177" s="130"/>
      <c r="D1177" s="130"/>
      <c r="E1177" s="130"/>
      <c r="F1177" s="130"/>
      <c r="G1177" s="129"/>
      <c r="H1177" s="131"/>
      <c r="I1177" s="131"/>
      <c r="J1177" s="131"/>
    </row>
    <row r="1178" spans="2:10" x14ac:dyDescent="0.25">
      <c r="B1178" s="138"/>
      <c r="C1178" s="130"/>
      <c r="D1178" s="130"/>
      <c r="E1178" s="130"/>
      <c r="F1178" s="130"/>
      <c r="G1178" s="129"/>
      <c r="H1178" s="131"/>
      <c r="I1178" s="131"/>
      <c r="J1178" s="131"/>
    </row>
    <row r="1179" spans="2:10" x14ac:dyDescent="0.25">
      <c r="B1179" s="138"/>
      <c r="C1179" s="130"/>
      <c r="D1179" s="130"/>
      <c r="E1179" s="130"/>
      <c r="F1179" s="130"/>
      <c r="G1179" s="129"/>
      <c r="H1179" s="131"/>
      <c r="I1179" s="131"/>
      <c r="J1179" s="131"/>
    </row>
    <row r="1180" spans="2:10" x14ac:dyDescent="0.25">
      <c r="B1180" s="138"/>
      <c r="C1180" s="130"/>
      <c r="D1180" s="130"/>
      <c r="E1180" s="130"/>
      <c r="F1180" s="130"/>
      <c r="G1180" s="129"/>
      <c r="H1180" s="131"/>
      <c r="I1180" s="131"/>
      <c r="J1180" s="131"/>
    </row>
    <row r="1181" spans="2:10" x14ac:dyDescent="0.25">
      <c r="B1181" s="138"/>
      <c r="C1181" s="130"/>
      <c r="D1181" s="130"/>
      <c r="E1181" s="130"/>
      <c r="F1181" s="130"/>
      <c r="G1181" s="129"/>
      <c r="H1181" s="131"/>
      <c r="I1181" s="131"/>
      <c r="J1181" s="131"/>
    </row>
    <row r="1182" spans="2:10" x14ac:dyDescent="0.25">
      <c r="B1182" s="138"/>
      <c r="C1182" s="130"/>
      <c r="D1182" s="130"/>
      <c r="E1182" s="130"/>
      <c r="F1182" s="130"/>
      <c r="G1182" s="129"/>
      <c r="H1182" s="131"/>
      <c r="I1182" s="131"/>
      <c r="J1182" s="131"/>
    </row>
    <row r="1183" spans="2:10" x14ac:dyDescent="0.25">
      <c r="B1183" s="138"/>
      <c r="C1183" s="130"/>
      <c r="D1183" s="130"/>
      <c r="E1183" s="130"/>
      <c r="F1183" s="130"/>
      <c r="G1183" s="129"/>
      <c r="H1183" s="131"/>
      <c r="I1183" s="131"/>
      <c r="J1183" s="131"/>
    </row>
    <row r="1184" spans="2:10" x14ac:dyDescent="0.25">
      <c r="B1184" s="138"/>
      <c r="C1184" s="130"/>
      <c r="D1184" s="130"/>
      <c r="E1184" s="130"/>
      <c r="F1184" s="130"/>
      <c r="G1184" s="129"/>
      <c r="H1184" s="131"/>
      <c r="I1184" s="131"/>
      <c r="J1184" s="131"/>
    </row>
    <row r="1185" spans="2:10" x14ac:dyDescent="0.25">
      <c r="B1185" s="138"/>
      <c r="C1185" s="130"/>
      <c r="D1185" s="130"/>
      <c r="E1185" s="130"/>
      <c r="F1185" s="130"/>
      <c r="G1185" s="129"/>
      <c r="H1185" s="131"/>
      <c r="I1185" s="131"/>
      <c r="J1185" s="131"/>
    </row>
    <row r="1186" spans="2:10" x14ac:dyDescent="0.25">
      <c r="B1186" s="138"/>
      <c r="C1186" s="130"/>
      <c r="D1186" s="130"/>
      <c r="E1186" s="130"/>
      <c r="F1186" s="130"/>
      <c r="G1186" s="129"/>
      <c r="H1186" s="131"/>
      <c r="I1186" s="131"/>
      <c r="J1186" s="131"/>
    </row>
    <row r="1187" spans="2:10" x14ac:dyDescent="0.25">
      <c r="B1187" s="138"/>
      <c r="C1187" s="130"/>
      <c r="D1187" s="130"/>
      <c r="E1187" s="130"/>
      <c r="F1187" s="130"/>
      <c r="G1187" s="129"/>
      <c r="H1187" s="131"/>
      <c r="I1187" s="131"/>
      <c r="J1187" s="131"/>
    </row>
    <row r="1188" spans="2:10" x14ac:dyDescent="0.25">
      <c r="B1188" s="138"/>
      <c r="C1188" s="130"/>
      <c r="D1188" s="130"/>
      <c r="E1188" s="130"/>
      <c r="F1188" s="130"/>
      <c r="G1188" s="129"/>
      <c r="H1188" s="131"/>
      <c r="I1188" s="131"/>
      <c r="J1188" s="131"/>
    </row>
    <row r="1189" spans="2:10" x14ac:dyDescent="0.25">
      <c r="B1189" s="138"/>
      <c r="C1189" s="130"/>
      <c r="D1189" s="130"/>
      <c r="E1189" s="130"/>
      <c r="F1189" s="130"/>
      <c r="G1189" s="129"/>
      <c r="H1189" s="131"/>
      <c r="I1189" s="131"/>
      <c r="J1189" s="131"/>
    </row>
    <row r="1190" spans="2:10" x14ac:dyDescent="0.25">
      <c r="B1190" s="138"/>
      <c r="C1190" s="130"/>
      <c r="D1190" s="130"/>
      <c r="E1190" s="130"/>
      <c r="F1190" s="130"/>
      <c r="G1190" s="129"/>
      <c r="H1190" s="131"/>
      <c r="I1190" s="131"/>
      <c r="J1190" s="131"/>
    </row>
    <row r="1191" spans="2:10" x14ac:dyDescent="0.25">
      <c r="B1191" s="138"/>
      <c r="C1191" s="130"/>
      <c r="D1191" s="130"/>
      <c r="E1191" s="130"/>
      <c r="F1191" s="130"/>
      <c r="G1191" s="129"/>
      <c r="H1191" s="131"/>
      <c r="I1191" s="131"/>
      <c r="J1191" s="131"/>
    </row>
    <row r="1192" spans="2:10" x14ac:dyDescent="0.25">
      <c r="B1192" s="138"/>
      <c r="C1192" s="130"/>
      <c r="D1192" s="130"/>
      <c r="E1192" s="130"/>
      <c r="F1192" s="130"/>
      <c r="G1192" s="129"/>
      <c r="H1192" s="131"/>
      <c r="I1192" s="131"/>
      <c r="J1192" s="131"/>
    </row>
    <row r="1193" spans="2:10" x14ac:dyDescent="0.25">
      <c r="B1193" s="138"/>
      <c r="C1193" s="130"/>
      <c r="D1193" s="130"/>
      <c r="E1193" s="130"/>
      <c r="F1193" s="130"/>
      <c r="G1193" s="129"/>
      <c r="H1193" s="131"/>
      <c r="I1193" s="131"/>
      <c r="J1193" s="131"/>
    </row>
    <row r="1194" spans="2:10" x14ac:dyDescent="0.25">
      <c r="B1194" s="138"/>
      <c r="C1194" s="130"/>
      <c r="D1194" s="130"/>
      <c r="E1194" s="130"/>
      <c r="F1194" s="130"/>
      <c r="G1194" s="129"/>
      <c r="H1194" s="131"/>
      <c r="I1194" s="131"/>
      <c r="J1194" s="131"/>
    </row>
    <row r="1195" spans="2:10" x14ac:dyDescent="0.25">
      <c r="B1195" s="138"/>
      <c r="C1195" s="130"/>
      <c r="D1195" s="130"/>
      <c r="E1195" s="130"/>
      <c r="F1195" s="130"/>
      <c r="G1195" s="129"/>
      <c r="H1195" s="131"/>
      <c r="I1195" s="131"/>
      <c r="J1195" s="131"/>
    </row>
    <row r="1196" spans="2:10" x14ac:dyDescent="0.25">
      <c r="B1196" s="138"/>
      <c r="C1196" s="130"/>
      <c r="D1196" s="130"/>
      <c r="E1196" s="130"/>
      <c r="F1196" s="130"/>
      <c r="G1196" s="129"/>
      <c r="H1196" s="131"/>
      <c r="I1196" s="131"/>
      <c r="J1196" s="131"/>
    </row>
    <row r="1197" spans="2:10" x14ac:dyDescent="0.25">
      <c r="B1197" s="138"/>
      <c r="C1197" s="130"/>
      <c r="D1197" s="130"/>
      <c r="E1197" s="130"/>
      <c r="F1197" s="130"/>
      <c r="G1197" s="129"/>
      <c r="H1197" s="131"/>
      <c r="I1197" s="131"/>
      <c r="J1197" s="131"/>
    </row>
    <row r="1198" spans="2:10" x14ac:dyDescent="0.25">
      <c r="B1198" s="138"/>
      <c r="C1198" s="130"/>
      <c r="D1198" s="130"/>
      <c r="E1198" s="130"/>
      <c r="F1198" s="130"/>
      <c r="G1198" s="129"/>
      <c r="H1198" s="131"/>
      <c r="I1198" s="131"/>
      <c r="J1198" s="131"/>
    </row>
    <row r="1199" spans="2:10" x14ac:dyDescent="0.25">
      <c r="B1199" s="138"/>
      <c r="C1199" s="130"/>
      <c r="D1199" s="130"/>
      <c r="E1199" s="130"/>
      <c r="F1199" s="130"/>
      <c r="G1199" s="129"/>
      <c r="H1199" s="131"/>
      <c r="I1199" s="131"/>
      <c r="J1199" s="131"/>
    </row>
    <row r="1200" spans="2:10" x14ac:dyDescent="0.25">
      <c r="B1200" s="138"/>
      <c r="C1200" s="130"/>
      <c r="D1200" s="130"/>
      <c r="E1200" s="130"/>
      <c r="F1200" s="130"/>
      <c r="G1200" s="129"/>
      <c r="H1200" s="131"/>
      <c r="I1200" s="131"/>
      <c r="J1200" s="131"/>
    </row>
    <row r="1201" spans="2:10" x14ac:dyDescent="0.25">
      <c r="B1201" s="138"/>
      <c r="C1201" s="130"/>
      <c r="D1201" s="130"/>
      <c r="E1201" s="130"/>
      <c r="F1201" s="130"/>
      <c r="G1201" s="129"/>
      <c r="H1201" s="131"/>
      <c r="I1201" s="131"/>
      <c r="J1201" s="131"/>
    </row>
    <row r="1202" spans="2:10" x14ac:dyDescent="0.25">
      <c r="B1202" s="138"/>
      <c r="C1202" s="130"/>
      <c r="D1202" s="130"/>
      <c r="E1202" s="130"/>
      <c r="F1202" s="130"/>
      <c r="G1202" s="129"/>
      <c r="H1202" s="131"/>
      <c r="I1202" s="131"/>
      <c r="J1202" s="131"/>
    </row>
    <row r="1203" spans="2:10" x14ac:dyDescent="0.25">
      <c r="B1203" s="138"/>
      <c r="C1203" s="130"/>
      <c r="D1203" s="130"/>
      <c r="E1203" s="130"/>
      <c r="F1203" s="130"/>
      <c r="G1203" s="129"/>
      <c r="H1203" s="131"/>
      <c r="I1203" s="131"/>
      <c r="J1203" s="131"/>
    </row>
    <row r="1204" spans="2:10" x14ac:dyDescent="0.25">
      <c r="B1204" s="138"/>
      <c r="C1204" s="130"/>
      <c r="D1204" s="130"/>
      <c r="E1204" s="130"/>
      <c r="F1204" s="130"/>
      <c r="G1204" s="129"/>
      <c r="H1204" s="131"/>
      <c r="I1204" s="131"/>
      <c r="J1204" s="131"/>
    </row>
    <row r="1205" spans="2:10" x14ac:dyDescent="0.25">
      <c r="B1205" s="138"/>
      <c r="C1205" s="130"/>
      <c r="D1205" s="130"/>
      <c r="E1205" s="130"/>
      <c r="F1205" s="130"/>
      <c r="G1205" s="129"/>
      <c r="H1205" s="131"/>
      <c r="I1205" s="131"/>
      <c r="J1205" s="131"/>
    </row>
    <row r="1206" spans="2:10" x14ac:dyDescent="0.25">
      <c r="B1206" s="138"/>
      <c r="C1206" s="130"/>
      <c r="D1206" s="130"/>
      <c r="E1206" s="130"/>
      <c r="F1206" s="130"/>
      <c r="G1206" s="129"/>
      <c r="H1206" s="131"/>
      <c r="I1206" s="131"/>
      <c r="J1206" s="131"/>
    </row>
    <row r="1207" spans="2:10" x14ac:dyDescent="0.25">
      <c r="B1207" s="138"/>
      <c r="C1207" s="130"/>
      <c r="D1207" s="130"/>
      <c r="E1207" s="130"/>
      <c r="F1207" s="130"/>
      <c r="G1207" s="129"/>
      <c r="H1207" s="131"/>
      <c r="I1207" s="131"/>
      <c r="J1207" s="131"/>
    </row>
    <row r="1208" spans="2:10" x14ac:dyDescent="0.25">
      <c r="B1208" s="138"/>
      <c r="C1208" s="130"/>
      <c r="D1208" s="130"/>
      <c r="E1208" s="130"/>
      <c r="F1208" s="130"/>
      <c r="G1208" s="129"/>
      <c r="H1208" s="131"/>
      <c r="I1208" s="131"/>
      <c r="J1208" s="131"/>
    </row>
    <row r="1209" spans="2:10" x14ac:dyDescent="0.25">
      <c r="B1209" s="138"/>
      <c r="C1209" s="130"/>
      <c r="D1209" s="130"/>
      <c r="E1209" s="130"/>
      <c r="F1209" s="130"/>
      <c r="G1209" s="129"/>
      <c r="H1209" s="131"/>
      <c r="I1209" s="131"/>
      <c r="J1209" s="131"/>
    </row>
    <row r="1210" spans="2:10" x14ac:dyDescent="0.25">
      <c r="B1210" s="138"/>
      <c r="C1210" s="130"/>
      <c r="D1210" s="130"/>
      <c r="E1210" s="130"/>
      <c r="F1210" s="130"/>
      <c r="G1210" s="129"/>
      <c r="H1210" s="131"/>
      <c r="I1210" s="131"/>
      <c r="J1210" s="131"/>
    </row>
    <row r="1211" spans="2:10" x14ac:dyDescent="0.25">
      <c r="B1211" s="138"/>
      <c r="C1211" s="130"/>
      <c r="D1211" s="130"/>
      <c r="E1211" s="130"/>
      <c r="F1211" s="130"/>
      <c r="G1211" s="129"/>
      <c r="H1211" s="131"/>
      <c r="I1211" s="131"/>
      <c r="J1211" s="131"/>
    </row>
    <row r="1212" spans="2:10" x14ac:dyDescent="0.25">
      <c r="B1212" s="138"/>
      <c r="C1212" s="130"/>
      <c r="D1212" s="130"/>
      <c r="E1212" s="130"/>
      <c r="F1212" s="130"/>
      <c r="G1212" s="129"/>
      <c r="H1212" s="131"/>
      <c r="I1212" s="131"/>
      <c r="J1212" s="131"/>
    </row>
    <row r="1213" spans="2:10" x14ac:dyDescent="0.25">
      <c r="B1213" s="138"/>
      <c r="C1213" s="130"/>
      <c r="D1213" s="130"/>
      <c r="E1213" s="130"/>
      <c r="F1213" s="130"/>
      <c r="G1213" s="129"/>
      <c r="H1213" s="131"/>
      <c r="I1213" s="131"/>
      <c r="J1213" s="131"/>
    </row>
    <row r="1214" spans="2:10" x14ac:dyDescent="0.25">
      <c r="B1214" s="138"/>
      <c r="C1214" s="130"/>
      <c r="D1214" s="130"/>
      <c r="E1214" s="130"/>
      <c r="F1214" s="130"/>
      <c r="G1214" s="129"/>
      <c r="H1214" s="131"/>
      <c r="I1214" s="131"/>
      <c r="J1214" s="131"/>
    </row>
    <row r="1215" spans="2:10" x14ac:dyDescent="0.25">
      <c r="B1215" s="138"/>
      <c r="C1215" s="130"/>
      <c r="D1215" s="130"/>
      <c r="E1215" s="130"/>
      <c r="F1215" s="130"/>
      <c r="G1215" s="129"/>
      <c r="H1215" s="131"/>
      <c r="I1215" s="131"/>
      <c r="J1215" s="131"/>
    </row>
    <row r="1216" spans="2:10" x14ac:dyDescent="0.25">
      <c r="B1216" s="138"/>
      <c r="C1216" s="130"/>
      <c r="D1216" s="130"/>
      <c r="E1216" s="130"/>
      <c r="F1216" s="130"/>
      <c r="G1216" s="129"/>
      <c r="H1216" s="131"/>
      <c r="I1216" s="131"/>
      <c r="J1216" s="131"/>
    </row>
    <row r="1217" spans="2:10" x14ac:dyDescent="0.25">
      <c r="B1217" s="138"/>
      <c r="C1217" s="130"/>
      <c r="D1217" s="130"/>
      <c r="E1217" s="130"/>
      <c r="F1217" s="130"/>
      <c r="G1217" s="129"/>
      <c r="H1217" s="131"/>
      <c r="I1217" s="131"/>
      <c r="J1217" s="131"/>
    </row>
    <row r="1218" spans="2:10" x14ac:dyDescent="0.25">
      <c r="B1218" s="138"/>
      <c r="C1218" s="130"/>
      <c r="D1218" s="130"/>
      <c r="E1218" s="130"/>
      <c r="F1218" s="130"/>
      <c r="G1218" s="129"/>
      <c r="H1218" s="131"/>
      <c r="I1218" s="131"/>
      <c r="J1218" s="131"/>
    </row>
    <row r="1219" spans="2:10" x14ac:dyDescent="0.25">
      <c r="B1219" s="138"/>
      <c r="C1219" s="130"/>
      <c r="D1219" s="130"/>
      <c r="E1219" s="130"/>
      <c r="F1219" s="130"/>
      <c r="G1219" s="129"/>
      <c r="H1219" s="131"/>
      <c r="I1219" s="131"/>
      <c r="J1219" s="131"/>
    </row>
    <row r="1220" spans="2:10" x14ac:dyDescent="0.25">
      <c r="B1220" s="138"/>
      <c r="C1220" s="130"/>
      <c r="D1220" s="130"/>
      <c r="E1220" s="130"/>
      <c r="F1220" s="130"/>
      <c r="G1220" s="129"/>
      <c r="H1220" s="131"/>
      <c r="I1220" s="131"/>
      <c r="J1220" s="131"/>
    </row>
    <row r="1221" spans="2:10" x14ac:dyDescent="0.25">
      <c r="B1221" s="138"/>
      <c r="C1221" s="130"/>
      <c r="D1221" s="130"/>
      <c r="E1221" s="130"/>
      <c r="F1221" s="130"/>
      <c r="G1221" s="129"/>
      <c r="H1221" s="131"/>
      <c r="I1221" s="131"/>
      <c r="J1221" s="131"/>
    </row>
    <row r="1222" spans="2:10" x14ac:dyDescent="0.25">
      <c r="B1222" s="138"/>
      <c r="C1222" s="130"/>
      <c r="D1222" s="130"/>
      <c r="E1222" s="130"/>
      <c r="F1222" s="130"/>
      <c r="G1222" s="129"/>
      <c r="H1222" s="131"/>
      <c r="I1222" s="131"/>
      <c r="J1222" s="131"/>
    </row>
    <row r="1223" spans="2:10" x14ac:dyDescent="0.25">
      <c r="B1223" s="138"/>
      <c r="C1223" s="130"/>
      <c r="D1223" s="130"/>
      <c r="E1223" s="130"/>
      <c r="F1223" s="130"/>
      <c r="G1223" s="129"/>
      <c r="H1223" s="131"/>
      <c r="I1223" s="131"/>
      <c r="J1223" s="131"/>
    </row>
    <row r="1224" spans="2:10" x14ac:dyDescent="0.25">
      <c r="B1224" s="138"/>
      <c r="C1224" s="130"/>
      <c r="D1224" s="130"/>
      <c r="E1224" s="130"/>
      <c r="F1224" s="130"/>
      <c r="G1224" s="129"/>
      <c r="H1224" s="131"/>
      <c r="I1224" s="131"/>
      <c r="J1224" s="131"/>
    </row>
    <row r="1225" spans="2:10" x14ac:dyDescent="0.25">
      <c r="B1225" s="138"/>
      <c r="C1225" s="130"/>
      <c r="D1225" s="130"/>
      <c r="E1225" s="130"/>
      <c r="F1225" s="130"/>
      <c r="G1225" s="129"/>
      <c r="H1225" s="131"/>
      <c r="I1225" s="131"/>
      <c r="J1225" s="131"/>
    </row>
    <row r="1226" spans="2:10" x14ac:dyDescent="0.25">
      <c r="B1226" s="138"/>
      <c r="C1226" s="130"/>
      <c r="D1226" s="130"/>
      <c r="E1226" s="130"/>
      <c r="F1226" s="130"/>
      <c r="G1226" s="129"/>
      <c r="H1226" s="131"/>
      <c r="I1226" s="131"/>
      <c r="J1226" s="131"/>
    </row>
    <row r="1227" spans="2:10" x14ac:dyDescent="0.25">
      <c r="B1227" s="138"/>
      <c r="C1227" s="130"/>
      <c r="D1227" s="130"/>
      <c r="E1227" s="130"/>
      <c r="F1227" s="130"/>
      <c r="G1227" s="129"/>
      <c r="H1227" s="131"/>
      <c r="I1227" s="131"/>
      <c r="J1227" s="131"/>
    </row>
    <row r="1228" spans="2:10" x14ac:dyDescent="0.25">
      <c r="B1228" s="138"/>
      <c r="C1228" s="130"/>
      <c r="D1228" s="130"/>
      <c r="E1228" s="130"/>
      <c r="F1228" s="130"/>
      <c r="G1228" s="129"/>
      <c r="H1228" s="131"/>
      <c r="I1228" s="131"/>
      <c r="J1228" s="131"/>
    </row>
    <row r="1229" spans="2:10" x14ac:dyDescent="0.25">
      <c r="B1229" s="138"/>
      <c r="C1229" s="130"/>
      <c r="D1229" s="130"/>
      <c r="E1229" s="130"/>
      <c r="F1229" s="130"/>
      <c r="G1229" s="129"/>
      <c r="H1229" s="131"/>
      <c r="I1229" s="131"/>
      <c r="J1229" s="131"/>
    </row>
    <row r="1230" spans="2:10" x14ac:dyDescent="0.25">
      <c r="B1230" s="138"/>
      <c r="C1230" s="130"/>
      <c r="D1230" s="130"/>
      <c r="E1230" s="130"/>
      <c r="F1230" s="130"/>
      <c r="G1230" s="129"/>
      <c r="H1230" s="131"/>
      <c r="I1230" s="131"/>
      <c r="J1230" s="131"/>
    </row>
    <row r="1231" spans="2:10" x14ac:dyDescent="0.25">
      <c r="B1231" s="138"/>
      <c r="C1231" s="130"/>
      <c r="D1231" s="130"/>
      <c r="E1231" s="130"/>
      <c r="F1231" s="130"/>
      <c r="G1231" s="129"/>
      <c r="H1231" s="131"/>
      <c r="I1231" s="131"/>
      <c r="J1231" s="131"/>
    </row>
    <row r="1232" spans="2:10" x14ac:dyDescent="0.25">
      <c r="B1232" s="138"/>
      <c r="C1232" s="130"/>
      <c r="D1232" s="130"/>
      <c r="E1232" s="130"/>
      <c r="F1232" s="130"/>
      <c r="G1232" s="129"/>
      <c r="H1232" s="131"/>
      <c r="I1232" s="131"/>
      <c r="J1232" s="131"/>
    </row>
    <row r="1233" spans="2:10" x14ac:dyDescent="0.25">
      <c r="B1233" s="138"/>
      <c r="C1233" s="130"/>
      <c r="D1233" s="130"/>
      <c r="E1233" s="130"/>
      <c r="F1233" s="130"/>
      <c r="G1233" s="129"/>
      <c r="H1233" s="131"/>
      <c r="I1233" s="131"/>
      <c r="J1233" s="131"/>
    </row>
    <row r="1234" spans="2:10" x14ac:dyDescent="0.25">
      <c r="B1234" s="138"/>
      <c r="C1234" s="130"/>
      <c r="D1234" s="130"/>
      <c r="E1234" s="130"/>
      <c r="F1234" s="130"/>
      <c r="G1234" s="129"/>
      <c r="H1234" s="131"/>
      <c r="I1234" s="131"/>
      <c r="J1234" s="131"/>
    </row>
    <row r="1235" spans="2:10" x14ac:dyDescent="0.25">
      <c r="B1235" s="138"/>
      <c r="C1235" s="130"/>
      <c r="D1235" s="130"/>
      <c r="E1235" s="130"/>
      <c r="F1235" s="130"/>
      <c r="G1235" s="129"/>
      <c r="H1235" s="131"/>
      <c r="I1235" s="131"/>
      <c r="J1235" s="131"/>
    </row>
    <row r="1236" spans="2:10" x14ac:dyDescent="0.25">
      <c r="B1236" s="138"/>
      <c r="C1236" s="130"/>
      <c r="D1236" s="130"/>
      <c r="E1236" s="130"/>
      <c r="F1236" s="130"/>
      <c r="G1236" s="129"/>
      <c r="H1236" s="131"/>
      <c r="I1236" s="131"/>
      <c r="J1236" s="131"/>
    </row>
    <row r="1237" spans="2:10" x14ac:dyDescent="0.25">
      <c r="B1237" s="138"/>
      <c r="C1237" s="130"/>
      <c r="D1237" s="130"/>
      <c r="E1237" s="130"/>
      <c r="F1237" s="130"/>
      <c r="G1237" s="129"/>
      <c r="H1237" s="131"/>
      <c r="I1237" s="131"/>
      <c r="J1237" s="131"/>
    </row>
    <row r="1238" spans="2:10" x14ac:dyDescent="0.25">
      <c r="B1238" s="138"/>
      <c r="C1238" s="130"/>
      <c r="D1238" s="130"/>
      <c r="E1238" s="130"/>
      <c r="F1238" s="130"/>
      <c r="G1238" s="129"/>
      <c r="H1238" s="131"/>
      <c r="I1238" s="131"/>
      <c r="J1238" s="131"/>
    </row>
    <row r="1239" spans="2:10" x14ac:dyDescent="0.25">
      <c r="B1239" s="138"/>
      <c r="C1239" s="130"/>
      <c r="D1239" s="130"/>
      <c r="E1239" s="130"/>
      <c r="F1239" s="130"/>
      <c r="G1239" s="129"/>
      <c r="H1239" s="131"/>
      <c r="I1239" s="131"/>
      <c r="J1239" s="131"/>
    </row>
    <row r="1240" spans="2:10" x14ac:dyDescent="0.25">
      <c r="B1240" s="138"/>
      <c r="C1240" s="130"/>
      <c r="D1240" s="130"/>
      <c r="E1240" s="130"/>
      <c r="F1240" s="130"/>
      <c r="G1240" s="129"/>
      <c r="H1240" s="131"/>
      <c r="I1240" s="131"/>
      <c r="J1240" s="131"/>
    </row>
    <row r="1241" spans="2:10" x14ac:dyDescent="0.25">
      <c r="B1241" s="138"/>
      <c r="C1241" s="130"/>
      <c r="D1241" s="130"/>
      <c r="E1241" s="130"/>
      <c r="F1241" s="130"/>
      <c r="G1241" s="129"/>
      <c r="H1241" s="131"/>
      <c r="I1241" s="131"/>
      <c r="J1241" s="131"/>
    </row>
    <row r="1242" spans="2:10" x14ac:dyDescent="0.25">
      <c r="B1242" s="138"/>
      <c r="C1242" s="130"/>
      <c r="D1242" s="130"/>
      <c r="E1242" s="130"/>
      <c r="F1242" s="130"/>
      <c r="G1242" s="129"/>
      <c r="H1242" s="131"/>
      <c r="I1242" s="131"/>
      <c r="J1242" s="131"/>
    </row>
    <row r="1243" spans="2:10" x14ac:dyDescent="0.25">
      <c r="B1243" s="138"/>
      <c r="C1243" s="130"/>
      <c r="D1243" s="130"/>
      <c r="E1243" s="130"/>
      <c r="F1243" s="130"/>
      <c r="G1243" s="129"/>
      <c r="H1243" s="131"/>
      <c r="I1243" s="131"/>
      <c r="J1243" s="131"/>
    </row>
    <row r="1244" spans="2:10" x14ac:dyDescent="0.25">
      <c r="B1244" s="138"/>
      <c r="C1244" s="130"/>
      <c r="D1244" s="130"/>
      <c r="E1244" s="130"/>
      <c r="F1244" s="130"/>
      <c r="G1244" s="129"/>
      <c r="H1244" s="131"/>
      <c r="I1244" s="131"/>
      <c r="J1244" s="131"/>
    </row>
    <row r="1245" spans="2:10" x14ac:dyDescent="0.25">
      <c r="B1245" s="138"/>
      <c r="C1245" s="130"/>
      <c r="D1245" s="130"/>
      <c r="E1245" s="130"/>
      <c r="F1245" s="130"/>
      <c r="G1245" s="129"/>
      <c r="H1245" s="131"/>
      <c r="I1245" s="131"/>
      <c r="J1245" s="131"/>
    </row>
    <row r="1246" spans="2:10" x14ac:dyDescent="0.25">
      <c r="B1246" s="138"/>
      <c r="C1246" s="130"/>
      <c r="D1246" s="130"/>
      <c r="E1246" s="130"/>
      <c r="F1246" s="130"/>
      <c r="G1246" s="129"/>
      <c r="H1246" s="131"/>
      <c r="I1246" s="131"/>
      <c r="J1246" s="131"/>
    </row>
    <row r="1247" spans="2:10" x14ac:dyDescent="0.25">
      <c r="B1247" s="138"/>
      <c r="C1247" s="130"/>
      <c r="D1247" s="130"/>
      <c r="E1247" s="130"/>
      <c r="F1247" s="130"/>
      <c r="G1247" s="129"/>
      <c r="H1247" s="131"/>
      <c r="I1247" s="131"/>
      <c r="J1247" s="131"/>
    </row>
    <row r="1248" spans="2:10" x14ac:dyDescent="0.25">
      <c r="B1248" s="138"/>
      <c r="C1248" s="130"/>
      <c r="D1248" s="130"/>
      <c r="E1248" s="130"/>
      <c r="F1248" s="130"/>
      <c r="G1248" s="129"/>
      <c r="H1248" s="131"/>
      <c r="I1248" s="131"/>
      <c r="J1248" s="131"/>
    </row>
    <row r="1249" spans="2:10" x14ac:dyDescent="0.25">
      <c r="B1249" s="138"/>
      <c r="C1249" s="130"/>
      <c r="D1249" s="130"/>
      <c r="E1249" s="130"/>
      <c r="F1249" s="130"/>
      <c r="G1249" s="129"/>
      <c r="H1249" s="131"/>
      <c r="I1249" s="131"/>
      <c r="J1249" s="131"/>
    </row>
    <row r="1250" spans="2:10" x14ac:dyDescent="0.25">
      <c r="B1250" s="138"/>
      <c r="C1250" s="130"/>
      <c r="D1250" s="130"/>
      <c r="E1250" s="130"/>
      <c r="F1250" s="130"/>
      <c r="G1250" s="129"/>
      <c r="H1250" s="131"/>
      <c r="I1250" s="131"/>
      <c r="J1250" s="131"/>
    </row>
    <row r="1251" spans="2:10" x14ac:dyDescent="0.25">
      <c r="B1251" s="138"/>
      <c r="C1251" s="130"/>
      <c r="D1251" s="130"/>
      <c r="E1251" s="130"/>
      <c r="F1251" s="130"/>
      <c r="G1251" s="129"/>
      <c r="H1251" s="131"/>
      <c r="I1251" s="131"/>
      <c r="J1251" s="131"/>
    </row>
    <row r="1252" spans="2:10" x14ac:dyDescent="0.25">
      <c r="B1252" s="138"/>
      <c r="C1252" s="130"/>
      <c r="D1252" s="130"/>
      <c r="E1252" s="130"/>
      <c r="F1252" s="130"/>
      <c r="G1252" s="129"/>
      <c r="H1252" s="131"/>
      <c r="I1252" s="131"/>
      <c r="J1252" s="131"/>
    </row>
    <row r="1253" spans="2:10" x14ac:dyDescent="0.25">
      <c r="B1253" s="138"/>
      <c r="C1253" s="130"/>
      <c r="D1253" s="130"/>
      <c r="E1253" s="130"/>
      <c r="F1253" s="130"/>
      <c r="G1253" s="129"/>
      <c r="H1253" s="131"/>
      <c r="I1253" s="131"/>
      <c r="J1253" s="131"/>
    </row>
    <row r="1254" spans="2:10" x14ac:dyDescent="0.25">
      <c r="B1254" s="138"/>
      <c r="C1254" s="130"/>
      <c r="D1254" s="130"/>
      <c r="E1254" s="130"/>
      <c r="F1254" s="130"/>
      <c r="G1254" s="129"/>
      <c r="H1254" s="131"/>
      <c r="I1254" s="131"/>
      <c r="J1254" s="131"/>
    </row>
    <row r="1255" spans="2:10" x14ac:dyDescent="0.25">
      <c r="B1255" s="138"/>
      <c r="C1255" s="130"/>
      <c r="D1255" s="130"/>
      <c r="E1255" s="130"/>
      <c r="F1255" s="130"/>
      <c r="G1255" s="129"/>
      <c r="H1255" s="131"/>
      <c r="I1255" s="131"/>
      <c r="J1255" s="131"/>
    </row>
    <row r="1256" spans="2:10" x14ac:dyDescent="0.25">
      <c r="B1256" s="138"/>
      <c r="C1256" s="130"/>
      <c r="D1256" s="130"/>
      <c r="E1256" s="130"/>
      <c r="F1256" s="130"/>
      <c r="G1256" s="129"/>
      <c r="H1256" s="131"/>
      <c r="I1256" s="131"/>
      <c r="J1256" s="131"/>
    </row>
    <row r="1257" spans="2:10" x14ac:dyDescent="0.25">
      <c r="B1257" s="138"/>
      <c r="C1257" s="130"/>
      <c r="D1257" s="130"/>
      <c r="E1257" s="130"/>
      <c r="F1257" s="130"/>
      <c r="G1257" s="129"/>
      <c r="H1257" s="131"/>
      <c r="I1257" s="131"/>
      <c r="J1257" s="131"/>
    </row>
    <row r="1258" spans="2:10" x14ac:dyDescent="0.25">
      <c r="B1258" s="138"/>
      <c r="C1258" s="130"/>
      <c r="D1258" s="130"/>
      <c r="E1258" s="130"/>
      <c r="F1258" s="130"/>
      <c r="G1258" s="129"/>
      <c r="H1258" s="131"/>
      <c r="I1258" s="131"/>
      <c r="J1258" s="131"/>
    </row>
    <row r="1259" spans="2:10" x14ac:dyDescent="0.25">
      <c r="B1259" s="138"/>
      <c r="C1259" s="130"/>
      <c r="D1259" s="130"/>
      <c r="E1259" s="130"/>
      <c r="F1259" s="130"/>
      <c r="G1259" s="129"/>
      <c r="H1259" s="131"/>
      <c r="I1259" s="131"/>
      <c r="J1259" s="131"/>
    </row>
    <row r="1260" spans="2:10" x14ac:dyDescent="0.25">
      <c r="B1260" s="138"/>
      <c r="C1260" s="130"/>
      <c r="D1260" s="130"/>
      <c r="E1260" s="130"/>
      <c r="F1260" s="130"/>
      <c r="G1260" s="129"/>
      <c r="H1260" s="131"/>
      <c r="I1260" s="131"/>
      <c r="J1260" s="131"/>
    </row>
    <row r="1261" spans="2:10" x14ac:dyDescent="0.25">
      <c r="B1261" s="138"/>
      <c r="C1261" s="130"/>
      <c r="D1261" s="130"/>
      <c r="E1261" s="130"/>
      <c r="F1261" s="130"/>
      <c r="G1261" s="129"/>
      <c r="H1261" s="131"/>
      <c r="I1261" s="131"/>
      <c r="J1261" s="131"/>
    </row>
    <row r="1262" spans="2:10" x14ac:dyDescent="0.25">
      <c r="B1262" s="138"/>
      <c r="C1262" s="130"/>
      <c r="D1262" s="130"/>
      <c r="E1262" s="130"/>
      <c r="F1262" s="130"/>
      <c r="G1262" s="129"/>
      <c r="H1262" s="131"/>
      <c r="I1262" s="131"/>
      <c r="J1262" s="131"/>
    </row>
    <row r="1263" spans="2:10" x14ac:dyDescent="0.25">
      <c r="B1263" s="138"/>
      <c r="C1263" s="130"/>
      <c r="D1263" s="130"/>
      <c r="E1263" s="130"/>
      <c r="F1263" s="130"/>
      <c r="G1263" s="129"/>
      <c r="H1263" s="131"/>
      <c r="I1263" s="131"/>
      <c r="J1263" s="131"/>
    </row>
    <row r="1264" spans="2:10" x14ac:dyDescent="0.25">
      <c r="B1264" s="138"/>
      <c r="C1264" s="130"/>
      <c r="D1264" s="130"/>
      <c r="E1264" s="130"/>
      <c r="F1264" s="130"/>
      <c r="G1264" s="129"/>
      <c r="H1264" s="131"/>
      <c r="I1264" s="131"/>
      <c r="J1264" s="131"/>
    </row>
    <row r="1265" spans="2:10" x14ac:dyDescent="0.25">
      <c r="B1265" s="138"/>
      <c r="C1265" s="130"/>
      <c r="D1265" s="130"/>
      <c r="E1265" s="130"/>
      <c r="F1265" s="130"/>
      <c r="G1265" s="129"/>
      <c r="H1265" s="131"/>
      <c r="I1265" s="131"/>
      <c r="J1265" s="131"/>
    </row>
    <row r="1266" spans="2:10" x14ac:dyDescent="0.25">
      <c r="B1266" s="138"/>
      <c r="C1266" s="130"/>
      <c r="D1266" s="130"/>
      <c r="E1266" s="130"/>
      <c r="F1266" s="130"/>
      <c r="G1266" s="129"/>
      <c r="H1266" s="131"/>
      <c r="I1266" s="131"/>
      <c r="J1266" s="131"/>
    </row>
    <row r="1267" spans="2:10" x14ac:dyDescent="0.25">
      <c r="B1267" s="138"/>
      <c r="C1267" s="130"/>
      <c r="D1267" s="130"/>
      <c r="E1267" s="130"/>
      <c r="F1267" s="130"/>
      <c r="G1267" s="129"/>
      <c r="H1267" s="131"/>
      <c r="I1267" s="131"/>
      <c r="J1267" s="131"/>
    </row>
    <row r="1268" spans="2:10" x14ac:dyDescent="0.25">
      <c r="B1268" s="138"/>
      <c r="C1268" s="130"/>
      <c r="D1268" s="130"/>
      <c r="E1268" s="130"/>
      <c r="F1268" s="130"/>
      <c r="G1268" s="129"/>
      <c r="H1268" s="131"/>
      <c r="I1268" s="131"/>
      <c r="J1268" s="131"/>
    </row>
    <row r="1269" spans="2:10" x14ac:dyDescent="0.25">
      <c r="B1269" s="138"/>
      <c r="C1269" s="130"/>
      <c r="D1269" s="130"/>
      <c r="E1269" s="130"/>
      <c r="F1269" s="130"/>
      <c r="G1269" s="129"/>
      <c r="H1269" s="131"/>
      <c r="I1269" s="131"/>
      <c r="J1269" s="131"/>
    </row>
    <row r="1270" spans="2:10" x14ac:dyDescent="0.25">
      <c r="B1270" s="138"/>
      <c r="C1270" s="130"/>
      <c r="D1270" s="130"/>
      <c r="E1270" s="130"/>
      <c r="F1270" s="130"/>
      <c r="G1270" s="129"/>
      <c r="H1270" s="131"/>
      <c r="I1270" s="131"/>
      <c r="J1270" s="131"/>
    </row>
    <row r="1271" spans="2:10" x14ac:dyDescent="0.25">
      <c r="B1271" s="138"/>
      <c r="C1271" s="130"/>
      <c r="D1271" s="130"/>
      <c r="E1271" s="130"/>
      <c r="F1271" s="130"/>
      <c r="G1271" s="129"/>
      <c r="H1271" s="131"/>
      <c r="I1271" s="131"/>
      <c r="J1271" s="131"/>
    </row>
    <row r="1272" spans="2:10" x14ac:dyDescent="0.25">
      <c r="B1272" s="138"/>
      <c r="C1272" s="130"/>
      <c r="D1272" s="130"/>
      <c r="E1272" s="130"/>
      <c r="F1272" s="130"/>
      <c r="G1272" s="129"/>
      <c r="H1272" s="131"/>
      <c r="I1272" s="131"/>
      <c r="J1272" s="131"/>
    </row>
    <row r="1273" spans="2:10" x14ac:dyDescent="0.25">
      <c r="B1273" s="138"/>
      <c r="C1273" s="130"/>
      <c r="D1273" s="130"/>
      <c r="E1273" s="130"/>
      <c r="F1273" s="130"/>
      <c r="G1273" s="129"/>
      <c r="H1273" s="131"/>
      <c r="I1273" s="131"/>
      <c r="J1273" s="131"/>
    </row>
    <row r="1274" spans="2:10" x14ac:dyDescent="0.25">
      <c r="B1274" s="138"/>
      <c r="C1274" s="130"/>
      <c r="D1274" s="130"/>
      <c r="E1274" s="130"/>
      <c r="F1274" s="130"/>
      <c r="G1274" s="129"/>
      <c r="H1274" s="131"/>
      <c r="I1274" s="131"/>
      <c r="J1274" s="131"/>
    </row>
    <row r="1275" spans="2:10" x14ac:dyDescent="0.25">
      <c r="B1275" s="138"/>
      <c r="C1275" s="130"/>
      <c r="D1275" s="130"/>
      <c r="E1275" s="130"/>
      <c r="F1275" s="130"/>
      <c r="G1275" s="129"/>
      <c r="H1275" s="131"/>
      <c r="I1275" s="131"/>
      <c r="J1275" s="131"/>
    </row>
    <row r="1276" spans="2:10" x14ac:dyDescent="0.25">
      <c r="B1276" s="138"/>
      <c r="C1276" s="130"/>
      <c r="D1276" s="130"/>
      <c r="E1276" s="130"/>
      <c r="F1276" s="130"/>
      <c r="G1276" s="129"/>
      <c r="H1276" s="131"/>
      <c r="I1276" s="131"/>
      <c r="J1276" s="131"/>
    </row>
    <row r="1277" spans="2:10" x14ac:dyDescent="0.25">
      <c r="B1277" s="138"/>
      <c r="C1277" s="130"/>
      <c r="D1277" s="130"/>
      <c r="E1277" s="130"/>
      <c r="F1277" s="130"/>
      <c r="G1277" s="129"/>
      <c r="H1277" s="131"/>
      <c r="I1277" s="131"/>
      <c r="J1277" s="131"/>
    </row>
    <row r="1278" spans="2:10" x14ac:dyDescent="0.25">
      <c r="B1278" s="138"/>
      <c r="C1278" s="130"/>
      <c r="D1278" s="130"/>
      <c r="E1278" s="130"/>
      <c r="F1278" s="130"/>
      <c r="G1278" s="129"/>
      <c r="H1278" s="131"/>
      <c r="I1278" s="131"/>
      <c r="J1278" s="131"/>
    </row>
    <row r="1279" spans="2:10" x14ac:dyDescent="0.25">
      <c r="B1279" s="138"/>
      <c r="C1279" s="130"/>
      <c r="D1279" s="130"/>
      <c r="E1279" s="130"/>
      <c r="F1279" s="130"/>
      <c r="G1279" s="129"/>
      <c r="H1279" s="131"/>
      <c r="I1279" s="131"/>
      <c r="J1279" s="131"/>
    </row>
    <row r="1280" spans="2:10" x14ac:dyDescent="0.25">
      <c r="B1280" s="138"/>
      <c r="C1280" s="130"/>
      <c r="D1280" s="130"/>
      <c r="E1280" s="130"/>
      <c r="F1280" s="130"/>
      <c r="G1280" s="129"/>
      <c r="H1280" s="131"/>
      <c r="I1280" s="131"/>
      <c r="J1280" s="131"/>
    </row>
    <row r="1281" spans="2:10" x14ac:dyDescent="0.25">
      <c r="B1281" s="138"/>
      <c r="C1281" s="130"/>
      <c r="D1281" s="130"/>
      <c r="E1281" s="130"/>
      <c r="F1281" s="130"/>
      <c r="G1281" s="129"/>
      <c r="H1281" s="131"/>
      <c r="I1281" s="131"/>
      <c r="J1281" s="131"/>
    </row>
    <row r="1282" spans="2:10" x14ac:dyDescent="0.25">
      <c r="B1282" s="138"/>
      <c r="C1282" s="130"/>
      <c r="D1282" s="130"/>
      <c r="E1282" s="130"/>
      <c r="F1282" s="130"/>
      <c r="G1282" s="129"/>
      <c r="H1282" s="131"/>
      <c r="I1282" s="131"/>
      <c r="J1282" s="131"/>
    </row>
    <row r="1283" spans="2:10" x14ac:dyDescent="0.25">
      <c r="B1283" s="138"/>
      <c r="C1283" s="130"/>
      <c r="D1283" s="130"/>
      <c r="E1283" s="130"/>
      <c r="F1283" s="130"/>
      <c r="G1283" s="129"/>
      <c r="H1283" s="131"/>
      <c r="I1283" s="131"/>
      <c r="J1283" s="131"/>
    </row>
    <row r="1284" spans="2:10" x14ac:dyDescent="0.25">
      <c r="B1284" s="138"/>
      <c r="C1284" s="130"/>
      <c r="D1284" s="130"/>
      <c r="E1284" s="130"/>
      <c r="F1284" s="130"/>
      <c r="G1284" s="129"/>
      <c r="H1284" s="131"/>
      <c r="I1284" s="131"/>
      <c r="J1284" s="131"/>
    </row>
    <row r="1285" spans="2:10" x14ac:dyDescent="0.25">
      <c r="B1285" s="138"/>
      <c r="C1285" s="130"/>
      <c r="D1285" s="130"/>
      <c r="E1285" s="130"/>
      <c r="F1285" s="130"/>
      <c r="G1285" s="129"/>
      <c r="H1285" s="131"/>
      <c r="I1285" s="131"/>
      <c r="J1285" s="131"/>
    </row>
    <row r="1286" spans="2:10" x14ac:dyDescent="0.25">
      <c r="B1286" s="138"/>
      <c r="C1286" s="130"/>
      <c r="D1286" s="130"/>
      <c r="E1286" s="130"/>
      <c r="F1286" s="130"/>
      <c r="G1286" s="129"/>
      <c r="H1286" s="131"/>
      <c r="I1286" s="131"/>
      <c r="J1286" s="131"/>
    </row>
    <row r="1287" spans="2:10" x14ac:dyDescent="0.25">
      <c r="B1287" s="138"/>
      <c r="C1287" s="130"/>
      <c r="D1287" s="130"/>
      <c r="E1287" s="130"/>
      <c r="F1287" s="130"/>
      <c r="G1287" s="129"/>
      <c r="H1287" s="131"/>
      <c r="I1287" s="131"/>
      <c r="J1287" s="131"/>
    </row>
    <row r="1288" spans="2:10" x14ac:dyDescent="0.25">
      <c r="B1288" s="138"/>
      <c r="C1288" s="130"/>
      <c r="D1288" s="130"/>
      <c r="E1288" s="130"/>
      <c r="F1288" s="130"/>
      <c r="G1288" s="129"/>
      <c r="H1288" s="131"/>
      <c r="I1288" s="131"/>
      <c r="J1288" s="131"/>
    </row>
    <row r="1289" spans="2:10" x14ac:dyDescent="0.25">
      <c r="B1289" s="138"/>
      <c r="C1289" s="130"/>
      <c r="D1289" s="130"/>
      <c r="E1289" s="130"/>
      <c r="F1289" s="130"/>
      <c r="G1289" s="129"/>
      <c r="H1289" s="131"/>
      <c r="I1289" s="131"/>
      <c r="J1289" s="131"/>
    </row>
    <row r="1290" spans="2:10" x14ac:dyDescent="0.25">
      <c r="B1290" s="138"/>
      <c r="C1290" s="130"/>
      <c r="D1290" s="130"/>
      <c r="E1290" s="130"/>
      <c r="F1290" s="130"/>
      <c r="G1290" s="129"/>
      <c r="H1290" s="131"/>
      <c r="I1290" s="131"/>
      <c r="J1290" s="131"/>
    </row>
    <row r="1291" spans="2:10" x14ac:dyDescent="0.25">
      <c r="B1291" s="138"/>
      <c r="C1291" s="130"/>
      <c r="D1291" s="130"/>
      <c r="E1291" s="130"/>
      <c r="F1291" s="130"/>
      <c r="G1291" s="129"/>
      <c r="H1291" s="131"/>
      <c r="I1291" s="131"/>
      <c r="J1291" s="131"/>
    </row>
    <row r="1292" spans="2:10" x14ac:dyDescent="0.25">
      <c r="B1292" s="138"/>
      <c r="C1292" s="130"/>
      <c r="D1292" s="130"/>
      <c r="E1292" s="130"/>
      <c r="F1292" s="130"/>
      <c r="G1292" s="129"/>
      <c r="H1292" s="131"/>
      <c r="I1292" s="131"/>
      <c r="J1292" s="131"/>
    </row>
    <row r="1293" spans="2:10" x14ac:dyDescent="0.25">
      <c r="B1293" s="138"/>
      <c r="C1293" s="130"/>
      <c r="D1293" s="130"/>
      <c r="E1293" s="130"/>
      <c r="F1293" s="130"/>
      <c r="G1293" s="129"/>
      <c r="H1293" s="131"/>
      <c r="I1293" s="131"/>
      <c r="J1293" s="131"/>
    </row>
    <row r="1294" spans="2:10" x14ac:dyDescent="0.25">
      <c r="B1294" s="138"/>
      <c r="C1294" s="130"/>
      <c r="D1294" s="130"/>
      <c r="E1294" s="130"/>
      <c r="F1294" s="130"/>
      <c r="G1294" s="129"/>
      <c r="H1294" s="131"/>
      <c r="I1294" s="131"/>
      <c r="J1294" s="131"/>
    </row>
    <row r="1295" spans="2:10" x14ac:dyDescent="0.25">
      <c r="B1295" s="138"/>
      <c r="C1295" s="130"/>
      <c r="D1295" s="130"/>
      <c r="E1295" s="130"/>
      <c r="F1295" s="130"/>
      <c r="G1295" s="129"/>
      <c r="H1295" s="131"/>
      <c r="I1295" s="131"/>
      <c r="J1295" s="131"/>
    </row>
    <row r="1296" spans="2:10" x14ac:dyDescent="0.25">
      <c r="B1296" s="138"/>
      <c r="C1296" s="130"/>
      <c r="D1296" s="130"/>
      <c r="E1296" s="130"/>
      <c r="F1296" s="130"/>
      <c r="G1296" s="129"/>
      <c r="H1296" s="131"/>
      <c r="I1296" s="131"/>
      <c r="J1296" s="131"/>
    </row>
    <row r="1297" spans="2:10" x14ac:dyDescent="0.25">
      <c r="B1297" s="138"/>
      <c r="C1297" s="130"/>
      <c r="D1297" s="130"/>
      <c r="E1297" s="130"/>
      <c r="F1297" s="130"/>
      <c r="G1297" s="129"/>
      <c r="H1297" s="131"/>
      <c r="I1297" s="131"/>
      <c r="J1297" s="131"/>
    </row>
    <row r="1298" spans="2:10" x14ac:dyDescent="0.25">
      <c r="B1298" s="138"/>
      <c r="C1298" s="130"/>
      <c r="D1298" s="130"/>
      <c r="E1298" s="130"/>
      <c r="F1298" s="130"/>
      <c r="G1298" s="129"/>
      <c r="H1298" s="131"/>
      <c r="I1298" s="131"/>
      <c r="J1298" s="131"/>
    </row>
    <row r="1299" spans="2:10" x14ac:dyDescent="0.25">
      <c r="B1299" s="138"/>
      <c r="C1299" s="130"/>
      <c r="D1299" s="130"/>
      <c r="E1299" s="130"/>
      <c r="F1299" s="130"/>
      <c r="G1299" s="129"/>
      <c r="H1299" s="131"/>
      <c r="I1299" s="131"/>
      <c r="J1299" s="131"/>
    </row>
    <row r="1300" spans="2:10" x14ac:dyDescent="0.25">
      <c r="B1300" s="138"/>
      <c r="C1300" s="130"/>
      <c r="D1300" s="130"/>
      <c r="E1300" s="130"/>
      <c r="F1300" s="130"/>
      <c r="G1300" s="129"/>
      <c r="H1300" s="131"/>
      <c r="I1300" s="131"/>
      <c r="J1300" s="131"/>
    </row>
    <row r="1301" spans="2:10" x14ac:dyDescent="0.25">
      <c r="B1301" s="138"/>
      <c r="C1301" s="130"/>
      <c r="D1301" s="130"/>
      <c r="E1301" s="130"/>
      <c r="F1301" s="130"/>
      <c r="G1301" s="129"/>
      <c r="H1301" s="131"/>
      <c r="I1301" s="131"/>
      <c r="J1301" s="131"/>
    </row>
    <row r="1302" spans="2:10" x14ac:dyDescent="0.25">
      <c r="B1302" s="138"/>
      <c r="C1302" s="130"/>
      <c r="D1302" s="130"/>
      <c r="E1302" s="130"/>
      <c r="F1302" s="130"/>
      <c r="G1302" s="129"/>
      <c r="H1302" s="131"/>
      <c r="I1302" s="131"/>
      <c r="J1302" s="131"/>
    </row>
    <row r="1303" spans="2:10" x14ac:dyDescent="0.25">
      <c r="B1303" s="138"/>
      <c r="C1303" s="130"/>
      <c r="D1303" s="130"/>
      <c r="E1303" s="130"/>
      <c r="F1303" s="130"/>
      <c r="G1303" s="129"/>
      <c r="H1303" s="131"/>
      <c r="I1303" s="131"/>
      <c r="J1303" s="131"/>
    </row>
    <row r="1304" spans="2:10" x14ac:dyDescent="0.25">
      <c r="B1304" s="138"/>
      <c r="C1304" s="130"/>
      <c r="D1304" s="130"/>
      <c r="E1304" s="130"/>
      <c r="F1304" s="130"/>
      <c r="G1304" s="129"/>
      <c r="H1304" s="131"/>
      <c r="I1304" s="131"/>
      <c r="J1304" s="131"/>
    </row>
    <row r="1305" spans="2:10" x14ac:dyDescent="0.25">
      <c r="B1305" s="138"/>
      <c r="C1305" s="130"/>
      <c r="D1305" s="130"/>
      <c r="E1305" s="130"/>
      <c r="F1305" s="130"/>
      <c r="G1305" s="129"/>
      <c r="H1305" s="131"/>
      <c r="I1305" s="131"/>
      <c r="J1305" s="131"/>
    </row>
    <row r="1306" spans="2:10" x14ac:dyDescent="0.25">
      <c r="B1306" s="138"/>
      <c r="C1306" s="130"/>
      <c r="D1306" s="130"/>
      <c r="E1306" s="130"/>
      <c r="F1306" s="130"/>
      <c r="G1306" s="129"/>
      <c r="H1306" s="131"/>
      <c r="I1306" s="131"/>
      <c r="J1306" s="131"/>
    </row>
    <row r="1307" spans="2:10" x14ac:dyDescent="0.25">
      <c r="B1307" s="138"/>
      <c r="C1307" s="130"/>
      <c r="D1307" s="130"/>
      <c r="E1307" s="130"/>
      <c r="F1307" s="130"/>
      <c r="G1307" s="129"/>
      <c r="H1307" s="131"/>
      <c r="I1307" s="131"/>
      <c r="J1307" s="131"/>
    </row>
    <row r="1308" spans="2:10" x14ac:dyDescent="0.25">
      <c r="B1308" s="138"/>
      <c r="C1308" s="130"/>
      <c r="D1308" s="130"/>
      <c r="E1308" s="130"/>
      <c r="F1308" s="130"/>
      <c r="G1308" s="129"/>
      <c r="H1308" s="131"/>
      <c r="I1308" s="131"/>
      <c r="J1308" s="131"/>
    </row>
    <row r="1309" spans="2:10" x14ac:dyDescent="0.25">
      <c r="B1309" s="138"/>
      <c r="C1309" s="130"/>
      <c r="D1309" s="130"/>
      <c r="E1309" s="130"/>
      <c r="F1309" s="130"/>
      <c r="G1309" s="129"/>
      <c r="H1309" s="131"/>
      <c r="I1309" s="131"/>
      <c r="J1309" s="131"/>
    </row>
    <row r="1310" spans="2:10" x14ac:dyDescent="0.25">
      <c r="B1310" s="138"/>
      <c r="C1310" s="130"/>
      <c r="D1310" s="130"/>
      <c r="E1310" s="130"/>
      <c r="F1310" s="130"/>
      <c r="G1310" s="129"/>
      <c r="H1310" s="131"/>
      <c r="I1310" s="131"/>
      <c r="J1310" s="131"/>
    </row>
    <row r="1311" spans="2:10" x14ac:dyDescent="0.25">
      <c r="B1311" s="138"/>
      <c r="C1311" s="130"/>
      <c r="D1311" s="130"/>
      <c r="E1311" s="130"/>
      <c r="F1311" s="130"/>
      <c r="G1311" s="129"/>
      <c r="H1311" s="131"/>
      <c r="I1311" s="131"/>
      <c r="J1311" s="131"/>
    </row>
    <row r="1312" spans="2:10" x14ac:dyDescent="0.25">
      <c r="B1312" s="138"/>
      <c r="C1312" s="130"/>
      <c r="D1312" s="130"/>
      <c r="E1312" s="130"/>
      <c r="F1312" s="130"/>
      <c r="G1312" s="129"/>
      <c r="H1312" s="131"/>
      <c r="I1312" s="131"/>
      <c r="J1312" s="131"/>
    </row>
    <row r="1313" spans="2:10" x14ac:dyDescent="0.25">
      <c r="B1313" s="138"/>
      <c r="C1313" s="130"/>
      <c r="D1313" s="130"/>
      <c r="E1313" s="130"/>
      <c r="F1313" s="130"/>
      <c r="G1313" s="129"/>
      <c r="H1313" s="131"/>
      <c r="I1313" s="131"/>
      <c r="J1313" s="131"/>
    </row>
    <row r="1314" spans="2:10" x14ac:dyDescent="0.25">
      <c r="B1314" s="138"/>
      <c r="C1314" s="130"/>
      <c r="D1314" s="130"/>
      <c r="E1314" s="130"/>
      <c r="F1314" s="130"/>
      <c r="G1314" s="129"/>
      <c r="H1314" s="131"/>
      <c r="I1314" s="131"/>
      <c r="J1314" s="131"/>
    </row>
    <row r="1315" spans="2:10" x14ac:dyDescent="0.25">
      <c r="B1315" s="138"/>
      <c r="C1315" s="130"/>
      <c r="D1315" s="130"/>
      <c r="E1315" s="130"/>
      <c r="F1315" s="130"/>
      <c r="G1315" s="129"/>
      <c r="H1315" s="131"/>
      <c r="I1315" s="131"/>
      <c r="J1315" s="131"/>
    </row>
    <row r="1316" spans="2:10" x14ac:dyDescent="0.25">
      <c r="B1316" s="138"/>
      <c r="C1316" s="130"/>
      <c r="D1316" s="130"/>
      <c r="E1316" s="130"/>
      <c r="F1316" s="130"/>
      <c r="G1316" s="129"/>
      <c r="H1316" s="131"/>
      <c r="I1316" s="131"/>
      <c r="J1316" s="131"/>
    </row>
    <row r="1317" spans="2:10" x14ac:dyDescent="0.25">
      <c r="B1317" s="138"/>
      <c r="C1317" s="130"/>
      <c r="D1317" s="130"/>
      <c r="E1317" s="130"/>
      <c r="F1317" s="130"/>
      <c r="G1317" s="129"/>
      <c r="H1317" s="131"/>
      <c r="I1317" s="131"/>
      <c r="J1317" s="131"/>
    </row>
    <row r="1318" spans="2:10" x14ac:dyDescent="0.25">
      <c r="B1318" s="138"/>
      <c r="C1318" s="130"/>
      <c r="D1318" s="130"/>
      <c r="E1318" s="130"/>
      <c r="F1318" s="130"/>
      <c r="G1318" s="129"/>
      <c r="H1318" s="131"/>
      <c r="I1318" s="131"/>
      <c r="J1318" s="131"/>
    </row>
    <row r="1319" spans="2:10" x14ac:dyDescent="0.25">
      <c r="B1319" s="138"/>
      <c r="C1319" s="130"/>
      <c r="D1319" s="130"/>
      <c r="E1319" s="130"/>
      <c r="F1319" s="130"/>
      <c r="G1319" s="129"/>
      <c r="H1319" s="131"/>
      <c r="I1319" s="131"/>
      <c r="J1319" s="131"/>
    </row>
    <row r="1320" spans="2:10" x14ac:dyDescent="0.25">
      <c r="B1320" s="138"/>
      <c r="C1320" s="130"/>
      <c r="D1320" s="130"/>
      <c r="E1320" s="130"/>
      <c r="F1320" s="130"/>
      <c r="G1320" s="129"/>
      <c r="H1320" s="131"/>
      <c r="I1320" s="131"/>
      <c r="J1320" s="131"/>
    </row>
    <row r="1321" spans="2:10" x14ac:dyDescent="0.25">
      <c r="B1321" s="138"/>
      <c r="C1321" s="130"/>
      <c r="D1321" s="130"/>
      <c r="E1321" s="130"/>
      <c r="F1321" s="130"/>
      <c r="G1321" s="129"/>
      <c r="H1321" s="131"/>
      <c r="I1321" s="131"/>
      <c r="J1321" s="131"/>
    </row>
    <row r="1322" spans="2:10" x14ac:dyDescent="0.25">
      <c r="B1322" s="138"/>
      <c r="C1322" s="130"/>
      <c r="D1322" s="130"/>
      <c r="E1322" s="130"/>
      <c r="F1322" s="130"/>
      <c r="G1322" s="129"/>
      <c r="H1322" s="131"/>
      <c r="I1322" s="131"/>
      <c r="J1322" s="131"/>
    </row>
    <row r="1323" spans="2:10" x14ac:dyDescent="0.25">
      <c r="B1323" s="138"/>
      <c r="C1323" s="130"/>
      <c r="D1323" s="130"/>
      <c r="E1323" s="130"/>
      <c r="F1323" s="130"/>
      <c r="G1323" s="129"/>
      <c r="H1323" s="131"/>
      <c r="I1323" s="131"/>
      <c r="J1323" s="131"/>
    </row>
    <row r="1324" spans="2:10" x14ac:dyDescent="0.25">
      <c r="B1324" s="138"/>
      <c r="C1324" s="130"/>
      <c r="D1324" s="130"/>
      <c r="E1324" s="130"/>
      <c r="F1324" s="130"/>
      <c r="G1324" s="129"/>
      <c r="H1324" s="131"/>
      <c r="I1324" s="131"/>
      <c r="J1324" s="131"/>
    </row>
    <row r="1325" spans="2:10" x14ac:dyDescent="0.25">
      <c r="B1325" s="138"/>
      <c r="C1325" s="130"/>
      <c r="D1325" s="130"/>
      <c r="E1325" s="130"/>
      <c r="F1325" s="130"/>
      <c r="G1325" s="129"/>
      <c r="H1325" s="131"/>
      <c r="I1325" s="131"/>
      <c r="J1325" s="131"/>
    </row>
    <row r="1326" spans="2:10" x14ac:dyDescent="0.25">
      <c r="B1326" s="138"/>
      <c r="C1326" s="130"/>
      <c r="D1326" s="130"/>
      <c r="E1326" s="130"/>
      <c r="F1326" s="130"/>
      <c r="G1326" s="129"/>
      <c r="H1326" s="131"/>
      <c r="I1326" s="131"/>
      <c r="J1326" s="131"/>
    </row>
    <row r="1327" spans="2:10" x14ac:dyDescent="0.25">
      <c r="B1327" s="138"/>
      <c r="C1327" s="130"/>
      <c r="D1327" s="130"/>
      <c r="E1327" s="130"/>
      <c r="F1327" s="130"/>
      <c r="G1327" s="129"/>
      <c r="H1327" s="131"/>
      <c r="I1327" s="131"/>
      <c r="J1327" s="131"/>
    </row>
    <row r="1328" spans="2:10" x14ac:dyDescent="0.25">
      <c r="B1328" s="138"/>
      <c r="C1328" s="130"/>
      <c r="D1328" s="130"/>
      <c r="E1328" s="130"/>
      <c r="F1328" s="130"/>
      <c r="G1328" s="129"/>
      <c r="H1328" s="131"/>
      <c r="I1328" s="131"/>
      <c r="J1328" s="131"/>
    </row>
    <row r="1329" spans="2:10" x14ac:dyDescent="0.25">
      <c r="B1329" s="138"/>
      <c r="C1329" s="130"/>
      <c r="D1329" s="130"/>
      <c r="E1329" s="130"/>
      <c r="F1329" s="130"/>
      <c r="G1329" s="129"/>
      <c r="H1329" s="131"/>
      <c r="I1329" s="131"/>
      <c r="J1329" s="131"/>
    </row>
    <row r="1330" spans="2:10" x14ac:dyDescent="0.25">
      <c r="B1330" s="138"/>
      <c r="C1330" s="130"/>
      <c r="D1330" s="130"/>
      <c r="E1330" s="130"/>
      <c r="F1330" s="130"/>
      <c r="G1330" s="129"/>
      <c r="H1330" s="131"/>
      <c r="I1330" s="131"/>
      <c r="J1330" s="131"/>
    </row>
    <row r="1331" spans="2:10" x14ac:dyDescent="0.25">
      <c r="B1331" s="138"/>
      <c r="C1331" s="130"/>
      <c r="D1331" s="130"/>
      <c r="E1331" s="130"/>
      <c r="F1331" s="130"/>
      <c r="G1331" s="129"/>
      <c r="H1331" s="131"/>
      <c r="I1331" s="131"/>
      <c r="J1331" s="131"/>
    </row>
    <row r="1332" spans="2:10" x14ac:dyDescent="0.25">
      <c r="B1332" s="138"/>
      <c r="C1332" s="130"/>
      <c r="D1332" s="130"/>
      <c r="E1332" s="130"/>
      <c r="F1332" s="130"/>
      <c r="G1332" s="129"/>
      <c r="H1332" s="131"/>
      <c r="I1332" s="131"/>
      <c r="J1332" s="131"/>
    </row>
    <row r="1333" spans="2:10" x14ac:dyDescent="0.25">
      <c r="B1333" s="138"/>
      <c r="C1333" s="130"/>
      <c r="D1333" s="130"/>
      <c r="E1333" s="130"/>
      <c r="F1333" s="130"/>
      <c r="G1333" s="129"/>
      <c r="H1333" s="131"/>
      <c r="I1333" s="131"/>
      <c r="J1333" s="131"/>
    </row>
    <row r="1334" spans="2:10" x14ac:dyDescent="0.25">
      <c r="B1334" s="138"/>
      <c r="C1334" s="130"/>
      <c r="D1334" s="130"/>
      <c r="E1334" s="130"/>
      <c r="F1334" s="130"/>
      <c r="G1334" s="129"/>
      <c r="H1334" s="131"/>
      <c r="I1334" s="131"/>
      <c r="J1334" s="131"/>
    </row>
    <row r="1335" spans="2:10" x14ac:dyDescent="0.25">
      <c r="B1335" s="138"/>
      <c r="C1335" s="130"/>
      <c r="D1335" s="130"/>
      <c r="E1335" s="130"/>
      <c r="F1335" s="130"/>
      <c r="G1335" s="129"/>
      <c r="H1335" s="131"/>
      <c r="I1335" s="131"/>
      <c r="J1335" s="131"/>
    </row>
    <row r="1336" spans="2:10" x14ac:dyDescent="0.25">
      <c r="B1336" s="138"/>
      <c r="C1336" s="130"/>
      <c r="D1336" s="130"/>
      <c r="E1336" s="130"/>
      <c r="F1336" s="130"/>
      <c r="G1336" s="129"/>
      <c r="H1336" s="131"/>
      <c r="I1336" s="131"/>
      <c r="J1336" s="131"/>
    </row>
    <row r="1337" spans="2:10" x14ac:dyDescent="0.25">
      <c r="B1337" s="138"/>
      <c r="C1337" s="130"/>
      <c r="D1337" s="130"/>
      <c r="E1337" s="130"/>
      <c r="F1337" s="130"/>
      <c r="G1337" s="129"/>
      <c r="H1337" s="131"/>
      <c r="I1337" s="131"/>
      <c r="J1337" s="131"/>
    </row>
    <row r="1338" spans="2:10" x14ac:dyDescent="0.25">
      <c r="B1338" s="138"/>
      <c r="C1338" s="130"/>
      <c r="D1338" s="130"/>
      <c r="E1338" s="130"/>
      <c r="F1338" s="130"/>
      <c r="G1338" s="129"/>
      <c r="H1338" s="131"/>
      <c r="I1338" s="131"/>
      <c r="J1338" s="131"/>
    </row>
    <row r="1339" spans="2:10" x14ac:dyDescent="0.25">
      <c r="B1339" s="138"/>
      <c r="C1339" s="130"/>
      <c r="D1339" s="130"/>
      <c r="E1339" s="130"/>
      <c r="F1339" s="130"/>
      <c r="G1339" s="129"/>
      <c r="H1339" s="131"/>
      <c r="I1339" s="131"/>
      <c r="J1339" s="131"/>
    </row>
    <row r="1340" spans="2:10" x14ac:dyDescent="0.25">
      <c r="B1340" s="138"/>
      <c r="C1340" s="130"/>
      <c r="D1340" s="130"/>
      <c r="E1340" s="130"/>
      <c r="F1340" s="130"/>
      <c r="G1340" s="129"/>
      <c r="H1340" s="131"/>
      <c r="I1340" s="131"/>
      <c r="J1340" s="131"/>
    </row>
    <row r="1341" spans="2:10" x14ac:dyDescent="0.25">
      <c r="B1341" s="138"/>
      <c r="C1341" s="130"/>
      <c r="D1341" s="130"/>
      <c r="E1341" s="130"/>
      <c r="F1341" s="130"/>
      <c r="G1341" s="129"/>
      <c r="H1341" s="131"/>
      <c r="I1341" s="131"/>
      <c r="J1341" s="131"/>
    </row>
    <row r="1342" spans="2:10" x14ac:dyDescent="0.25">
      <c r="B1342" s="138"/>
      <c r="C1342" s="130"/>
      <c r="D1342" s="130"/>
      <c r="E1342" s="130"/>
      <c r="F1342" s="130"/>
      <c r="G1342" s="129"/>
      <c r="H1342" s="131"/>
      <c r="I1342" s="131"/>
      <c r="J1342" s="131"/>
    </row>
    <row r="1343" spans="2:10" x14ac:dyDescent="0.25">
      <c r="B1343" s="138"/>
      <c r="C1343" s="130"/>
      <c r="D1343" s="130"/>
      <c r="E1343" s="130"/>
      <c r="F1343" s="130"/>
      <c r="G1343" s="129"/>
      <c r="H1343" s="131"/>
      <c r="I1343" s="131"/>
      <c r="J1343" s="131"/>
    </row>
    <row r="1344" spans="2:10" x14ac:dyDescent="0.25">
      <c r="B1344" s="138"/>
      <c r="C1344" s="130"/>
      <c r="D1344" s="130"/>
      <c r="E1344" s="130"/>
      <c r="F1344" s="130"/>
      <c r="G1344" s="129"/>
      <c r="H1344" s="131"/>
      <c r="I1344" s="131"/>
      <c r="J1344" s="131"/>
    </row>
    <row r="1345" spans="2:10" x14ac:dyDescent="0.25">
      <c r="B1345" s="138"/>
      <c r="C1345" s="130"/>
      <c r="D1345" s="130"/>
      <c r="E1345" s="130"/>
      <c r="F1345" s="130"/>
      <c r="G1345" s="129"/>
      <c r="H1345" s="131"/>
      <c r="I1345" s="131"/>
      <c r="J1345" s="131"/>
    </row>
    <row r="1346" spans="2:10" x14ac:dyDescent="0.25">
      <c r="B1346" s="138"/>
      <c r="C1346" s="130"/>
      <c r="D1346" s="130"/>
      <c r="E1346" s="130"/>
      <c r="F1346" s="130"/>
      <c r="G1346" s="129"/>
      <c r="H1346" s="131"/>
      <c r="I1346" s="131"/>
      <c r="J1346" s="131"/>
    </row>
    <row r="1347" spans="2:10" x14ac:dyDescent="0.25">
      <c r="B1347" s="138"/>
      <c r="C1347" s="130"/>
      <c r="D1347" s="130"/>
      <c r="E1347" s="130"/>
      <c r="F1347" s="130"/>
      <c r="G1347" s="129"/>
      <c r="H1347" s="131"/>
      <c r="I1347" s="131"/>
      <c r="J1347" s="131"/>
    </row>
    <row r="1348" spans="2:10" x14ac:dyDescent="0.25">
      <c r="B1348" s="138"/>
      <c r="C1348" s="130"/>
      <c r="D1348" s="130"/>
      <c r="E1348" s="130"/>
      <c r="F1348" s="130"/>
      <c r="G1348" s="129"/>
      <c r="H1348" s="131"/>
      <c r="I1348" s="131"/>
      <c r="J1348" s="131"/>
    </row>
    <row r="1349" spans="2:10" x14ac:dyDescent="0.25">
      <c r="B1349" s="138"/>
      <c r="C1349" s="130"/>
      <c r="D1349" s="130"/>
      <c r="E1349" s="130"/>
      <c r="F1349" s="130"/>
      <c r="G1349" s="129"/>
      <c r="H1349" s="131"/>
      <c r="I1349" s="131"/>
      <c r="J1349" s="131"/>
    </row>
    <row r="1350" spans="2:10" x14ac:dyDescent="0.25">
      <c r="B1350" s="138"/>
      <c r="C1350" s="130"/>
      <c r="D1350" s="130"/>
      <c r="E1350" s="130"/>
      <c r="F1350" s="130"/>
      <c r="G1350" s="129"/>
      <c r="H1350" s="131"/>
      <c r="I1350" s="131"/>
      <c r="J1350" s="131"/>
    </row>
    <row r="1351" spans="2:10" x14ac:dyDescent="0.25">
      <c r="B1351" s="138"/>
      <c r="C1351" s="130"/>
      <c r="D1351" s="130"/>
      <c r="E1351" s="130"/>
      <c r="F1351" s="130"/>
      <c r="G1351" s="129"/>
      <c r="H1351" s="131"/>
      <c r="I1351" s="131"/>
      <c r="J1351" s="131"/>
    </row>
    <row r="1352" spans="2:10" x14ac:dyDescent="0.25">
      <c r="B1352" s="138"/>
      <c r="C1352" s="130"/>
      <c r="D1352" s="130"/>
      <c r="E1352" s="130"/>
      <c r="F1352" s="130"/>
      <c r="G1352" s="129"/>
      <c r="H1352" s="131"/>
      <c r="I1352" s="131"/>
      <c r="J1352" s="131"/>
    </row>
    <row r="1353" spans="2:10" x14ac:dyDescent="0.25">
      <c r="B1353" s="138"/>
      <c r="C1353" s="130"/>
      <c r="D1353" s="130"/>
      <c r="E1353" s="130"/>
      <c r="F1353" s="130"/>
      <c r="G1353" s="129"/>
      <c r="H1353" s="131"/>
      <c r="I1353" s="131"/>
      <c r="J1353" s="131"/>
    </row>
    <row r="1354" spans="2:10" x14ac:dyDescent="0.25">
      <c r="B1354" s="138"/>
      <c r="C1354" s="130"/>
      <c r="D1354" s="130"/>
      <c r="E1354" s="130"/>
      <c r="F1354" s="130"/>
      <c r="G1354" s="129"/>
      <c r="H1354" s="131"/>
      <c r="I1354" s="131"/>
      <c r="J1354" s="131"/>
    </row>
    <row r="1355" spans="2:10" x14ac:dyDescent="0.25">
      <c r="B1355" s="138"/>
      <c r="C1355" s="130"/>
      <c r="D1355" s="130"/>
      <c r="E1355" s="130"/>
      <c r="F1355" s="130"/>
      <c r="G1355" s="129"/>
      <c r="H1355" s="131"/>
      <c r="I1355" s="131"/>
      <c r="J1355" s="131"/>
    </row>
    <row r="1356" spans="2:10" x14ac:dyDescent="0.25">
      <c r="B1356" s="138"/>
      <c r="C1356" s="130"/>
      <c r="D1356" s="130"/>
      <c r="E1356" s="130"/>
      <c r="F1356" s="130"/>
      <c r="G1356" s="129"/>
      <c r="H1356" s="131"/>
      <c r="I1356" s="131"/>
      <c r="J1356" s="131"/>
    </row>
    <row r="1357" spans="2:10" x14ac:dyDescent="0.25">
      <c r="B1357" s="138"/>
      <c r="C1357" s="130"/>
      <c r="D1357" s="130"/>
      <c r="E1357" s="130"/>
      <c r="F1357" s="130"/>
      <c r="G1357" s="129"/>
      <c r="H1357" s="131"/>
      <c r="I1357" s="131"/>
      <c r="J1357" s="131"/>
    </row>
    <row r="1358" spans="2:10" x14ac:dyDescent="0.25">
      <c r="B1358" s="138"/>
      <c r="C1358" s="130"/>
      <c r="D1358" s="130"/>
      <c r="E1358" s="130"/>
      <c r="F1358" s="130"/>
      <c r="G1358" s="129"/>
      <c r="H1358" s="131"/>
      <c r="I1358" s="131"/>
      <c r="J1358" s="131"/>
    </row>
    <row r="1359" spans="2:10" x14ac:dyDescent="0.25">
      <c r="B1359" s="138"/>
      <c r="C1359" s="130"/>
      <c r="D1359" s="130"/>
      <c r="E1359" s="130"/>
      <c r="F1359" s="130"/>
      <c r="G1359" s="129"/>
      <c r="H1359" s="131"/>
      <c r="I1359" s="131"/>
      <c r="J1359" s="131"/>
    </row>
    <row r="1360" spans="2:10" x14ac:dyDescent="0.25">
      <c r="B1360" s="138"/>
      <c r="C1360" s="130"/>
      <c r="D1360" s="130"/>
      <c r="E1360" s="130"/>
      <c r="F1360" s="130"/>
      <c r="G1360" s="129"/>
      <c r="H1360" s="131"/>
      <c r="I1360" s="131"/>
      <c r="J1360" s="131"/>
    </row>
    <row r="1361" spans="2:10" x14ac:dyDescent="0.25">
      <c r="B1361" s="138"/>
      <c r="C1361" s="130"/>
      <c r="D1361" s="130"/>
      <c r="E1361" s="130"/>
      <c r="F1361" s="130"/>
      <c r="G1361" s="129"/>
      <c r="H1361" s="131"/>
      <c r="I1361" s="131"/>
      <c r="J1361" s="131"/>
    </row>
    <row r="1362" spans="2:10" x14ac:dyDescent="0.25">
      <c r="B1362" s="138"/>
      <c r="C1362" s="130"/>
      <c r="D1362" s="130"/>
      <c r="E1362" s="130"/>
      <c r="F1362" s="130"/>
      <c r="G1362" s="129"/>
      <c r="H1362" s="131"/>
      <c r="I1362" s="131"/>
      <c r="J1362" s="131"/>
    </row>
    <row r="1363" spans="2:10" x14ac:dyDescent="0.25">
      <c r="B1363" s="138"/>
      <c r="C1363" s="130"/>
      <c r="D1363" s="130"/>
      <c r="E1363" s="130"/>
      <c r="F1363" s="130"/>
      <c r="G1363" s="129"/>
      <c r="H1363" s="131"/>
      <c r="I1363" s="131"/>
      <c r="J1363" s="131"/>
    </row>
    <row r="1364" spans="2:10" x14ac:dyDescent="0.25">
      <c r="B1364" s="138"/>
      <c r="C1364" s="130"/>
      <c r="D1364" s="130"/>
      <c r="E1364" s="130"/>
      <c r="F1364" s="130"/>
      <c r="G1364" s="129"/>
      <c r="H1364" s="131"/>
      <c r="I1364" s="131"/>
      <c r="J1364" s="131"/>
    </row>
    <row r="1365" spans="2:10" x14ac:dyDescent="0.25">
      <c r="B1365" s="138"/>
      <c r="C1365" s="130"/>
      <c r="D1365" s="130"/>
      <c r="E1365" s="130"/>
      <c r="F1365" s="130"/>
      <c r="G1365" s="129"/>
      <c r="H1365" s="131"/>
      <c r="I1365" s="131"/>
      <c r="J1365" s="131"/>
    </row>
    <row r="1366" spans="2:10" x14ac:dyDescent="0.25">
      <c r="B1366" s="138"/>
      <c r="C1366" s="130"/>
      <c r="D1366" s="130"/>
      <c r="E1366" s="130"/>
      <c r="F1366" s="130"/>
      <c r="G1366" s="129"/>
      <c r="H1366" s="131"/>
      <c r="I1366" s="131"/>
      <c r="J1366" s="131"/>
    </row>
    <row r="1367" spans="2:10" x14ac:dyDescent="0.25">
      <c r="B1367" s="138"/>
      <c r="C1367" s="130"/>
      <c r="D1367" s="130"/>
      <c r="E1367" s="130"/>
      <c r="F1367" s="130"/>
      <c r="G1367" s="129"/>
      <c r="H1367" s="131"/>
      <c r="I1367" s="131"/>
      <c r="J1367" s="131"/>
    </row>
    <row r="1368" spans="2:10" x14ac:dyDescent="0.25">
      <c r="B1368" s="138"/>
      <c r="C1368" s="130"/>
      <c r="D1368" s="130"/>
      <c r="E1368" s="130"/>
      <c r="F1368" s="130"/>
      <c r="G1368" s="129"/>
      <c r="H1368" s="131"/>
      <c r="I1368" s="131"/>
      <c r="J1368" s="131"/>
    </row>
    <row r="1369" spans="2:10" x14ac:dyDescent="0.25">
      <c r="B1369" s="138"/>
      <c r="C1369" s="130"/>
      <c r="D1369" s="130"/>
      <c r="E1369" s="130"/>
      <c r="F1369" s="130"/>
      <c r="G1369" s="129"/>
      <c r="H1369" s="131"/>
      <c r="I1369" s="131"/>
      <c r="J1369" s="131"/>
    </row>
    <row r="1370" spans="2:10" x14ac:dyDescent="0.25">
      <c r="B1370" s="138"/>
      <c r="C1370" s="130"/>
      <c r="D1370" s="130"/>
      <c r="E1370" s="130"/>
      <c r="F1370" s="130"/>
      <c r="G1370" s="129"/>
      <c r="H1370" s="131"/>
      <c r="I1370" s="131"/>
      <c r="J1370" s="131"/>
    </row>
    <row r="1371" spans="2:10" x14ac:dyDescent="0.25">
      <c r="B1371" s="138"/>
      <c r="C1371" s="130"/>
      <c r="D1371" s="130"/>
      <c r="E1371" s="130"/>
      <c r="F1371" s="130"/>
      <c r="G1371" s="129"/>
      <c r="H1371" s="131"/>
      <c r="I1371" s="131"/>
      <c r="J1371" s="131"/>
    </row>
    <row r="1372" spans="2:10" x14ac:dyDescent="0.25">
      <c r="B1372" s="138"/>
      <c r="C1372" s="130"/>
      <c r="D1372" s="130"/>
      <c r="E1372" s="130"/>
      <c r="F1372" s="130"/>
      <c r="G1372" s="129"/>
      <c r="H1372" s="131"/>
      <c r="I1372" s="131"/>
      <c r="J1372" s="131"/>
    </row>
    <row r="1373" spans="2:10" x14ac:dyDescent="0.25">
      <c r="B1373" s="138"/>
      <c r="C1373" s="130"/>
      <c r="D1373" s="130"/>
      <c r="E1373" s="130"/>
      <c r="F1373" s="130"/>
      <c r="G1373" s="129"/>
      <c r="H1373" s="131"/>
      <c r="I1373" s="131"/>
      <c r="J1373" s="131"/>
    </row>
    <row r="1374" spans="2:10" x14ac:dyDescent="0.25">
      <c r="B1374" s="138"/>
      <c r="C1374" s="130"/>
      <c r="D1374" s="130"/>
      <c r="E1374" s="130"/>
      <c r="F1374" s="130"/>
      <c r="G1374" s="129"/>
      <c r="H1374" s="131"/>
      <c r="I1374" s="131"/>
      <c r="J1374" s="131"/>
    </row>
    <row r="1375" spans="2:10" x14ac:dyDescent="0.25">
      <c r="B1375" s="138"/>
      <c r="C1375" s="130"/>
      <c r="D1375" s="130"/>
      <c r="E1375" s="130"/>
      <c r="F1375" s="130"/>
      <c r="G1375" s="129"/>
      <c r="H1375" s="131"/>
      <c r="I1375" s="131"/>
      <c r="J1375" s="131"/>
    </row>
    <row r="1376" spans="2:10" x14ac:dyDescent="0.25">
      <c r="B1376" s="138"/>
      <c r="C1376" s="130"/>
      <c r="D1376" s="130"/>
      <c r="E1376" s="130"/>
      <c r="F1376" s="130"/>
      <c r="G1376" s="129"/>
      <c r="H1376" s="131"/>
      <c r="I1376" s="131"/>
      <c r="J1376" s="131"/>
    </row>
    <row r="1377" spans="2:10" x14ac:dyDescent="0.25">
      <c r="B1377" s="138"/>
      <c r="C1377" s="130"/>
      <c r="D1377" s="130"/>
      <c r="E1377" s="130"/>
      <c r="F1377" s="130"/>
      <c r="G1377" s="129"/>
      <c r="H1377" s="131"/>
      <c r="I1377" s="131"/>
      <c r="J1377" s="131"/>
    </row>
    <row r="1378" spans="2:10" x14ac:dyDescent="0.25">
      <c r="B1378" s="138"/>
      <c r="C1378" s="130"/>
      <c r="D1378" s="130"/>
      <c r="E1378" s="130"/>
      <c r="F1378" s="130"/>
      <c r="G1378" s="129"/>
      <c r="H1378" s="131"/>
      <c r="I1378" s="131"/>
      <c r="J1378" s="131"/>
    </row>
    <row r="1379" spans="2:10" x14ac:dyDescent="0.25">
      <c r="B1379" s="138"/>
      <c r="C1379" s="130"/>
      <c r="D1379" s="130"/>
      <c r="E1379" s="130"/>
      <c r="F1379" s="130"/>
      <c r="G1379" s="129"/>
      <c r="H1379" s="131"/>
      <c r="I1379" s="131"/>
      <c r="J1379" s="131"/>
    </row>
    <row r="1380" spans="2:10" x14ac:dyDescent="0.25">
      <c r="B1380" s="138"/>
      <c r="C1380" s="130"/>
      <c r="D1380" s="130"/>
      <c r="E1380" s="130"/>
      <c r="F1380" s="130"/>
      <c r="G1380" s="129"/>
      <c r="H1380" s="131"/>
      <c r="I1380" s="131"/>
      <c r="J1380" s="131"/>
    </row>
    <row r="1381" spans="2:10" x14ac:dyDescent="0.25">
      <c r="B1381" s="138"/>
      <c r="C1381" s="130"/>
      <c r="D1381" s="130"/>
      <c r="E1381" s="130"/>
      <c r="F1381" s="130"/>
      <c r="G1381" s="129"/>
      <c r="H1381" s="131"/>
      <c r="I1381" s="131"/>
      <c r="J1381" s="131"/>
    </row>
    <row r="1382" spans="2:10" x14ac:dyDescent="0.25">
      <c r="B1382" s="138"/>
      <c r="C1382" s="130"/>
      <c r="D1382" s="130"/>
      <c r="E1382" s="130"/>
      <c r="F1382" s="130"/>
      <c r="G1382" s="129"/>
      <c r="H1382" s="131"/>
      <c r="I1382" s="131"/>
      <c r="J1382" s="131"/>
    </row>
    <row r="1383" spans="2:10" x14ac:dyDescent="0.25">
      <c r="B1383" s="138"/>
      <c r="C1383" s="130"/>
      <c r="D1383" s="130"/>
      <c r="E1383" s="130"/>
      <c r="F1383" s="130"/>
      <c r="G1383" s="129"/>
      <c r="H1383" s="131"/>
      <c r="I1383" s="131"/>
      <c r="J1383" s="131"/>
    </row>
    <row r="1384" spans="2:10" x14ac:dyDescent="0.25">
      <c r="B1384" s="138"/>
      <c r="C1384" s="130"/>
      <c r="D1384" s="130"/>
      <c r="E1384" s="130"/>
      <c r="F1384" s="130"/>
      <c r="G1384" s="129"/>
      <c r="H1384" s="131"/>
      <c r="I1384" s="131"/>
      <c r="J1384" s="131"/>
    </row>
    <row r="1385" spans="2:10" x14ac:dyDescent="0.25">
      <c r="B1385" s="138"/>
      <c r="C1385" s="130"/>
      <c r="D1385" s="130"/>
      <c r="E1385" s="130"/>
      <c r="F1385" s="130"/>
      <c r="G1385" s="129"/>
      <c r="H1385" s="131"/>
      <c r="I1385" s="131"/>
      <c r="J1385" s="131"/>
    </row>
    <row r="1386" spans="2:10" x14ac:dyDescent="0.25">
      <c r="B1386" s="138"/>
      <c r="C1386" s="130"/>
      <c r="D1386" s="130"/>
      <c r="E1386" s="130"/>
      <c r="F1386" s="130"/>
      <c r="G1386" s="129"/>
      <c r="H1386" s="131"/>
      <c r="I1386" s="131"/>
      <c r="J1386" s="131"/>
    </row>
    <row r="1387" spans="2:10" x14ac:dyDescent="0.25">
      <c r="B1387" s="138"/>
      <c r="C1387" s="130"/>
      <c r="D1387" s="130"/>
      <c r="E1387" s="130"/>
      <c r="F1387" s="130"/>
      <c r="G1387" s="129"/>
      <c r="H1387" s="131"/>
      <c r="I1387" s="131"/>
      <c r="J1387" s="131"/>
    </row>
    <row r="1388" spans="2:10" x14ac:dyDescent="0.25">
      <c r="B1388" s="138"/>
      <c r="C1388" s="130"/>
      <c r="D1388" s="130"/>
      <c r="E1388" s="130"/>
      <c r="F1388" s="130"/>
      <c r="G1388" s="129"/>
      <c r="H1388" s="131"/>
      <c r="I1388" s="131"/>
      <c r="J1388" s="131"/>
    </row>
    <row r="1389" spans="2:10" x14ac:dyDescent="0.25">
      <c r="B1389" s="138"/>
      <c r="C1389" s="130"/>
      <c r="D1389" s="130"/>
      <c r="E1389" s="130"/>
      <c r="F1389" s="130"/>
      <c r="G1389" s="129"/>
      <c r="H1389" s="131"/>
      <c r="I1389" s="131"/>
      <c r="J1389" s="131"/>
    </row>
    <row r="1390" spans="2:10" x14ac:dyDescent="0.25">
      <c r="B1390" s="138"/>
      <c r="C1390" s="130"/>
      <c r="D1390" s="130"/>
      <c r="E1390" s="130"/>
      <c r="F1390" s="130"/>
      <c r="G1390" s="129"/>
      <c r="H1390" s="131"/>
      <c r="I1390" s="131"/>
      <c r="J1390" s="131"/>
    </row>
    <row r="1391" spans="2:10" x14ac:dyDescent="0.25">
      <c r="B1391" s="138"/>
      <c r="C1391" s="130"/>
      <c r="D1391" s="130"/>
      <c r="E1391" s="130"/>
      <c r="F1391" s="130"/>
      <c r="G1391" s="129"/>
      <c r="H1391" s="131"/>
      <c r="I1391" s="131"/>
      <c r="J1391" s="131"/>
    </row>
    <row r="1392" spans="2:10" x14ac:dyDescent="0.25">
      <c r="B1392" s="138"/>
      <c r="C1392" s="130"/>
      <c r="D1392" s="130"/>
      <c r="E1392" s="130"/>
      <c r="F1392" s="130"/>
      <c r="G1392" s="129"/>
      <c r="H1392" s="131"/>
      <c r="I1392" s="131"/>
      <c r="J1392" s="131"/>
    </row>
    <row r="1393" spans="2:10" x14ac:dyDescent="0.25">
      <c r="B1393" s="138"/>
      <c r="C1393" s="130"/>
      <c r="D1393" s="130"/>
      <c r="E1393" s="130"/>
      <c r="F1393" s="130"/>
      <c r="G1393" s="129"/>
      <c r="H1393" s="131"/>
      <c r="I1393" s="131"/>
      <c r="J1393" s="131"/>
    </row>
    <row r="1394" spans="2:10" x14ac:dyDescent="0.25">
      <c r="B1394" s="138"/>
      <c r="C1394" s="130"/>
      <c r="D1394" s="130"/>
      <c r="E1394" s="130"/>
      <c r="F1394" s="130"/>
      <c r="G1394" s="129"/>
      <c r="H1394" s="131"/>
      <c r="I1394" s="131"/>
      <c r="J1394" s="131"/>
    </row>
    <row r="1395" spans="2:10" x14ac:dyDescent="0.25">
      <c r="B1395" s="138"/>
      <c r="C1395" s="130"/>
      <c r="D1395" s="130"/>
      <c r="E1395" s="130"/>
      <c r="F1395" s="130"/>
      <c r="G1395" s="129"/>
      <c r="H1395" s="131"/>
      <c r="I1395" s="131"/>
      <c r="J1395" s="131"/>
    </row>
    <row r="1396" spans="2:10" x14ac:dyDescent="0.25">
      <c r="B1396" s="138"/>
      <c r="C1396" s="130"/>
      <c r="D1396" s="130"/>
      <c r="E1396" s="130"/>
      <c r="F1396" s="130"/>
      <c r="G1396" s="129"/>
      <c r="H1396" s="131"/>
      <c r="I1396" s="131"/>
      <c r="J1396" s="131"/>
    </row>
    <row r="1397" spans="2:10" x14ac:dyDescent="0.25">
      <c r="B1397" s="138"/>
      <c r="C1397" s="130"/>
      <c r="D1397" s="130"/>
      <c r="E1397" s="130"/>
      <c r="F1397" s="130"/>
      <c r="G1397" s="129"/>
      <c r="H1397" s="131"/>
      <c r="I1397" s="131"/>
      <c r="J1397" s="131"/>
    </row>
    <row r="1398" spans="2:10" x14ac:dyDescent="0.25">
      <c r="B1398" s="138"/>
      <c r="C1398" s="130"/>
      <c r="D1398" s="130"/>
      <c r="E1398" s="130"/>
      <c r="F1398" s="130"/>
      <c r="G1398" s="129"/>
      <c r="H1398" s="131"/>
      <c r="I1398" s="131"/>
      <c r="J1398" s="131"/>
    </row>
    <row r="1399" spans="2:10" x14ac:dyDescent="0.25">
      <c r="B1399" s="138"/>
      <c r="C1399" s="130"/>
      <c r="D1399" s="130"/>
      <c r="E1399" s="130"/>
      <c r="F1399" s="130"/>
      <c r="G1399" s="129"/>
      <c r="H1399" s="131"/>
      <c r="I1399" s="131"/>
      <c r="J1399" s="131"/>
    </row>
    <row r="1400" spans="2:10" x14ac:dyDescent="0.25">
      <c r="B1400" s="138"/>
      <c r="C1400" s="130"/>
      <c r="D1400" s="130"/>
      <c r="E1400" s="130"/>
      <c r="F1400" s="130"/>
      <c r="G1400" s="129"/>
      <c r="H1400" s="131"/>
      <c r="I1400" s="131"/>
      <c r="J1400" s="131"/>
    </row>
    <row r="1401" spans="2:10" x14ac:dyDescent="0.25">
      <c r="B1401" s="138"/>
      <c r="C1401" s="130"/>
      <c r="D1401" s="130"/>
      <c r="E1401" s="130"/>
      <c r="F1401" s="130"/>
      <c r="G1401" s="129"/>
      <c r="H1401" s="131"/>
      <c r="I1401" s="131"/>
      <c r="J1401" s="131"/>
    </row>
    <row r="1402" spans="2:10" x14ac:dyDescent="0.25">
      <c r="B1402" s="138"/>
      <c r="C1402" s="130"/>
      <c r="D1402" s="130"/>
      <c r="E1402" s="130"/>
      <c r="F1402" s="130"/>
      <c r="G1402" s="129"/>
      <c r="H1402" s="131"/>
      <c r="I1402" s="131"/>
      <c r="J1402" s="131"/>
    </row>
    <row r="1403" spans="2:10" x14ac:dyDescent="0.25">
      <c r="B1403" s="138"/>
      <c r="C1403" s="130"/>
      <c r="D1403" s="130"/>
      <c r="E1403" s="130"/>
      <c r="F1403" s="130"/>
      <c r="G1403" s="129"/>
      <c r="H1403" s="131"/>
      <c r="I1403" s="131"/>
      <c r="J1403" s="131"/>
    </row>
    <row r="1404" spans="2:10" x14ac:dyDescent="0.25">
      <c r="B1404" s="138"/>
      <c r="C1404" s="130"/>
      <c r="D1404" s="130"/>
      <c r="E1404" s="130"/>
      <c r="F1404" s="130"/>
      <c r="G1404" s="129"/>
      <c r="H1404" s="131"/>
      <c r="I1404" s="131"/>
      <c r="J1404" s="131"/>
    </row>
    <row r="1405" spans="2:10" x14ac:dyDescent="0.25">
      <c r="B1405" s="138"/>
      <c r="C1405" s="130"/>
      <c r="D1405" s="130"/>
      <c r="E1405" s="130"/>
      <c r="F1405" s="130"/>
      <c r="G1405" s="129"/>
      <c r="H1405" s="131"/>
      <c r="I1405" s="131"/>
      <c r="J1405" s="131"/>
    </row>
    <row r="1406" spans="2:10" x14ac:dyDescent="0.25">
      <c r="B1406" s="138"/>
      <c r="C1406" s="130"/>
      <c r="D1406" s="130"/>
      <c r="E1406" s="130"/>
      <c r="F1406" s="130"/>
      <c r="G1406" s="129"/>
      <c r="H1406" s="131"/>
      <c r="I1406" s="131"/>
      <c r="J1406" s="131"/>
    </row>
    <row r="1407" spans="2:10" x14ac:dyDescent="0.25">
      <c r="B1407" s="138"/>
      <c r="C1407" s="130"/>
      <c r="D1407" s="130"/>
      <c r="E1407" s="130"/>
      <c r="F1407" s="130"/>
      <c r="G1407" s="129"/>
      <c r="H1407" s="131"/>
      <c r="I1407" s="131"/>
      <c r="J1407" s="131"/>
    </row>
    <row r="1408" spans="2:10" x14ac:dyDescent="0.25">
      <c r="B1408" s="138"/>
      <c r="C1408" s="130"/>
      <c r="D1408" s="130"/>
      <c r="E1408" s="130"/>
      <c r="F1408" s="130"/>
      <c r="G1408" s="129"/>
      <c r="H1408" s="131"/>
      <c r="I1408" s="131"/>
      <c r="J1408" s="131"/>
    </row>
    <row r="1409" spans="2:10" x14ac:dyDescent="0.25">
      <c r="B1409" s="138"/>
      <c r="C1409" s="130"/>
      <c r="D1409" s="130"/>
      <c r="E1409" s="130"/>
      <c r="F1409" s="130"/>
      <c r="G1409" s="129"/>
      <c r="H1409" s="131"/>
      <c r="I1409" s="131"/>
      <c r="J1409" s="131"/>
    </row>
    <row r="1410" spans="2:10" x14ac:dyDescent="0.25">
      <c r="B1410" s="138"/>
      <c r="C1410" s="130"/>
      <c r="D1410" s="130"/>
      <c r="E1410" s="130"/>
      <c r="F1410" s="130"/>
      <c r="G1410" s="129"/>
      <c r="H1410" s="131"/>
      <c r="I1410" s="131"/>
      <c r="J1410" s="131"/>
    </row>
    <row r="1411" spans="2:10" x14ac:dyDescent="0.25">
      <c r="B1411" s="138"/>
      <c r="C1411" s="130"/>
      <c r="D1411" s="130"/>
      <c r="E1411" s="130"/>
      <c r="F1411" s="130"/>
      <c r="G1411" s="129"/>
      <c r="H1411" s="131"/>
      <c r="I1411" s="131"/>
      <c r="J1411" s="131"/>
    </row>
    <row r="1412" spans="2:10" x14ac:dyDescent="0.25">
      <c r="B1412" s="138"/>
      <c r="C1412" s="130"/>
      <c r="D1412" s="130"/>
      <c r="E1412" s="130"/>
      <c r="F1412" s="130"/>
      <c r="G1412" s="129"/>
      <c r="H1412" s="131"/>
      <c r="I1412" s="131"/>
      <c r="J1412" s="131"/>
    </row>
    <row r="1413" spans="2:10" x14ac:dyDescent="0.25">
      <c r="B1413" s="138"/>
      <c r="C1413" s="130"/>
      <c r="D1413" s="130"/>
      <c r="E1413" s="130"/>
      <c r="F1413" s="130"/>
      <c r="G1413" s="129"/>
      <c r="H1413" s="131"/>
      <c r="I1413" s="131"/>
      <c r="J1413" s="131"/>
    </row>
    <row r="1414" spans="2:10" x14ac:dyDescent="0.25">
      <c r="B1414" s="138"/>
      <c r="C1414" s="130"/>
      <c r="D1414" s="130"/>
      <c r="E1414" s="130"/>
      <c r="F1414" s="130"/>
      <c r="G1414" s="129"/>
      <c r="H1414" s="131"/>
      <c r="I1414" s="131"/>
      <c r="J1414" s="131"/>
    </row>
    <row r="1415" spans="2:10" x14ac:dyDescent="0.25">
      <c r="B1415" s="138"/>
      <c r="C1415" s="130"/>
      <c r="D1415" s="130"/>
      <c r="E1415" s="130"/>
      <c r="F1415" s="130"/>
      <c r="G1415" s="129"/>
      <c r="H1415" s="131"/>
      <c r="I1415" s="131"/>
      <c r="J1415" s="131"/>
    </row>
    <row r="1416" spans="2:10" x14ac:dyDescent="0.25">
      <c r="B1416" s="138"/>
      <c r="C1416" s="130"/>
      <c r="D1416" s="130"/>
      <c r="E1416" s="130"/>
      <c r="F1416" s="130"/>
      <c r="G1416" s="129"/>
      <c r="H1416" s="131"/>
      <c r="I1416" s="131"/>
      <c r="J1416" s="131"/>
    </row>
    <row r="1417" spans="2:10" x14ac:dyDescent="0.25">
      <c r="B1417" s="138"/>
      <c r="C1417" s="130"/>
      <c r="D1417" s="130"/>
      <c r="E1417" s="130"/>
      <c r="F1417" s="130"/>
      <c r="G1417" s="129"/>
      <c r="H1417" s="131"/>
      <c r="I1417" s="131"/>
      <c r="J1417" s="131"/>
    </row>
    <row r="1418" spans="2:10" x14ac:dyDescent="0.25">
      <c r="B1418" s="138"/>
      <c r="C1418" s="130"/>
      <c r="D1418" s="130"/>
      <c r="E1418" s="130"/>
      <c r="F1418" s="130"/>
      <c r="G1418" s="129"/>
      <c r="H1418" s="131"/>
      <c r="I1418" s="131"/>
      <c r="J1418" s="131"/>
    </row>
    <row r="1419" spans="2:10" x14ac:dyDescent="0.25">
      <c r="B1419" s="138"/>
      <c r="C1419" s="130"/>
      <c r="D1419" s="130"/>
      <c r="E1419" s="130"/>
      <c r="F1419" s="130"/>
      <c r="G1419" s="129"/>
      <c r="H1419" s="131"/>
      <c r="I1419" s="131"/>
      <c r="J1419" s="131"/>
    </row>
    <row r="1420" spans="2:10" x14ac:dyDescent="0.25">
      <c r="B1420" s="138"/>
      <c r="C1420" s="130"/>
      <c r="D1420" s="130"/>
      <c r="E1420" s="130"/>
      <c r="F1420" s="130"/>
      <c r="G1420" s="129"/>
      <c r="H1420" s="131"/>
      <c r="I1420" s="131"/>
      <c r="J1420" s="131"/>
    </row>
    <row r="1421" spans="2:10" x14ac:dyDescent="0.25">
      <c r="B1421" s="138"/>
      <c r="C1421" s="130"/>
      <c r="D1421" s="130"/>
      <c r="E1421" s="130"/>
      <c r="F1421" s="130"/>
      <c r="G1421" s="129"/>
      <c r="H1421" s="131"/>
      <c r="I1421" s="131"/>
      <c r="J1421" s="131"/>
    </row>
    <row r="1422" spans="2:10" x14ac:dyDescent="0.25">
      <c r="B1422" s="138"/>
      <c r="C1422" s="130"/>
      <c r="D1422" s="130"/>
      <c r="E1422" s="130"/>
      <c r="F1422" s="130"/>
      <c r="G1422" s="129"/>
      <c r="H1422" s="131"/>
      <c r="I1422" s="131"/>
      <c r="J1422" s="131"/>
    </row>
    <row r="1423" spans="2:10" x14ac:dyDescent="0.25">
      <c r="B1423" s="138"/>
      <c r="C1423" s="130"/>
      <c r="D1423" s="130"/>
      <c r="E1423" s="130"/>
      <c r="F1423" s="130"/>
      <c r="G1423" s="129"/>
      <c r="H1423" s="131"/>
      <c r="I1423" s="131"/>
      <c r="J1423" s="131"/>
    </row>
    <row r="1424" spans="2:10" x14ac:dyDescent="0.25">
      <c r="B1424" s="138"/>
      <c r="C1424" s="130"/>
      <c r="D1424" s="130"/>
      <c r="E1424" s="130"/>
      <c r="F1424" s="130"/>
      <c r="G1424" s="129"/>
      <c r="H1424" s="131"/>
      <c r="I1424" s="131"/>
      <c r="J1424" s="131"/>
    </row>
    <row r="1425" spans="2:10" x14ac:dyDescent="0.25">
      <c r="B1425" s="138"/>
      <c r="C1425" s="130"/>
      <c r="D1425" s="130"/>
      <c r="E1425" s="130"/>
      <c r="F1425" s="130"/>
      <c r="G1425" s="129"/>
      <c r="H1425" s="131"/>
      <c r="I1425" s="131"/>
      <c r="J1425" s="131"/>
    </row>
    <row r="1426" spans="2:10" x14ac:dyDescent="0.25">
      <c r="B1426" s="138"/>
      <c r="C1426" s="130"/>
      <c r="D1426" s="130"/>
      <c r="E1426" s="130"/>
      <c r="F1426" s="130"/>
      <c r="G1426" s="129"/>
      <c r="H1426" s="131"/>
      <c r="I1426" s="131"/>
      <c r="J1426" s="131"/>
    </row>
    <row r="1427" spans="2:10" x14ac:dyDescent="0.25">
      <c r="B1427" s="138"/>
      <c r="C1427" s="130"/>
      <c r="D1427" s="130"/>
      <c r="E1427" s="130"/>
      <c r="F1427" s="130"/>
      <c r="G1427" s="129"/>
      <c r="H1427" s="131"/>
      <c r="I1427" s="131"/>
      <c r="J1427" s="131"/>
    </row>
    <row r="1428" spans="2:10" x14ac:dyDescent="0.25">
      <c r="B1428" s="138"/>
      <c r="C1428" s="130"/>
      <c r="D1428" s="130"/>
      <c r="E1428" s="130"/>
      <c r="F1428" s="130"/>
      <c r="G1428" s="129"/>
      <c r="H1428" s="131"/>
      <c r="I1428" s="131"/>
      <c r="J1428" s="131"/>
    </row>
    <row r="1429" spans="2:10" x14ac:dyDescent="0.25">
      <c r="B1429" s="138"/>
      <c r="C1429" s="130"/>
      <c r="D1429" s="130"/>
      <c r="E1429" s="130"/>
      <c r="F1429" s="130"/>
      <c r="G1429" s="129"/>
      <c r="H1429" s="131"/>
      <c r="I1429" s="131"/>
      <c r="J1429" s="131"/>
    </row>
    <row r="1430" spans="2:10" x14ac:dyDescent="0.25">
      <c r="B1430" s="138"/>
      <c r="C1430" s="130"/>
      <c r="D1430" s="130"/>
      <c r="E1430" s="130"/>
      <c r="F1430" s="130"/>
      <c r="G1430" s="129"/>
      <c r="H1430" s="131"/>
      <c r="I1430" s="131"/>
      <c r="J1430" s="131"/>
    </row>
    <row r="1431" spans="2:10" x14ac:dyDescent="0.25">
      <c r="B1431" s="138"/>
      <c r="C1431" s="130"/>
      <c r="D1431" s="130"/>
      <c r="E1431" s="130"/>
      <c r="F1431" s="130"/>
      <c r="G1431" s="129"/>
      <c r="H1431" s="131"/>
      <c r="I1431" s="131"/>
      <c r="J1431" s="131"/>
    </row>
    <row r="1432" spans="2:10" x14ac:dyDescent="0.25">
      <c r="B1432" s="138"/>
      <c r="C1432" s="130"/>
      <c r="D1432" s="130"/>
      <c r="E1432" s="130"/>
      <c r="F1432" s="130"/>
      <c r="G1432" s="129"/>
      <c r="H1432" s="131"/>
      <c r="I1432" s="131"/>
      <c r="J1432" s="131"/>
    </row>
    <row r="1433" spans="2:10" x14ac:dyDescent="0.25">
      <c r="B1433" s="138"/>
      <c r="C1433" s="130"/>
      <c r="D1433" s="130"/>
      <c r="E1433" s="130"/>
      <c r="F1433" s="130"/>
      <c r="G1433" s="129"/>
      <c r="H1433" s="131"/>
      <c r="I1433" s="131"/>
      <c r="J1433" s="131"/>
    </row>
    <row r="1434" spans="2:10" x14ac:dyDescent="0.25">
      <c r="B1434" s="138"/>
      <c r="C1434" s="130"/>
      <c r="D1434" s="130"/>
      <c r="E1434" s="130"/>
      <c r="F1434" s="130"/>
      <c r="G1434" s="129"/>
      <c r="H1434" s="131"/>
      <c r="I1434" s="131"/>
      <c r="J1434" s="131"/>
    </row>
    <row r="1435" spans="2:10" x14ac:dyDescent="0.25">
      <c r="B1435" s="138"/>
      <c r="C1435" s="130"/>
      <c r="D1435" s="130"/>
      <c r="E1435" s="130"/>
      <c r="F1435" s="130"/>
      <c r="G1435" s="129"/>
      <c r="H1435" s="131"/>
      <c r="I1435" s="131"/>
      <c r="J1435" s="131"/>
    </row>
    <row r="1436" spans="2:10" x14ac:dyDescent="0.25">
      <c r="B1436" s="138"/>
      <c r="C1436" s="130"/>
      <c r="D1436" s="130"/>
      <c r="E1436" s="130"/>
      <c r="F1436" s="130"/>
      <c r="G1436" s="129"/>
      <c r="H1436" s="131"/>
      <c r="I1436" s="131"/>
      <c r="J1436" s="131"/>
    </row>
    <row r="1437" spans="2:10" x14ac:dyDescent="0.25">
      <c r="B1437" s="138"/>
      <c r="C1437" s="130"/>
      <c r="D1437" s="130"/>
      <c r="E1437" s="130"/>
      <c r="F1437" s="130"/>
      <c r="G1437" s="129"/>
      <c r="H1437" s="131"/>
      <c r="I1437" s="131"/>
      <c r="J1437" s="131"/>
    </row>
    <row r="1438" spans="2:10" x14ac:dyDescent="0.25">
      <c r="B1438" s="138"/>
      <c r="C1438" s="130"/>
      <c r="D1438" s="130"/>
      <c r="E1438" s="130"/>
      <c r="F1438" s="130"/>
      <c r="G1438" s="129"/>
      <c r="H1438" s="131"/>
      <c r="I1438" s="131"/>
      <c r="J1438" s="131"/>
    </row>
    <row r="1439" spans="2:10" x14ac:dyDescent="0.25">
      <c r="B1439" s="138"/>
      <c r="C1439" s="130"/>
      <c r="D1439" s="130"/>
      <c r="E1439" s="130"/>
      <c r="F1439" s="130"/>
      <c r="G1439" s="129"/>
      <c r="H1439" s="131"/>
      <c r="I1439" s="131"/>
      <c r="J1439" s="131"/>
    </row>
    <row r="1440" spans="2:10" x14ac:dyDescent="0.25">
      <c r="B1440" s="138"/>
      <c r="C1440" s="130"/>
      <c r="D1440" s="130"/>
      <c r="E1440" s="130"/>
      <c r="F1440" s="130"/>
      <c r="G1440" s="129"/>
      <c r="H1440" s="131"/>
      <c r="I1440" s="131"/>
      <c r="J1440" s="131"/>
    </row>
    <row r="1441" spans="2:10" x14ac:dyDescent="0.25">
      <c r="B1441" s="138"/>
      <c r="C1441" s="130"/>
      <c r="D1441" s="130"/>
      <c r="E1441" s="130"/>
      <c r="F1441" s="130"/>
      <c r="G1441" s="129"/>
      <c r="H1441" s="131"/>
      <c r="I1441" s="131"/>
      <c r="J1441" s="131"/>
    </row>
    <row r="1442" spans="2:10" x14ac:dyDescent="0.25">
      <c r="B1442" s="138"/>
      <c r="C1442" s="130"/>
      <c r="D1442" s="130"/>
      <c r="E1442" s="130"/>
      <c r="F1442" s="130"/>
      <c r="G1442" s="129"/>
      <c r="H1442" s="131"/>
      <c r="I1442" s="131"/>
      <c r="J1442" s="131"/>
    </row>
    <row r="1443" spans="2:10" x14ac:dyDescent="0.25">
      <c r="B1443" s="138"/>
      <c r="C1443" s="130"/>
      <c r="D1443" s="130"/>
      <c r="E1443" s="130"/>
      <c r="F1443" s="130"/>
      <c r="G1443" s="129"/>
      <c r="H1443" s="131"/>
      <c r="I1443" s="131"/>
      <c r="J1443" s="131"/>
    </row>
    <row r="1444" spans="2:10" x14ac:dyDescent="0.25">
      <c r="B1444" s="138"/>
      <c r="C1444" s="130"/>
      <c r="D1444" s="130"/>
      <c r="E1444" s="130"/>
      <c r="F1444" s="130"/>
      <c r="G1444" s="129"/>
      <c r="H1444" s="131"/>
      <c r="I1444" s="131"/>
      <c r="J1444" s="131"/>
    </row>
    <row r="1445" spans="2:10" x14ac:dyDescent="0.25">
      <c r="B1445" s="138"/>
      <c r="C1445" s="130"/>
      <c r="D1445" s="130"/>
      <c r="E1445" s="130"/>
      <c r="F1445" s="130"/>
      <c r="G1445" s="129"/>
      <c r="H1445" s="131"/>
      <c r="I1445" s="131"/>
      <c r="J1445" s="131"/>
    </row>
    <row r="1446" spans="2:10" x14ac:dyDescent="0.25">
      <c r="B1446" s="138"/>
      <c r="C1446" s="130"/>
      <c r="D1446" s="130"/>
      <c r="E1446" s="130"/>
      <c r="F1446" s="130"/>
      <c r="G1446" s="129"/>
      <c r="H1446" s="131"/>
      <c r="I1446" s="131"/>
      <c r="J1446" s="131"/>
    </row>
    <row r="1447" spans="2:10" x14ac:dyDescent="0.25">
      <c r="B1447" s="138"/>
      <c r="C1447" s="130"/>
      <c r="D1447" s="130"/>
      <c r="E1447" s="130"/>
      <c r="F1447" s="130"/>
      <c r="G1447" s="129"/>
      <c r="H1447" s="131"/>
      <c r="I1447" s="131"/>
      <c r="J1447" s="131"/>
    </row>
    <row r="1448" spans="2:10" x14ac:dyDescent="0.25">
      <c r="B1448" s="138"/>
      <c r="C1448" s="130"/>
      <c r="D1448" s="130"/>
      <c r="E1448" s="130"/>
      <c r="F1448" s="130"/>
      <c r="G1448" s="129"/>
      <c r="H1448" s="131"/>
      <c r="I1448" s="131"/>
      <c r="J1448" s="131"/>
    </row>
    <row r="1449" spans="2:10" x14ac:dyDescent="0.25">
      <c r="B1449" s="138"/>
      <c r="C1449" s="130"/>
      <c r="D1449" s="130"/>
      <c r="E1449" s="130"/>
      <c r="F1449" s="130"/>
      <c r="G1449" s="129"/>
      <c r="H1449" s="131"/>
      <c r="I1449" s="131"/>
      <c r="J1449" s="131"/>
    </row>
    <row r="1450" spans="2:10" x14ac:dyDescent="0.25">
      <c r="B1450" s="138"/>
      <c r="C1450" s="130"/>
      <c r="D1450" s="130"/>
      <c r="E1450" s="130"/>
      <c r="F1450" s="130"/>
      <c r="G1450" s="129"/>
      <c r="H1450" s="131"/>
      <c r="I1450" s="131"/>
      <c r="J1450" s="131"/>
    </row>
    <row r="1451" spans="2:10" x14ac:dyDescent="0.25">
      <c r="B1451" s="138"/>
      <c r="C1451" s="130"/>
      <c r="D1451" s="130"/>
      <c r="E1451" s="130"/>
      <c r="F1451" s="130"/>
      <c r="G1451" s="129"/>
      <c r="H1451" s="131"/>
      <c r="I1451" s="131"/>
      <c r="J1451" s="131"/>
    </row>
    <row r="1452" spans="2:10" x14ac:dyDescent="0.25">
      <c r="B1452" s="138"/>
      <c r="C1452" s="130"/>
      <c r="D1452" s="130"/>
      <c r="E1452" s="130"/>
      <c r="F1452" s="130"/>
      <c r="G1452" s="129"/>
      <c r="H1452" s="131"/>
      <c r="I1452" s="131"/>
      <c r="J1452" s="131"/>
    </row>
    <row r="1453" spans="2:10" x14ac:dyDescent="0.25">
      <c r="B1453" s="138"/>
      <c r="C1453" s="130"/>
      <c r="D1453" s="130"/>
      <c r="E1453" s="130"/>
      <c r="F1453" s="130"/>
      <c r="G1453" s="129"/>
      <c r="H1453" s="131"/>
      <c r="I1453" s="131"/>
      <c r="J1453" s="131"/>
    </row>
    <row r="1454" spans="2:10" x14ac:dyDescent="0.25">
      <c r="B1454" s="138"/>
      <c r="C1454" s="130"/>
      <c r="D1454" s="130"/>
      <c r="E1454" s="130"/>
      <c r="F1454" s="130"/>
      <c r="G1454" s="129"/>
      <c r="H1454" s="131"/>
      <c r="I1454" s="131"/>
      <c r="J1454" s="131"/>
    </row>
    <row r="1455" spans="2:10" x14ac:dyDescent="0.25">
      <c r="B1455" s="138"/>
      <c r="C1455" s="130"/>
      <c r="D1455" s="130"/>
      <c r="E1455" s="130"/>
      <c r="F1455" s="130"/>
      <c r="G1455" s="129"/>
      <c r="H1455" s="131"/>
      <c r="I1455" s="131"/>
      <c r="J1455" s="131"/>
    </row>
    <row r="1456" spans="2:10" x14ac:dyDescent="0.25">
      <c r="B1456" s="138"/>
      <c r="C1456" s="130"/>
      <c r="D1456" s="130"/>
      <c r="E1456" s="130"/>
      <c r="F1456" s="130"/>
      <c r="G1456" s="129"/>
      <c r="H1456" s="131"/>
      <c r="I1456" s="131"/>
      <c r="J1456" s="131"/>
    </row>
    <row r="1457" spans="2:10" x14ac:dyDescent="0.25">
      <c r="B1457" s="138"/>
      <c r="C1457" s="130"/>
      <c r="D1457" s="130"/>
      <c r="E1457" s="130"/>
      <c r="F1457" s="130"/>
      <c r="G1457" s="129"/>
      <c r="H1457" s="131"/>
      <c r="I1457" s="131"/>
      <c r="J1457" s="131"/>
    </row>
    <row r="1458" spans="2:10" x14ac:dyDescent="0.25">
      <c r="B1458" s="138"/>
      <c r="C1458" s="130"/>
      <c r="D1458" s="130"/>
      <c r="E1458" s="130"/>
      <c r="F1458" s="130"/>
      <c r="G1458" s="129"/>
      <c r="H1458" s="131"/>
      <c r="I1458" s="131"/>
      <c r="J1458" s="131"/>
    </row>
    <row r="1459" spans="2:10" x14ac:dyDescent="0.25">
      <c r="B1459" s="138"/>
      <c r="C1459" s="130"/>
      <c r="D1459" s="130"/>
      <c r="E1459" s="130"/>
      <c r="F1459" s="130"/>
      <c r="G1459" s="129"/>
      <c r="H1459" s="131"/>
      <c r="I1459" s="131"/>
      <c r="J1459" s="131"/>
    </row>
    <row r="1460" spans="2:10" x14ac:dyDescent="0.25">
      <c r="B1460" s="138"/>
      <c r="C1460" s="130"/>
      <c r="D1460" s="130"/>
      <c r="E1460" s="130"/>
      <c r="F1460" s="130"/>
      <c r="G1460" s="129"/>
      <c r="H1460" s="131"/>
      <c r="I1460" s="131"/>
      <c r="J1460" s="131"/>
    </row>
    <row r="1461" spans="2:10" x14ac:dyDescent="0.25">
      <c r="B1461" s="138"/>
      <c r="C1461" s="130"/>
      <c r="D1461" s="130"/>
      <c r="E1461" s="130"/>
      <c r="F1461" s="130"/>
      <c r="G1461" s="129"/>
      <c r="H1461" s="131"/>
      <c r="I1461" s="131"/>
      <c r="J1461" s="131"/>
    </row>
    <row r="1462" spans="2:10" x14ac:dyDescent="0.25">
      <c r="B1462" s="138"/>
      <c r="C1462" s="130"/>
      <c r="D1462" s="130"/>
      <c r="E1462" s="130"/>
      <c r="F1462" s="130"/>
      <c r="G1462" s="129"/>
      <c r="H1462" s="131"/>
      <c r="I1462" s="131"/>
      <c r="J1462" s="131"/>
    </row>
    <row r="1463" spans="2:10" x14ac:dyDescent="0.25">
      <c r="B1463" s="138"/>
      <c r="C1463" s="130"/>
      <c r="D1463" s="130"/>
      <c r="E1463" s="130"/>
      <c r="F1463" s="130"/>
      <c r="G1463" s="129"/>
      <c r="H1463" s="131"/>
      <c r="I1463" s="131"/>
      <c r="J1463" s="131"/>
    </row>
    <row r="1464" spans="2:10" x14ac:dyDescent="0.25">
      <c r="B1464" s="138"/>
      <c r="C1464" s="130"/>
      <c r="D1464" s="130"/>
      <c r="E1464" s="130"/>
      <c r="F1464" s="130"/>
      <c r="G1464" s="129"/>
      <c r="H1464" s="131"/>
      <c r="I1464" s="131"/>
      <c r="J1464" s="131"/>
    </row>
    <row r="1465" spans="2:10" x14ac:dyDescent="0.25">
      <c r="B1465" s="138"/>
      <c r="C1465" s="130"/>
      <c r="D1465" s="130"/>
      <c r="E1465" s="130"/>
      <c r="F1465" s="130"/>
      <c r="G1465" s="129"/>
      <c r="H1465" s="131"/>
      <c r="I1465" s="131"/>
      <c r="J1465" s="131"/>
    </row>
    <row r="1466" spans="2:10" x14ac:dyDescent="0.25">
      <c r="B1466" s="138"/>
      <c r="C1466" s="130"/>
      <c r="D1466" s="130"/>
      <c r="E1466" s="130"/>
      <c r="F1466" s="130"/>
      <c r="G1466" s="129"/>
      <c r="H1466" s="131"/>
      <c r="I1466" s="131"/>
      <c r="J1466" s="131"/>
    </row>
    <row r="1467" spans="2:10" x14ac:dyDescent="0.25">
      <c r="B1467" s="138"/>
      <c r="C1467" s="130"/>
      <c r="D1467" s="130"/>
      <c r="E1467" s="130"/>
      <c r="F1467" s="130"/>
      <c r="G1467" s="129"/>
      <c r="H1467" s="131"/>
      <c r="I1467" s="131"/>
      <c r="J1467" s="131"/>
    </row>
    <row r="1468" spans="2:10" x14ac:dyDescent="0.25">
      <c r="B1468" s="138"/>
      <c r="C1468" s="130"/>
      <c r="D1468" s="130"/>
      <c r="E1468" s="130"/>
      <c r="F1468" s="130"/>
      <c r="G1468" s="129"/>
      <c r="H1468" s="131"/>
      <c r="I1468" s="131"/>
      <c r="J1468" s="131"/>
    </row>
    <row r="1469" spans="2:10" x14ac:dyDescent="0.25">
      <c r="B1469" s="138"/>
      <c r="C1469" s="130"/>
      <c r="D1469" s="130"/>
      <c r="E1469" s="130"/>
      <c r="F1469" s="130"/>
      <c r="G1469" s="129"/>
      <c r="H1469" s="131"/>
      <c r="I1469" s="131"/>
      <c r="J1469" s="131"/>
    </row>
    <row r="1470" spans="2:10" x14ac:dyDescent="0.25">
      <c r="B1470" s="138"/>
      <c r="C1470" s="130"/>
      <c r="D1470" s="130"/>
      <c r="E1470" s="130"/>
      <c r="F1470" s="130"/>
      <c r="G1470" s="129"/>
      <c r="H1470" s="131"/>
      <c r="I1470" s="131"/>
      <c r="J1470" s="131"/>
    </row>
    <row r="1471" spans="2:10" x14ac:dyDescent="0.25">
      <c r="B1471" s="138"/>
      <c r="C1471" s="130"/>
      <c r="D1471" s="130"/>
      <c r="E1471" s="130"/>
      <c r="F1471" s="130"/>
      <c r="G1471" s="129"/>
      <c r="H1471" s="131"/>
      <c r="I1471" s="131"/>
      <c r="J1471" s="131"/>
    </row>
    <row r="1472" spans="2:10" x14ac:dyDescent="0.25">
      <c r="B1472" s="138"/>
      <c r="C1472" s="130"/>
      <c r="D1472" s="130"/>
      <c r="E1472" s="130"/>
      <c r="F1472" s="130"/>
      <c r="G1472" s="129"/>
      <c r="H1472" s="131"/>
      <c r="I1472" s="131"/>
      <c r="J1472" s="131"/>
    </row>
    <row r="1473" spans="2:10" x14ac:dyDescent="0.25">
      <c r="B1473" s="138"/>
      <c r="C1473" s="130"/>
      <c r="D1473" s="130"/>
      <c r="E1473" s="130"/>
      <c r="F1473" s="130"/>
      <c r="G1473" s="129"/>
      <c r="H1473" s="131"/>
      <c r="I1473" s="131"/>
      <c r="J1473" s="131"/>
    </row>
    <row r="1474" spans="2:10" x14ac:dyDescent="0.25">
      <c r="B1474" s="138"/>
      <c r="C1474" s="130"/>
      <c r="D1474" s="130"/>
      <c r="E1474" s="130"/>
      <c r="F1474" s="130"/>
      <c r="G1474" s="129"/>
      <c r="H1474" s="131"/>
      <c r="I1474" s="131"/>
      <c r="J1474" s="131"/>
    </row>
    <row r="1475" spans="2:10" x14ac:dyDescent="0.25">
      <c r="B1475" s="138"/>
      <c r="C1475" s="130"/>
      <c r="D1475" s="130"/>
      <c r="E1475" s="130"/>
      <c r="F1475" s="130"/>
      <c r="G1475" s="129"/>
      <c r="H1475" s="131"/>
      <c r="I1475" s="131"/>
      <c r="J1475" s="131"/>
    </row>
    <row r="1476" spans="2:10" x14ac:dyDescent="0.25">
      <c r="B1476" s="138"/>
      <c r="C1476" s="130"/>
      <c r="D1476" s="130"/>
      <c r="E1476" s="130"/>
      <c r="F1476" s="130"/>
      <c r="G1476" s="129"/>
      <c r="H1476" s="131"/>
      <c r="I1476" s="131"/>
      <c r="J1476" s="131"/>
    </row>
    <row r="1477" spans="2:10" x14ac:dyDescent="0.25">
      <c r="B1477" s="138"/>
      <c r="C1477" s="130"/>
      <c r="D1477" s="130"/>
      <c r="E1477" s="130"/>
      <c r="F1477" s="130"/>
      <c r="G1477" s="129"/>
      <c r="H1477" s="131"/>
      <c r="I1477" s="131"/>
      <c r="J1477" s="131"/>
    </row>
    <row r="1478" spans="2:10" x14ac:dyDescent="0.25">
      <c r="B1478" s="138"/>
      <c r="C1478" s="130"/>
      <c r="D1478" s="130"/>
      <c r="E1478" s="130"/>
      <c r="F1478" s="130"/>
      <c r="G1478" s="129"/>
      <c r="H1478" s="131"/>
      <c r="I1478" s="131"/>
      <c r="J1478" s="131"/>
    </row>
    <row r="1479" spans="2:10" x14ac:dyDescent="0.25">
      <c r="B1479" s="138"/>
      <c r="C1479" s="130"/>
      <c r="D1479" s="130"/>
      <c r="E1479" s="130"/>
      <c r="F1479" s="130"/>
      <c r="G1479" s="129"/>
      <c r="H1479" s="131"/>
      <c r="I1479" s="131"/>
      <c r="J1479" s="131"/>
    </row>
    <row r="1480" spans="2:10" x14ac:dyDescent="0.25">
      <c r="B1480" s="138"/>
      <c r="C1480" s="130"/>
      <c r="D1480" s="130"/>
      <c r="E1480" s="130"/>
      <c r="F1480" s="130"/>
      <c r="G1480" s="129"/>
      <c r="H1480" s="131"/>
      <c r="I1480" s="131"/>
      <c r="J1480" s="131"/>
    </row>
    <row r="1481" spans="2:10" x14ac:dyDescent="0.25">
      <c r="B1481" s="138"/>
      <c r="C1481" s="130"/>
      <c r="D1481" s="130"/>
      <c r="E1481" s="130"/>
      <c r="F1481" s="130"/>
      <c r="G1481" s="129"/>
      <c r="H1481" s="131"/>
      <c r="I1481" s="131"/>
      <c r="J1481" s="131"/>
    </row>
    <row r="1482" spans="2:10" x14ac:dyDescent="0.25">
      <c r="B1482" s="138"/>
      <c r="C1482" s="130"/>
      <c r="D1482" s="130"/>
      <c r="E1482" s="130"/>
      <c r="F1482" s="130"/>
      <c r="G1482" s="129"/>
      <c r="H1482" s="131"/>
      <c r="I1482" s="131"/>
      <c r="J1482" s="131"/>
    </row>
    <row r="1483" spans="2:10" x14ac:dyDescent="0.25">
      <c r="B1483" s="138"/>
      <c r="C1483" s="130"/>
      <c r="D1483" s="130"/>
      <c r="E1483" s="130"/>
      <c r="F1483" s="130"/>
      <c r="G1483" s="129"/>
      <c r="H1483" s="131"/>
      <c r="I1483" s="131"/>
      <c r="J1483" s="131"/>
    </row>
    <row r="1484" spans="2:10" x14ac:dyDescent="0.25">
      <c r="B1484" s="138"/>
      <c r="C1484" s="130"/>
      <c r="D1484" s="130"/>
      <c r="E1484" s="130"/>
      <c r="F1484" s="130"/>
      <c r="G1484" s="129"/>
      <c r="H1484" s="131"/>
      <c r="I1484" s="131"/>
      <c r="J1484" s="131"/>
    </row>
    <row r="1485" spans="2:10" x14ac:dyDescent="0.25">
      <c r="B1485" s="138"/>
      <c r="C1485" s="130"/>
      <c r="D1485" s="130"/>
      <c r="E1485" s="130"/>
      <c r="F1485" s="130"/>
      <c r="G1485" s="129"/>
      <c r="H1485" s="131"/>
      <c r="I1485" s="131"/>
      <c r="J1485" s="131"/>
    </row>
    <row r="1486" spans="2:10" x14ac:dyDescent="0.25">
      <c r="B1486" s="138"/>
      <c r="C1486" s="130"/>
      <c r="D1486" s="130"/>
      <c r="E1486" s="130"/>
      <c r="F1486" s="130"/>
      <c r="G1486" s="129"/>
      <c r="H1486" s="131"/>
      <c r="I1486" s="131"/>
      <c r="J1486" s="131"/>
    </row>
    <row r="1487" spans="2:10" x14ac:dyDescent="0.25">
      <c r="B1487" s="138"/>
      <c r="C1487" s="130"/>
      <c r="D1487" s="130"/>
      <c r="E1487" s="130"/>
      <c r="F1487" s="130"/>
      <c r="G1487" s="129"/>
      <c r="H1487" s="131"/>
      <c r="I1487" s="131"/>
      <c r="J1487" s="131"/>
    </row>
    <row r="1488" spans="2:10" x14ac:dyDescent="0.25">
      <c r="B1488" s="138"/>
      <c r="C1488" s="130"/>
      <c r="D1488" s="130"/>
      <c r="E1488" s="130"/>
      <c r="F1488" s="130"/>
      <c r="G1488" s="129"/>
      <c r="H1488" s="131"/>
      <c r="I1488" s="131"/>
      <c r="J1488" s="131"/>
    </row>
    <row r="1489" spans="2:10" x14ac:dyDescent="0.25">
      <c r="B1489" s="138"/>
      <c r="C1489" s="130"/>
      <c r="D1489" s="130"/>
      <c r="E1489" s="130"/>
      <c r="F1489" s="130"/>
      <c r="G1489" s="129"/>
      <c r="H1489" s="131"/>
      <c r="I1489" s="131"/>
      <c r="J1489" s="131"/>
    </row>
    <row r="1490" spans="2:10" x14ac:dyDescent="0.25">
      <c r="B1490" s="138"/>
      <c r="C1490" s="130"/>
      <c r="D1490" s="130"/>
      <c r="E1490" s="130"/>
      <c r="F1490" s="130"/>
      <c r="G1490" s="129"/>
      <c r="H1490" s="131"/>
      <c r="I1490" s="131"/>
      <c r="J1490" s="131"/>
    </row>
    <row r="1491" spans="2:10" x14ac:dyDescent="0.25">
      <c r="B1491" s="138"/>
      <c r="C1491" s="130"/>
      <c r="D1491" s="130"/>
      <c r="E1491" s="130"/>
      <c r="F1491" s="130"/>
      <c r="G1491" s="129"/>
      <c r="H1491" s="131"/>
      <c r="I1491" s="131"/>
      <c r="J1491" s="131"/>
    </row>
    <row r="1492" spans="2:10" x14ac:dyDescent="0.25">
      <c r="B1492" s="138"/>
      <c r="C1492" s="130"/>
      <c r="D1492" s="130"/>
      <c r="E1492" s="130"/>
      <c r="F1492" s="130"/>
      <c r="G1492" s="129"/>
      <c r="H1492" s="131"/>
      <c r="I1492" s="131"/>
      <c r="J1492" s="131"/>
    </row>
    <row r="1493" spans="2:10" x14ac:dyDescent="0.25">
      <c r="B1493" s="138"/>
      <c r="C1493" s="130"/>
      <c r="D1493" s="130"/>
      <c r="E1493" s="130"/>
      <c r="F1493" s="130"/>
      <c r="G1493" s="129"/>
      <c r="H1493" s="131"/>
      <c r="I1493" s="131"/>
      <c r="J1493" s="131"/>
    </row>
    <row r="1494" spans="2:10" x14ac:dyDescent="0.25">
      <c r="B1494" s="138"/>
      <c r="C1494" s="130"/>
      <c r="D1494" s="130"/>
      <c r="E1494" s="130"/>
      <c r="F1494" s="130"/>
      <c r="G1494" s="129"/>
      <c r="H1494" s="131"/>
      <c r="I1494" s="131"/>
      <c r="J1494" s="131"/>
    </row>
    <row r="1495" spans="2:10" x14ac:dyDescent="0.25">
      <c r="B1495" s="138"/>
      <c r="C1495" s="130"/>
      <c r="D1495" s="130"/>
      <c r="E1495" s="130"/>
      <c r="F1495" s="130"/>
      <c r="G1495" s="129"/>
      <c r="H1495" s="131"/>
      <c r="I1495" s="131"/>
      <c r="J1495" s="131"/>
    </row>
    <row r="1496" spans="2:10" x14ac:dyDescent="0.25">
      <c r="B1496" s="138"/>
      <c r="C1496" s="130"/>
      <c r="D1496" s="130"/>
      <c r="E1496" s="130"/>
      <c r="F1496" s="130"/>
      <c r="G1496" s="129"/>
      <c r="H1496" s="131"/>
      <c r="I1496" s="131"/>
      <c r="J1496" s="131"/>
    </row>
    <row r="1497" spans="2:10" x14ac:dyDescent="0.25">
      <c r="B1497" s="138"/>
      <c r="C1497" s="130"/>
      <c r="D1497" s="130"/>
      <c r="E1497" s="130"/>
      <c r="F1497" s="130"/>
      <c r="G1497" s="129"/>
      <c r="H1497" s="131"/>
      <c r="I1497" s="131"/>
      <c r="J1497" s="131"/>
    </row>
    <row r="1498" spans="2:10" x14ac:dyDescent="0.25">
      <c r="B1498" s="138"/>
      <c r="C1498" s="130"/>
      <c r="D1498" s="130"/>
      <c r="E1498" s="130"/>
      <c r="F1498" s="130"/>
      <c r="G1498" s="129"/>
      <c r="H1498" s="131"/>
      <c r="I1498" s="131"/>
      <c r="J1498" s="131"/>
    </row>
    <row r="1499" spans="2:10" x14ac:dyDescent="0.25">
      <c r="B1499" s="138"/>
      <c r="C1499" s="130"/>
      <c r="D1499" s="130"/>
      <c r="E1499" s="130"/>
      <c r="F1499" s="130"/>
      <c r="G1499" s="129"/>
      <c r="H1499" s="131"/>
      <c r="I1499" s="131"/>
      <c r="J1499" s="131"/>
    </row>
    <row r="1500" spans="2:10" x14ac:dyDescent="0.25">
      <c r="B1500" s="138"/>
      <c r="C1500" s="130"/>
      <c r="D1500" s="130"/>
      <c r="E1500" s="130"/>
      <c r="F1500" s="130"/>
      <c r="G1500" s="129"/>
      <c r="H1500" s="131"/>
      <c r="I1500" s="131"/>
      <c r="J1500" s="131"/>
    </row>
    <row r="1501" spans="2:10" x14ac:dyDescent="0.25">
      <c r="B1501" s="138"/>
      <c r="C1501" s="130"/>
      <c r="D1501" s="130"/>
      <c r="E1501" s="130"/>
      <c r="F1501" s="130"/>
      <c r="G1501" s="129"/>
      <c r="H1501" s="131"/>
      <c r="I1501" s="131"/>
      <c r="J1501" s="131"/>
    </row>
    <row r="1502" spans="2:10" x14ac:dyDescent="0.25">
      <c r="B1502" s="138"/>
      <c r="C1502" s="130"/>
      <c r="D1502" s="130"/>
      <c r="E1502" s="130"/>
      <c r="F1502" s="130"/>
      <c r="G1502" s="129"/>
      <c r="H1502" s="131"/>
      <c r="I1502" s="131"/>
      <c r="J1502" s="131"/>
    </row>
    <row r="1503" spans="2:10" x14ac:dyDescent="0.25">
      <c r="B1503" s="138"/>
      <c r="C1503" s="130"/>
      <c r="D1503" s="130"/>
      <c r="E1503" s="130"/>
      <c r="F1503" s="130"/>
      <c r="G1503" s="129"/>
      <c r="H1503" s="131"/>
      <c r="I1503" s="131"/>
      <c r="J1503" s="131"/>
    </row>
    <row r="1504" spans="2:10" x14ac:dyDescent="0.25">
      <c r="B1504" s="138"/>
      <c r="C1504" s="130"/>
      <c r="D1504" s="130"/>
      <c r="E1504" s="130"/>
      <c r="F1504" s="130"/>
      <c r="G1504" s="129"/>
      <c r="H1504" s="131"/>
      <c r="I1504" s="131"/>
      <c r="J1504" s="131"/>
    </row>
    <row r="1505" spans="2:10" x14ac:dyDescent="0.25">
      <c r="B1505" s="138"/>
      <c r="C1505" s="130"/>
      <c r="D1505" s="130"/>
      <c r="E1505" s="130"/>
      <c r="F1505" s="130"/>
      <c r="G1505" s="129"/>
      <c r="H1505" s="131"/>
      <c r="I1505" s="131"/>
      <c r="J1505" s="131"/>
    </row>
    <row r="1506" spans="2:10" x14ac:dyDescent="0.25">
      <c r="B1506" s="138"/>
      <c r="C1506" s="130"/>
      <c r="D1506" s="130"/>
      <c r="E1506" s="130"/>
      <c r="F1506" s="130"/>
      <c r="G1506" s="129"/>
      <c r="H1506" s="131"/>
      <c r="I1506" s="131"/>
      <c r="J1506" s="131"/>
    </row>
    <row r="1507" spans="2:10" x14ac:dyDescent="0.25">
      <c r="B1507" s="138"/>
      <c r="C1507" s="130"/>
      <c r="D1507" s="130"/>
      <c r="E1507" s="130"/>
      <c r="F1507" s="130"/>
      <c r="G1507" s="129"/>
      <c r="H1507" s="131"/>
      <c r="I1507" s="131"/>
      <c r="J1507" s="131"/>
    </row>
    <row r="1508" spans="2:10" x14ac:dyDescent="0.25">
      <c r="B1508" s="138"/>
      <c r="C1508" s="130"/>
      <c r="D1508" s="130"/>
      <c r="E1508" s="130"/>
      <c r="F1508" s="130"/>
      <c r="G1508" s="129"/>
      <c r="H1508" s="131"/>
      <c r="I1508" s="131"/>
      <c r="J1508" s="131"/>
    </row>
    <row r="1509" spans="2:10" x14ac:dyDescent="0.25">
      <c r="B1509" s="138"/>
      <c r="C1509" s="130"/>
      <c r="D1509" s="130"/>
      <c r="E1509" s="130"/>
      <c r="F1509" s="130"/>
      <c r="G1509" s="129"/>
      <c r="H1509" s="131"/>
      <c r="I1509" s="131"/>
      <c r="J1509" s="131"/>
    </row>
    <row r="1510" spans="2:10" x14ac:dyDescent="0.25">
      <c r="B1510" s="138"/>
      <c r="C1510" s="130"/>
      <c r="D1510" s="130"/>
      <c r="E1510" s="130"/>
      <c r="F1510" s="130"/>
      <c r="G1510" s="129"/>
      <c r="H1510" s="131"/>
      <c r="I1510" s="131"/>
      <c r="J1510" s="131"/>
    </row>
    <row r="1511" spans="2:10" x14ac:dyDescent="0.25">
      <c r="B1511" s="131"/>
      <c r="C1511" s="131"/>
      <c r="D1511" s="131"/>
      <c r="E1511" s="131"/>
      <c r="F1511" s="131"/>
      <c r="G1511" s="131"/>
      <c r="H1511" s="131"/>
      <c r="I1511" s="131"/>
      <c r="J1511" s="131"/>
    </row>
  </sheetData>
  <mergeCells count="3">
    <mergeCell ref="J11:K11"/>
    <mergeCell ref="D11:G11"/>
    <mergeCell ref="H11:I11"/>
  </mergeCells>
  <phoneticPr fontId="0" type="noConversion"/>
  <printOptions gridLines="1" gridLinesSet="0"/>
  <pageMargins left="0.75" right="0.75" top="1" bottom="1" header="0.5" footer="0.5"/>
  <pageSetup orientation="portrait" horizont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Sheet9"/>
  <dimension ref="A1:BA3789"/>
  <sheetViews>
    <sheetView workbookViewId="0">
      <selection activeCell="E1" sqref="E1"/>
    </sheetView>
  </sheetViews>
  <sheetFormatPr defaultRowHeight="12.75" x14ac:dyDescent="0.2"/>
  <cols>
    <col min="1" max="1" width="3" customWidth="1"/>
    <col min="2" max="3" width="15" customWidth="1"/>
    <col min="4" max="4" width="17" customWidth="1"/>
    <col min="5" max="5" width="14.85546875" customWidth="1"/>
    <col min="6" max="6" width="12.140625" customWidth="1"/>
    <col min="7" max="8" width="13.140625" bestFit="1" customWidth="1"/>
    <col min="9" max="9" width="13.42578125" customWidth="1"/>
    <col min="10" max="10" width="5.28515625" customWidth="1"/>
    <col min="11" max="11" width="7.140625" customWidth="1"/>
    <col min="12" max="12" width="9.85546875" customWidth="1"/>
    <col min="13" max="14" width="13.7109375" bestFit="1" customWidth="1"/>
    <col min="15" max="15" width="9.85546875" customWidth="1"/>
    <col min="16" max="16" width="13.140625" bestFit="1" customWidth="1"/>
    <col min="17" max="17" width="12" customWidth="1"/>
    <col min="18" max="18" width="12.5703125" customWidth="1"/>
    <col min="19" max="19" width="10.5703125" customWidth="1"/>
    <col min="20" max="20" width="12.42578125" bestFit="1" customWidth="1"/>
    <col min="21" max="21" width="11" customWidth="1"/>
    <col min="22" max="22" width="11.140625" bestFit="1" customWidth="1"/>
    <col min="23" max="23" width="11.140625" customWidth="1"/>
    <col min="24" max="25" width="10.28515625" bestFit="1" customWidth="1"/>
    <col min="27" max="27" width="9.5703125" bestFit="1" customWidth="1"/>
    <col min="28" max="28" width="12.7109375" bestFit="1" customWidth="1"/>
    <col min="29" max="29" width="13.140625" bestFit="1" customWidth="1"/>
    <col min="30" max="30" width="10.42578125" bestFit="1" customWidth="1"/>
    <col min="31" max="31" width="9.85546875" bestFit="1" customWidth="1"/>
    <col min="33" max="33" width="12.7109375" bestFit="1" customWidth="1"/>
    <col min="34" max="34" width="16.7109375" bestFit="1" customWidth="1"/>
    <col min="35" max="35" width="10.42578125" bestFit="1" customWidth="1"/>
    <col min="36" max="36" width="20.85546875" bestFit="1" customWidth="1"/>
    <col min="43" max="43" width="9.140625" bestFit="1" customWidth="1"/>
    <col min="53" max="53" width="9.140625" bestFit="1" customWidth="1"/>
  </cols>
  <sheetData>
    <row r="1" spans="1:53" ht="15.75" x14ac:dyDescent="0.25">
      <c r="A1" s="32" t="s">
        <v>20</v>
      </c>
      <c r="B1" s="32"/>
      <c r="C1" s="32"/>
      <c r="D1" s="32"/>
    </row>
    <row r="2" spans="1:53" ht="15" x14ac:dyDescent="0.25">
      <c r="A2" s="36" t="s">
        <v>21</v>
      </c>
      <c r="B2" s="36"/>
      <c r="C2" s="36"/>
      <c r="D2" s="36"/>
    </row>
    <row r="4" spans="1:53" ht="15" x14ac:dyDescent="0.25">
      <c r="D4" s="64"/>
      <c r="F4" s="85" t="s">
        <v>129</v>
      </c>
      <c r="G4" s="86"/>
      <c r="H4" s="118" t="s">
        <v>130</v>
      </c>
      <c r="I4" s="31" t="s">
        <v>131</v>
      </c>
    </row>
    <row r="5" spans="1:53" x14ac:dyDescent="0.2">
      <c r="D5" s="81" t="s">
        <v>126</v>
      </c>
      <c r="F5" s="119" t="s">
        <v>132</v>
      </c>
      <c r="G5" s="92"/>
      <c r="H5" s="120">
        <v>0</v>
      </c>
      <c r="I5" s="121">
        <v>60</v>
      </c>
      <c r="X5" s="4"/>
      <c r="Y5" s="4"/>
    </row>
    <row r="6" spans="1:53" x14ac:dyDescent="0.2">
      <c r="F6" s="119" t="s">
        <v>133</v>
      </c>
      <c r="G6" s="92"/>
      <c r="H6" s="120">
        <v>0</v>
      </c>
      <c r="I6" s="122">
        <v>-60</v>
      </c>
    </row>
    <row r="7" spans="1:53" x14ac:dyDescent="0.2">
      <c r="D7" s="44"/>
      <c r="F7" s="123" t="s">
        <v>134</v>
      </c>
      <c r="G7" s="124"/>
      <c r="H7" s="125">
        <v>0</v>
      </c>
      <c r="I7" s="126">
        <v>0</v>
      </c>
      <c r="L7" s="85" t="s">
        <v>93</v>
      </c>
      <c r="M7" s="86"/>
      <c r="N7" s="87">
        <v>400</v>
      </c>
      <c r="O7" s="44"/>
    </row>
    <row r="8" spans="1:53" x14ac:dyDescent="0.2">
      <c r="A8" s="4"/>
      <c r="B8" s="6"/>
      <c r="C8" s="6"/>
      <c r="D8" s="53"/>
      <c r="E8" s="42"/>
      <c r="F8" s="42"/>
      <c r="G8" s="42"/>
      <c r="H8" s="42"/>
      <c r="I8" s="42"/>
      <c r="Y8" s="98"/>
      <c r="AA8" s="4"/>
      <c r="AD8" s="4"/>
      <c r="AH8" s="82"/>
      <c r="AI8" s="82"/>
      <c r="AK8" s="4"/>
      <c r="AS8" s="2"/>
      <c r="AT8" s="2"/>
      <c r="AU8" s="2"/>
      <c r="AV8" s="2"/>
      <c r="AW8" s="2"/>
    </row>
    <row r="9" spans="1:53" x14ac:dyDescent="0.2">
      <c r="A9" s="4"/>
      <c r="B9" s="13"/>
      <c r="C9" s="175" t="s">
        <v>43</v>
      </c>
      <c r="D9" s="176"/>
      <c r="F9" s="169" t="s">
        <v>50</v>
      </c>
      <c r="G9" s="174"/>
      <c r="H9" s="170"/>
      <c r="I9" s="62"/>
      <c r="K9" s="25" t="s">
        <v>44</v>
      </c>
      <c r="L9" s="25" t="s">
        <v>26</v>
      </c>
      <c r="M9" s="84" t="s">
        <v>46</v>
      </c>
      <c r="N9" s="25" t="s">
        <v>92</v>
      </c>
      <c r="O9" s="25" t="s">
        <v>49</v>
      </c>
      <c r="P9" s="25" t="s">
        <v>88</v>
      </c>
      <c r="Q9" s="25" t="s">
        <v>89</v>
      </c>
      <c r="R9" s="25" t="s">
        <v>90</v>
      </c>
      <c r="U9">
        <v>2</v>
      </c>
      <c r="V9" s="4">
        <v>0</v>
      </c>
      <c r="Y9" s="98"/>
      <c r="AA9" s="4"/>
      <c r="AB9" s="4"/>
      <c r="AC9" s="4"/>
      <c r="AH9" s="4"/>
      <c r="AI9" s="4"/>
      <c r="AJ9" s="2"/>
      <c r="AK9" s="2"/>
      <c r="AL9" s="4"/>
      <c r="AM9" s="4"/>
      <c r="AS9" s="2"/>
      <c r="AT9" s="2"/>
      <c r="AU9" s="2"/>
      <c r="AV9" s="2"/>
      <c r="AW9" s="2"/>
    </row>
    <row r="10" spans="1:53" ht="15.75" x14ac:dyDescent="0.25">
      <c r="A10" s="4"/>
      <c r="B10" s="1"/>
      <c r="C10" s="31" t="s">
        <v>12</v>
      </c>
      <c r="D10" s="35" t="s">
        <v>2</v>
      </c>
      <c r="E10" s="31" t="s">
        <v>44</v>
      </c>
      <c r="F10" s="31" t="s">
        <v>46</v>
      </c>
      <c r="G10" s="38" t="s">
        <v>49</v>
      </c>
      <c r="H10" s="31" t="s">
        <v>45</v>
      </c>
      <c r="I10" s="16"/>
      <c r="K10">
        <v>1</v>
      </c>
      <c r="L10" s="44">
        <v>0</v>
      </c>
      <c r="M10" s="44">
        <v>-26.045348826380888</v>
      </c>
      <c r="N10" s="44">
        <v>22.575581377301479</v>
      </c>
      <c r="O10" s="44">
        <v>0</v>
      </c>
      <c r="P10" s="2">
        <v>0</v>
      </c>
      <c r="Q10" s="2">
        <v>0</v>
      </c>
      <c r="R10" s="2">
        <v>0</v>
      </c>
      <c r="S10" s="60"/>
      <c r="U10" s="2">
        <f>U9*2</f>
        <v>4</v>
      </c>
      <c r="V10" s="4">
        <v>5</v>
      </c>
      <c r="W10" s="18"/>
      <c r="X10" s="18"/>
      <c r="Y10" s="4"/>
      <c r="AA10" s="2"/>
      <c r="AB10" s="2"/>
      <c r="AC10" s="2"/>
      <c r="AD10" s="44"/>
      <c r="AE10" s="44"/>
      <c r="AF10" s="44"/>
      <c r="AG10" s="4"/>
      <c r="AH10" s="83"/>
      <c r="AI10" s="2"/>
      <c r="AJ10" s="2"/>
      <c r="AK10" s="2"/>
      <c r="AL10" s="2"/>
      <c r="AM10" s="2"/>
      <c r="AN10" s="2"/>
      <c r="AO10" s="2"/>
      <c r="AP10" s="2"/>
      <c r="AQ10" s="2"/>
      <c r="AS10" s="2"/>
      <c r="AT10" s="44"/>
      <c r="AU10" s="44"/>
      <c r="AV10" s="2"/>
      <c r="AW10" s="2"/>
      <c r="AX10" s="2"/>
      <c r="AY10" s="2"/>
      <c r="AZ10" s="2"/>
      <c r="BA10" s="2"/>
    </row>
    <row r="11" spans="1:53" x14ac:dyDescent="0.2">
      <c r="A11" s="16"/>
      <c r="B11" s="27" t="s">
        <v>35</v>
      </c>
      <c r="C11" s="68">
        <v>0</v>
      </c>
      <c r="D11" s="110">
        <v>0</v>
      </c>
      <c r="E11" s="65" t="s">
        <v>47</v>
      </c>
      <c r="F11" s="66">
        <v>-26.045348826380888</v>
      </c>
      <c r="G11" s="66">
        <v>0</v>
      </c>
      <c r="H11" s="66">
        <v>22.575581377301479</v>
      </c>
      <c r="K11">
        <v>1</v>
      </c>
      <c r="L11" s="44">
        <v>1.2500000000000001E-2</v>
      </c>
      <c r="M11" s="44">
        <v>-25.920348826380888</v>
      </c>
      <c r="N11" s="44">
        <v>22.250795766971716</v>
      </c>
      <c r="O11" s="44">
        <v>0</v>
      </c>
      <c r="P11" s="2">
        <v>0</v>
      </c>
      <c r="Q11" s="2">
        <v>7.0586900608200552E-11</v>
      </c>
      <c r="R11" s="2">
        <v>1.1266693324254817E-8</v>
      </c>
      <c r="T11" s="60"/>
      <c r="U11" s="2">
        <f t="shared" ref="U11:U41" si="0">U10*2</f>
        <v>8</v>
      </c>
      <c r="V11" s="2">
        <v>10</v>
      </c>
      <c r="W11" s="2"/>
      <c r="X11" s="2"/>
      <c r="Y11" s="98"/>
      <c r="AA11" s="2"/>
      <c r="AB11" s="2"/>
      <c r="AC11" s="2"/>
      <c r="AD11" s="44"/>
      <c r="AE11" s="44"/>
      <c r="AF11" s="44"/>
      <c r="AG11" s="83"/>
      <c r="AH11" s="83"/>
      <c r="AI11" s="2"/>
      <c r="AJ11" s="2"/>
      <c r="AK11" s="2"/>
      <c r="AL11" s="2"/>
      <c r="AM11" s="2"/>
      <c r="AN11" s="2"/>
      <c r="AO11" s="2"/>
      <c r="AP11" s="2"/>
      <c r="AQ11" s="2"/>
      <c r="AS11" s="2"/>
      <c r="AT11" s="44"/>
      <c r="AU11" s="44"/>
      <c r="AV11" s="2"/>
      <c r="AW11" s="2"/>
      <c r="AX11" s="2"/>
      <c r="AY11" s="2"/>
      <c r="AZ11" s="2"/>
      <c r="BA11" s="2"/>
    </row>
    <row r="12" spans="1:53" x14ac:dyDescent="0.2">
      <c r="A12" s="16"/>
      <c r="B12" s="28" t="s">
        <v>36</v>
      </c>
      <c r="C12" s="69">
        <v>0</v>
      </c>
      <c r="D12" s="111">
        <v>-26.045348826380888</v>
      </c>
      <c r="E12" s="29" t="s">
        <v>48</v>
      </c>
      <c r="F12" s="67">
        <v>23.954651173619112</v>
      </c>
      <c r="G12" s="67">
        <v>0</v>
      </c>
      <c r="H12" s="67">
        <v>17.348837245397039</v>
      </c>
      <c r="K12">
        <v>1</v>
      </c>
      <c r="L12" s="44">
        <v>2.5000000000000001E-2</v>
      </c>
      <c r="M12" s="44">
        <v>-25.795348826380888</v>
      </c>
      <c r="N12" s="44">
        <v>21.927572656641956</v>
      </c>
      <c r="O12" s="44">
        <v>0</v>
      </c>
      <c r="P12" s="2">
        <v>0</v>
      </c>
      <c r="Q12" s="2">
        <v>2.8098870012221478E-10</v>
      </c>
      <c r="R12" s="2">
        <v>2.2370514732310586E-8</v>
      </c>
      <c r="T12" s="60"/>
      <c r="U12" s="2">
        <f t="shared" si="0"/>
        <v>16</v>
      </c>
      <c r="V12" s="4">
        <v>15</v>
      </c>
      <c r="W12" s="2"/>
      <c r="X12" s="2"/>
      <c r="Y12" s="98"/>
      <c r="AA12" s="2"/>
      <c r="AB12" s="2"/>
      <c r="AC12" s="2"/>
      <c r="AD12" s="44"/>
      <c r="AE12" s="44"/>
      <c r="AF12" s="44"/>
      <c r="AG12" s="83"/>
      <c r="AH12" s="83"/>
      <c r="AI12" s="2"/>
      <c r="AJ12" s="2"/>
      <c r="AK12" s="2"/>
      <c r="AL12" s="2"/>
      <c r="AM12" s="2"/>
      <c r="AN12" s="2"/>
      <c r="AO12" s="2"/>
      <c r="AP12" s="2"/>
      <c r="AQ12" s="2"/>
      <c r="AS12" s="2"/>
      <c r="AT12" s="44"/>
      <c r="AU12" s="44"/>
      <c r="AV12" s="2"/>
      <c r="AW12" s="2"/>
      <c r="AX12" s="2"/>
      <c r="AY12" s="2"/>
      <c r="AZ12" s="2"/>
      <c r="BA12" s="2"/>
    </row>
    <row r="13" spans="1:53" x14ac:dyDescent="0.2">
      <c r="A13" s="16"/>
      <c r="B13" s="29" t="s">
        <v>37</v>
      </c>
      <c r="C13" s="70">
        <v>0</v>
      </c>
      <c r="D13" s="112">
        <v>-22.575581377301479</v>
      </c>
      <c r="E13" s="65" t="s">
        <v>84</v>
      </c>
      <c r="F13" s="66">
        <v>-9.9929557664586071</v>
      </c>
      <c r="G13" s="66">
        <v>0</v>
      </c>
      <c r="H13" s="66">
        <v>17.348837245397039</v>
      </c>
      <c r="K13">
        <v>1</v>
      </c>
      <c r="L13" s="44">
        <v>3.7500000000000006E-2</v>
      </c>
      <c r="M13" s="44">
        <v>-25.670348826380888</v>
      </c>
      <c r="N13" s="44">
        <v>21.605912046312195</v>
      </c>
      <c r="O13" s="44">
        <v>0</v>
      </c>
      <c r="P13" s="2">
        <v>0</v>
      </c>
      <c r="Q13" s="2">
        <v>6.2917440861627812E-10</v>
      </c>
      <c r="R13" s="2">
        <v>3.3312249668441401E-8</v>
      </c>
      <c r="T13" s="60"/>
      <c r="U13" s="2">
        <f t="shared" si="0"/>
        <v>32</v>
      </c>
      <c r="V13" s="2">
        <v>20</v>
      </c>
      <c r="W13" s="2"/>
      <c r="X13" s="2"/>
      <c r="Y13" s="98"/>
      <c r="AA13" s="2"/>
      <c r="AB13" s="2"/>
      <c r="AC13" s="2"/>
      <c r="AD13" s="44"/>
      <c r="AE13" s="44"/>
      <c r="AF13" s="44"/>
      <c r="AG13" s="83"/>
      <c r="AH13" s="83"/>
      <c r="AI13" s="2"/>
      <c r="AJ13" s="2"/>
      <c r="AK13" s="2"/>
      <c r="AL13" s="2"/>
      <c r="AM13" s="2"/>
      <c r="AN13" s="2"/>
      <c r="AO13" s="2"/>
      <c r="AP13" s="2"/>
      <c r="AQ13" s="2"/>
      <c r="AS13" s="2"/>
      <c r="AT13" s="44"/>
      <c r="AU13" s="44"/>
      <c r="AV13" s="2"/>
      <c r="AW13" s="2"/>
      <c r="AX13" s="2"/>
      <c r="AY13" s="2"/>
      <c r="AZ13" s="2"/>
      <c r="BA13" s="2"/>
    </row>
    <row r="14" spans="1:53" x14ac:dyDescent="0.2">
      <c r="A14" s="16"/>
      <c r="B14" s="27" t="s">
        <v>38</v>
      </c>
      <c r="C14" s="68">
        <v>0</v>
      </c>
      <c r="D14" s="110">
        <v>0</v>
      </c>
      <c r="E14" s="29" t="s">
        <v>85</v>
      </c>
      <c r="F14" s="67">
        <v>7.0442335413929413E-3</v>
      </c>
      <c r="G14" s="67">
        <v>0</v>
      </c>
      <c r="H14" s="67">
        <v>-2.5807204191890309</v>
      </c>
      <c r="K14">
        <v>1</v>
      </c>
      <c r="L14" s="44">
        <v>0.05</v>
      </c>
      <c r="M14" s="44">
        <v>-25.545348826380888</v>
      </c>
      <c r="N14" s="44">
        <v>21.285813935982436</v>
      </c>
      <c r="O14" s="44">
        <v>0</v>
      </c>
      <c r="P14" s="2">
        <v>0</v>
      </c>
      <c r="Q14" s="2">
        <v>1.1131228542180308E-9</v>
      </c>
      <c r="R14" s="2">
        <v>4.4092683576919664E-8</v>
      </c>
      <c r="S14" s="83"/>
      <c r="T14" s="60"/>
      <c r="U14" s="2">
        <f t="shared" si="0"/>
        <v>64</v>
      </c>
      <c r="V14" s="4">
        <v>25</v>
      </c>
      <c r="W14" s="2"/>
      <c r="X14" s="2"/>
      <c r="Y14" s="98"/>
      <c r="AA14" s="2"/>
      <c r="AB14" s="2"/>
      <c r="AC14" s="2"/>
      <c r="AD14" s="44"/>
      <c r="AE14" s="44"/>
      <c r="AF14" s="44"/>
      <c r="AG14" s="83"/>
      <c r="AH14" s="83"/>
      <c r="AI14" s="2"/>
      <c r="AJ14" s="2"/>
      <c r="AK14" s="2"/>
      <c r="AL14" s="2"/>
      <c r="AM14" s="2"/>
      <c r="AN14" s="2"/>
      <c r="AO14" s="2"/>
      <c r="AP14" s="2"/>
      <c r="AQ14" s="2"/>
      <c r="AS14" s="2"/>
      <c r="AT14" s="44"/>
      <c r="AU14" s="44"/>
      <c r="AV14" s="2"/>
      <c r="AW14" s="2"/>
      <c r="AX14" s="2"/>
      <c r="AY14" s="2"/>
      <c r="AZ14" s="2"/>
      <c r="BA14" s="2"/>
    </row>
    <row r="15" spans="1:53" x14ac:dyDescent="0.2">
      <c r="A15" s="16"/>
      <c r="B15" s="28" t="s">
        <v>39</v>
      </c>
      <c r="C15" s="69">
        <v>0</v>
      </c>
      <c r="D15" s="111">
        <v>-33.947606940077719</v>
      </c>
      <c r="E15" s="65" t="s">
        <v>86</v>
      </c>
      <c r="F15" s="66">
        <v>7.0442335413929413E-3</v>
      </c>
      <c r="G15" s="66">
        <v>0</v>
      </c>
      <c r="H15" s="66">
        <v>-2.5807204191890305</v>
      </c>
      <c r="J15" s="44"/>
      <c r="K15">
        <v>1</v>
      </c>
      <c r="L15" s="44">
        <v>6.25E-2</v>
      </c>
      <c r="M15" s="44">
        <v>-25.420348826380888</v>
      </c>
      <c r="N15" s="44">
        <v>20.967278325652671</v>
      </c>
      <c r="O15" s="44">
        <v>0</v>
      </c>
      <c r="P15" s="2">
        <v>0</v>
      </c>
      <c r="Q15" s="2">
        <v>1.7308226831085189E-9</v>
      </c>
      <c r="R15" s="2">
        <v>5.471260190201779E-8</v>
      </c>
      <c r="S15" s="83"/>
      <c r="T15" s="60"/>
      <c r="U15" s="2">
        <f t="shared" si="0"/>
        <v>128</v>
      </c>
      <c r="V15" s="2">
        <v>30</v>
      </c>
      <c r="W15" s="2"/>
      <c r="X15" s="2"/>
      <c r="Y15" s="98"/>
      <c r="AA15" s="2"/>
      <c r="AB15" s="2"/>
      <c r="AC15" s="2"/>
      <c r="AD15" s="44"/>
      <c r="AE15" s="44"/>
      <c r="AF15" s="44"/>
      <c r="AG15" s="83"/>
      <c r="AH15" s="83"/>
      <c r="AI15" s="2"/>
      <c r="AJ15" s="2"/>
      <c r="AK15" s="2"/>
      <c r="AL15" s="2"/>
      <c r="AM15" s="2"/>
      <c r="AN15" s="2"/>
      <c r="AO15" s="2"/>
      <c r="AP15" s="2"/>
      <c r="AQ15" s="2"/>
      <c r="AS15" s="2"/>
      <c r="AT15" s="44"/>
      <c r="AU15" s="44"/>
      <c r="AV15" s="2"/>
      <c r="AW15" s="2"/>
      <c r="AX15" s="2"/>
      <c r="AY15" s="2"/>
      <c r="AZ15" s="2"/>
      <c r="BA15" s="2"/>
    </row>
    <row r="16" spans="1:53" x14ac:dyDescent="0.2">
      <c r="A16" s="16"/>
      <c r="B16" s="29" t="s">
        <v>40</v>
      </c>
      <c r="C16" s="70">
        <v>-1.7516015964934211E-7</v>
      </c>
      <c r="D16" s="112">
        <v>0</v>
      </c>
      <c r="E16" s="29" t="s">
        <v>87</v>
      </c>
      <c r="F16" s="67">
        <v>7.0442335413929413E-3</v>
      </c>
      <c r="G16" s="67">
        <v>0</v>
      </c>
      <c r="H16" s="67">
        <v>7.4685892156007192</v>
      </c>
      <c r="J16" s="44"/>
      <c r="K16">
        <v>1</v>
      </c>
      <c r="L16" s="44">
        <v>7.4999999999999997E-2</v>
      </c>
      <c r="M16" s="44">
        <v>-25.295348826380888</v>
      </c>
      <c r="N16" s="44">
        <v>20.650305215322913</v>
      </c>
      <c r="O16" s="44">
        <v>0</v>
      </c>
      <c r="P16" s="2">
        <v>0</v>
      </c>
      <c r="Q16" s="2">
        <v>2.4802723595221931E-9</v>
      </c>
      <c r="R16" s="2">
        <v>6.5172790088008209E-8</v>
      </c>
      <c r="S16" s="83"/>
      <c r="T16" s="60"/>
      <c r="U16" s="2">
        <f t="shared" si="0"/>
        <v>256</v>
      </c>
      <c r="V16" s="4">
        <v>35</v>
      </c>
      <c r="W16" s="2"/>
      <c r="X16" s="2"/>
      <c r="Y16" s="98"/>
      <c r="AA16" s="2"/>
      <c r="AB16" s="2"/>
      <c r="AC16" s="2"/>
      <c r="AD16" s="44"/>
      <c r="AE16" s="44"/>
      <c r="AF16" s="44"/>
      <c r="AG16" s="83"/>
      <c r="AH16" s="83"/>
      <c r="AI16" s="2"/>
      <c r="AJ16" s="2"/>
      <c r="AK16" s="2"/>
      <c r="AL16" s="2"/>
      <c r="AM16" s="2"/>
      <c r="AN16" s="2"/>
      <c r="AO16" s="2"/>
      <c r="AP16" s="2"/>
      <c r="AQ16" s="2"/>
    </row>
    <row r="17" spans="1:53" x14ac:dyDescent="0.2">
      <c r="A17" s="16"/>
      <c r="B17" s="27" t="s">
        <v>78</v>
      </c>
      <c r="C17" s="68">
        <v>0</v>
      </c>
      <c r="D17" s="110">
        <v>0</v>
      </c>
      <c r="E17" s="65"/>
      <c r="F17" s="66"/>
      <c r="G17" s="66"/>
      <c r="H17" s="66"/>
      <c r="K17">
        <v>1</v>
      </c>
      <c r="L17" s="44">
        <v>8.7499999999999994E-2</v>
      </c>
      <c r="M17" s="44">
        <v>-25.170348826380888</v>
      </c>
      <c r="N17" s="44">
        <v>20.334894604993153</v>
      </c>
      <c r="O17" s="44">
        <v>0</v>
      </c>
      <c r="P17" s="2">
        <v>0</v>
      </c>
      <c r="Q17" s="2">
        <v>3.35948016574691E-9</v>
      </c>
      <c r="R17" s="2">
        <v>7.5474033579163323E-8</v>
      </c>
      <c r="S17" s="83"/>
      <c r="T17" s="60"/>
      <c r="U17" s="2">
        <f t="shared" si="0"/>
        <v>512</v>
      </c>
      <c r="V17" s="2">
        <v>40</v>
      </c>
      <c r="W17" s="2"/>
      <c r="X17" s="2"/>
      <c r="Y17" s="98"/>
      <c r="AA17" s="2"/>
      <c r="AB17" s="2"/>
      <c r="AC17" s="2"/>
      <c r="AD17" s="44"/>
      <c r="AE17" s="44"/>
      <c r="AF17" s="44"/>
      <c r="AG17" s="83"/>
      <c r="AH17" s="83"/>
      <c r="AI17" s="2"/>
      <c r="AJ17" s="2"/>
      <c r="AK17" s="2"/>
      <c r="AL17" s="2"/>
      <c r="AM17" s="2"/>
      <c r="AN17" s="2"/>
      <c r="AO17" s="2"/>
      <c r="AP17" s="2"/>
      <c r="AQ17" s="2"/>
      <c r="AS17" s="2"/>
      <c r="AT17" s="44"/>
      <c r="AU17" s="44"/>
      <c r="AV17" s="2"/>
      <c r="AW17" s="2"/>
      <c r="AX17" s="2"/>
      <c r="AY17" s="2"/>
      <c r="AZ17" s="2"/>
      <c r="BA17" s="2"/>
    </row>
    <row r="18" spans="1:53" x14ac:dyDescent="0.2">
      <c r="A18" s="16"/>
      <c r="B18" s="28" t="s">
        <v>79</v>
      </c>
      <c r="C18" s="69">
        <v>7.5154452327889585E-6</v>
      </c>
      <c r="D18" s="111">
        <v>-4.4408920985006262E-16</v>
      </c>
      <c r="E18" s="29"/>
      <c r="F18" s="67"/>
      <c r="G18" s="67"/>
      <c r="H18" s="67"/>
      <c r="K18">
        <v>1</v>
      </c>
      <c r="L18" s="44">
        <v>9.9999999999999992E-2</v>
      </c>
      <c r="M18" s="44">
        <v>-25.045348826380888</v>
      </c>
      <c r="N18" s="44">
        <v>20.021046494663391</v>
      </c>
      <c r="O18" s="44">
        <v>0</v>
      </c>
      <c r="P18" s="2">
        <v>0</v>
      </c>
      <c r="Q18" s="2">
        <v>4.3664642021239301E-9</v>
      </c>
      <c r="R18" s="2">
        <v>8.5617117819755554E-8</v>
      </c>
      <c r="T18" s="60"/>
      <c r="U18" s="2">
        <f t="shared" si="0"/>
        <v>1024</v>
      </c>
      <c r="V18" s="4">
        <v>45</v>
      </c>
      <c r="W18" s="2"/>
      <c r="X18" s="2"/>
      <c r="Y18" s="98"/>
      <c r="AA18" s="2"/>
      <c r="AB18" s="2"/>
      <c r="AC18" s="2"/>
      <c r="AD18" s="44"/>
      <c r="AE18" s="44"/>
      <c r="AF18" s="44"/>
      <c r="AG18" s="83"/>
      <c r="AH18" s="83"/>
      <c r="AI18" s="2"/>
      <c r="AJ18" s="2"/>
      <c r="AK18" s="2"/>
      <c r="AL18" s="2"/>
      <c r="AM18" s="2"/>
      <c r="AN18" s="2"/>
      <c r="AO18" s="2"/>
      <c r="AP18" s="2"/>
      <c r="AQ18" s="2"/>
      <c r="AS18" s="2"/>
      <c r="AT18" s="44"/>
      <c r="AU18" s="44"/>
      <c r="AV18" s="2"/>
      <c r="AW18" s="2"/>
      <c r="AX18" s="2"/>
      <c r="AY18" s="2"/>
      <c r="AZ18" s="2"/>
      <c r="BA18" s="2"/>
    </row>
    <row r="19" spans="1:53" x14ac:dyDescent="0.2">
      <c r="A19" s="16"/>
      <c r="B19" s="29" t="s">
        <v>80</v>
      </c>
      <c r="C19" s="70">
        <v>-1.2076663819207316E-6</v>
      </c>
      <c r="D19" s="112">
        <v>-1.5543122344752192E-15</v>
      </c>
      <c r="E19" s="65"/>
      <c r="F19" s="66"/>
      <c r="G19" s="66"/>
      <c r="H19" s="66"/>
      <c r="K19">
        <v>1</v>
      </c>
      <c r="L19" s="44">
        <v>0.11249999999999999</v>
      </c>
      <c r="M19" s="44">
        <v>-24.920348826380888</v>
      </c>
      <c r="N19" s="44">
        <v>19.708760884333628</v>
      </c>
      <c r="O19" s="44">
        <v>0</v>
      </c>
      <c r="P19" s="2">
        <v>0</v>
      </c>
      <c r="Q19" s="2">
        <v>5.4992523870479203E-9</v>
      </c>
      <c r="R19" s="2">
        <v>9.5602828254057299E-8</v>
      </c>
      <c r="T19" s="60"/>
      <c r="U19" s="2">
        <f t="shared" si="0"/>
        <v>2048</v>
      </c>
      <c r="V19" s="2">
        <v>50</v>
      </c>
      <c r="W19" s="2"/>
      <c r="X19" s="2"/>
      <c r="Y19" s="98"/>
      <c r="AA19" s="2"/>
      <c r="AB19" s="2"/>
      <c r="AC19" s="2"/>
      <c r="AD19" s="44"/>
      <c r="AE19" s="44"/>
      <c r="AF19" s="44"/>
      <c r="AG19" s="83"/>
      <c r="AH19" s="83"/>
      <c r="AI19" s="2"/>
      <c r="AJ19" s="2"/>
      <c r="AK19" s="2"/>
      <c r="AL19" s="2"/>
      <c r="AM19" s="2"/>
      <c r="AN19" s="2"/>
      <c r="AO19" s="2"/>
      <c r="AP19" s="2"/>
      <c r="AQ19" s="2"/>
      <c r="AS19" s="2"/>
      <c r="AT19" s="44"/>
      <c r="AU19" s="44"/>
      <c r="AV19" s="2"/>
      <c r="AW19" s="2"/>
      <c r="AX19" s="2"/>
      <c r="AY19" s="2"/>
      <c r="AZ19" s="2"/>
      <c r="BA19" s="2"/>
    </row>
    <row r="20" spans="1:53" x14ac:dyDescent="0.2">
      <c r="A20" s="16"/>
      <c r="B20" s="27" t="s">
        <v>81</v>
      </c>
      <c r="C20" s="68">
        <v>0</v>
      </c>
      <c r="D20" s="110">
        <v>0</v>
      </c>
      <c r="E20" s="29"/>
      <c r="F20" s="67"/>
      <c r="G20" s="67"/>
      <c r="H20" s="67"/>
      <c r="K20">
        <v>1</v>
      </c>
      <c r="L20" s="44">
        <v>0.12499999999999999</v>
      </c>
      <c r="M20" s="44">
        <v>-24.795348826380888</v>
      </c>
      <c r="N20" s="44">
        <v>19.398037774003868</v>
      </c>
      <c r="O20" s="44">
        <v>0</v>
      </c>
      <c r="P20" s="2">
        <v>0</v>
      </c>
      <c r="Q20" s="2">
        <v>6.7558824569669535E-9</v>
      </c>
      <c r="R20" s="2">
        <v>1.0543195032634101E-7</v>
      </c>
      <c r="T20" s="60"/>
      <c r="U20" s="2">
        <f t="shared" si="0"/>
        <v>4096</v>
      </c>
      <c r="V20" s="4">
        <v>55</v>
      </c>
      <c r="W20" s="2"/>
      <c r="X20" s="2"/>
      <c r="Y20" s="98"/>
      <c r="AA20" s="2"/>
      <c r="AB20" s="2"/>
      <c r="AC20" s="2"/>
      <c r="AD20" s="44"/>
      <c r="AE20" s="44"/>
      <c r="AF20" s="44"/>
      <c r="AG20" s="83"/>
      <c r="AH20" s="83"/>
      <c r="AI20" s="2"/>
      <c r="AJ20" s="2"/>
      <c r="AK20" s="2"/>
      <c r="AL20" s="2"/>
      <c r="AM20" s="2"/>
      <c r="AN20" s="2"/>
      <c r="AO20" s="2"/>
      <c r="AP20" s="2"/>
      <c r="AQ20" s="2"/>
      <c r="AS20" s="2"/>
      <c r="AT20" s="44"/>
      <c r="AU20" s="44"/>
      <c r="AV20" s="2"/>
      <c r="AW20" s="2"/>
      <c r="AX20" s="2"/>
      <c r="AY20" s="2"/>
      <c r="AZ20" s="2"/>
      <c r="BA20" s="2"/>
    </row>
    <row r="21" spans="1:53" x14ac:dyDescent="0.2">
      <c r="A21" s="16"/>
      <c r="B21" s="28" t="s">
        <v>82</v>
      </c>
      <c r="C21" s="69">
        <v>0</v>
      </c>
      <c r="D21" s="111">
        <v>-7.0442335413929413E-3</v>
      </c>
      <c r="E21" s="65"/>
      <c r="F21" s="66"/>
      <c r="G21" s="66"/>
      <c r="H21" s="66"/>
      <c r="K21">
        <v>1</v>
      </c>
      <c r="L21" s="44">
        <v>0.13749999999999998</v>
      </c>
      <c r="M21" s="44">
        <v>-24.670348826380888</v>
      </c>
      <c r="N21" s="44">
        <v>19.088877163674105</v>
      </c>
      <c r="O21" s="44">
        <v>0</v>
      </c>
      <c r="P21" s="2">
        <v>0</v>
      </c>
      <c r="Q21" s="2">
        <v>8.1344019663825058E-9</v>
      </c>
      <c r="R21" s="2">
        <v>1.1510526948087906E-7</v>
      </c>
      <c r="T21" s="60"/>
      <c r="U21" s="2">
        <f t="shared" si="0"/>
        <v>8192</v>
      </c>
      <c r="V21" s="2">
        <v>60</v>
      </c>
      <c r="W21" s="2"/>
      <c r="X21" s="2"/>
      <c r="Y21" s="98"/>
      <c r="AA21" s="2"/>
      <c r="AB21" s="2"/>
      <c r="AC21" s="2"/>
      <c r="AD21" s="44"/>
      <c r="AE21" s="44"/>
      <c r="AF21" s="44"/>
      <c r="AG21" s="83"/>
      <c r="AH21" s="83"/>
      <c r="AI21" s="2"/>
      <c r="AJ21" s="2"/>
      <c r="AK21" s="2"/>
      <c r="AL21" s="2"/>
      <c r="AM21" s="2"/>
      <c r="AN21" s="2"/>
      <c r="AO21" s="2"/>
      <c r="AP21" s="2"/>
      <c r="AQ21" s="2"/>
      <c r="AS21" s="2"/>
      <c r="AT21" s="44"/>
      <c r="AU21" s="44"/>
      <c r="AV21" s="2"/>
      <c r="AW21" s="2"/>
      <c r="AX21" s="2"/>
      <c r="AY21" s="2"/>
      <c r="AZ21" s="2"/>
      <c r="BA21" s="2"/>
    </row>
    <row r="22" spans="1:53" x14ac:dyDescent="0.2">
      <c r="A22" s="16"/>
      <c r="B22" s="29" t="s">
        <v>83</v>
      </c>
      <c r="C22" s="70">
        <v>0</v>
      </c>
      <c r="D22" s="112">
        <v>7.4685892156007192</v>
      </c>
      <c r="E22" s="29"/>
      <c r="F22" s="67"/>
      <c r="G22" s="67"/>
      <c r="H22" s="67"/>
      <c r="K22">
        <v>1</v>
      </c>
      <c r="L22" s="44">
        <v>0.15</v>
      </c>
      <c r="M22" s="44">
        <v>-24.545348826380888</v>
      </c>
      <c r="N22" s="44">
        <v>18.781279053344345</v>
      </c>
      <c r="O22" s="44">
        <v>0</v>
      </c>
      <c r="P22" s="2">
        <v>0</v>
      </c>
      <c r="Q22" s="2">
        <v>9.6328682878494616E-9</v>
      </c>
      <c r="R22" s="2">
        <v>1.2462357116194388E-7</v>
      </c>
      <c r="T22" s="60"/>
      <c r="U22" s="2">
        <f t="shared" si="0"/>
        <v>16384</v>
      </c>
      <c r="V22" s="4">
        <v>65</v>
      </c>
      <c r="W22" s="2"/>
      <c r="X22" s="2"/>
      <c r="Y22" s="98"/>
      <c r="AA22" s="2"/>
      <c r="AB22" s="2"/>
      <c r="AC22" s="2"/>
      <c r="AD22" s="44"/>
      <c r="AE22" s="44"/>
      <c r="AF22" s="44"/>
      <c r="AG22" s="83"/>
      <c r="AH22" s="83"/>
      <c r="AI22" s="2"/>
      <c r="AJ22" s="2"/>
      <c r="AK22" s="2"/>
      <c r="AL22" s="2"/>
      <c r="AM22" s="2"/>
      <c r="AN22" s="2"/>
      <c r="AO22" s="2"/>
      <c r="AP22" s="2"/>
      <c r="AQ22" s="2"/>
    </row>
    <row r="23" spans="1:53" x14ac:dyDescent="0.2">
      <c r="A23" s="16"/>
      <c r="B23" s="27"/>
      <c r="C23" s="68"/>
      <c r="D23" s="110"/>
      <c r="E23" s="65"/>
      <c r="F23" s="66"/>
      <c r="G23" s="66"/>
      <c r="H23" s="66"/>
      <c r="K23">
        <v>1</v>
      </c>
      <c r="L23" s="44">
        <v>0.16250000000000001</v>
      </c>
      <c r="M23" s="44">
        <v>-24.420348826380888</v>
      </c>
      <c r="N23" s="44">
        <v>18.475243443014584</v>
      </c>
      <c r="O23" s="44">
        <v>0</v>
      </c>
      <c r="P23" s="2">
        <v>0</v>
      </c>
      <c r="Q23" s="2">
        <v>1.1249348611976104E-8</v>
      </c>
      <c r="R23" s="2">
        <v>1.3398764081380793E-7</v>
      </c>
      <c r="S23" s="83"/>
      <c r="T23" s="60"/>
      <c r="U23" s="2">
        <f t="shared" si="0"/>
        <v>32768</v>
      </c>
      <c r="V23" s="2">
        <v>70</v>
      </c>
      <c r="W23" s="2"/>
      <c r="X23" s="2"/>
      <c r="Y23" s="98"/>
      <c r="AA23" s="2"/>
      <c r="AB23" s="2"/>
      <c r="AC23" s="2"/>
      <c r="AD23" s="44"/>
      <c r="AE23" s="44"/>
      <c r="AF23" s="44"/>
      <c r="AG23" s="83"/>
      <c r="AH23" s="83"/>
      <c r="AI23" s="2"/>
      <c r="AJ23" s="2"/>
      <c r="AK23" s="2"/>
      <c r="AL23" s="2"/>
      <c r="AM23" s="2"/>
      <c r="AN23" s="2"/>
      <c r="AO23" s="2"/>
      <c r="AP23" s="2"/>
      <c r="AQ23" s="2"/>
      <c r="AS23" s="2"/>
      <c r="AT23" s="44"/>
      <c r="AU23" s="44"/>
      <c r="AV23" s="2"/>
      <c r="AW23" s="2"/>
      <c r="AX23" s="2"/>
      <c r="AY23" s="2"/>
      <c r="AZ23" s="2"/>
      <c r="BA23" s="2"/>
    </row>
    <row r="24" spans="1:53" x14ac:dyDescent="0.2">
      <c r="A24" s="16"/>
      <c r="B24" s="28"/>
      <c r="C24" s="69"/>
      <c r="D24" s="111"/>
      <c r="E24" s="29"/>
      <c r="F24" s="67"/>
      <c r="G24" s="67"/>
      <c r="H24" s="67"/>
      <c r="K24">
        <v>1</v>
      </c>
      <c r="L24" s="44">
        <v>0.17500000000000002</v>
      </c>
      <c r="M24" s="44">
        <v>-24.295348826380888</v>
      </c>
      <c r="N24" s="44">
        <v>18.170770332684825</v>
      </c>
      <c r="O24" s="44">
        <v>0</v>
      </c>
      <c r="P24" s="2">
        <v>0</v>
      </c>
      <c r="Q24" s="2">
        <v>1.2981919947424127E-8</v>
      </c>
      <c r="R24" s="2">
        <v>1.4319826388074355E-7</v>
      </c>
      <c r="S24" s="83"/>
      <c r="T24" s="60"/>
      <c r="U24" s="2">
        <f t="shared" si="0"/>
        <v>65536</v>
      </c>
      <c r="V24" s="4">
        <v>75</v>
      </c>
      <c r="W24" s="2"/>
      <c r="X24" s="2"/>
      <c r="Y24" s="98"/>
      <c r="AA24" s="2"/>
      <c r="AB24" s="2"/>
      <c r="AC24" s="2"/>
      <c r="AD24" s="44"/>
      <c r="AE24" s="44"/>
      <c r="AF24" s="44"/>
      <c r="AG24" s="83"/>
      <c r="AH24" s="83"/>
      <c r="AI24" s="2"/>
      <c r="AJ24" s="2"/>
      <c r="AK24" s="2"/>
      <c r="AL24" s="2"/>
      <c r="AM24" s="2"/>
      <c r="AN24" s="2"/>
      <c r="AO24" s="2"/>
      <c r="AP24" s="2"/>
      <c r="AQ24" s="2"/>
      <c r="AS24" s="2"/>
      <c r="AT24" s="44"/>
      <c r="AU24" s="44"/>
      <c r="AV24" s="2"/>
      <c r="AW24" s="2"/>
      <c r="AX24" s="2"/>
      <c r="AY24" s="2"/>
      <c r="AZ24" s="2"/>
      <c r="BA24" s="2"/>
    </row>
    <row r="25" spans="1:53" x14ac:dyDescent="0.2">
      <c r="A25" s="16"/>
      <c r="B25" s="29"/>
      <c r="C25" s="70"/>
      <c r="D25" s="112"/>
      <c r="E25" s="65"/>
      <c r="F25" s="66"/>
      <c r="G25" s="66"/>
      <c r="H25" s="66"/>
      <c r="K25">
        <v>1</v>
      </c>
      <c r="L25" s="44">
        <v>0.18750000000000003</v>
      </c>
      <c r="M25" s="44">
        <v>-24.170348826380888</v>
      </c>
      <c r="N25" s="44">
        <v>17.86785972235506</v>
      </c>
      <c r="O25" s="44">
        <v>0</v>
      </c>
      <c r="P25" s="2">
        <v>0</v>
      </c>
      <c r="Q25" s="2">
        <v>1.482866912090863E-8</v>
      </c>
      <c r="R25" s="2">
        <v>1.5225622580702319E-7</v>
      </c>
      <c r="T25" s="60"/>
      <c r="U25" s="2">
        <f t="shared" si="0"/>
        <v>131072</v>
      </c>
      <c r="V25" s="2">
        <v>80</v>
      </c>
      <c r="W25" s="2"/>
      <c r="X25" s="2"/>
      <c r="Y25" s="98"/>
      <c r="AA25" s="2"/>
      <c r="AB25" s="2"/>
      <c r="AC25" s="2"/>
      <c r="AD25" s="44"/>
      <c r="AE25" s="44"/>
      <c r="AF25" s="44"/>
      <c r="AG25" s="83"/>
      <c r="AH25" s="83"/>
      <c r="AI25" s="2"/>
      <c r="AJ25" s="2"/>
      <c r="AK25" s="2"/>
      <c r="AL25" s="2"/>
      <c r="AM25" s="2"/>
      <c r="AN25" s="2"/>
      <c r="AO25" s="2"/>
      <c r="AP25" s="2"/>
      <c r="AQ25" s="2"/>
      <c r="AT25" s="44"/>
      <c r="AU25" s="44"/>
      <c r="AV25" s="2"/>
      <c r="AW25" s="2"/>
      <c r="AX25" s="2"/>
      <c r="AY25" s="2"/>
      <c r="AZ25" s="2"/>
      <c r="BA25" s="2"/>
    </row>
    <row r="26" spans="1:53" x14ac:dyDescent="0.2">
      <c r="A26" s="16"/>
      <c r="B26" s="27"/>
      <c r="C26" s="68"/>
      <c r="D26" s="107"/>
      <c r="E26" s="29"/>
      <c r="F26" s="67"/>
      <c r="G26" s="67"/>
      <c r="H26" s="67"/>
      <c r="K26">
        <v>1</v>
      </c>
      <c r="L26" s="44">
        <v>0.20000000000000004</v>
      </c>
      <c r="M26" s="44">
        <v>-24.045348826380888</v>
      </c>
      <c r="N26" s="44">
        <v>17.566511612025302</v>
      </c>
      <c r="O26" s="44">
        <v>0</v>
      </c>
      <c r="P26" s="2">
        <v>0</v>
      </c>
      <c r="Q26" s="2">
        <v>1.678769277719811E-8</v>
      </c>
      <c r="R26" s="2">
        <v>1.6116231203691927E-7</v>
      </c>
      <c r="T26" s="60"/>
      <c r="U26" s="2">
        <f t="shared" si="0"/>
        <v>262144</v>
      </c>
      <c r="V26" s="4">
        <v>85</v>
      </c>
      <c r="W26" s="2"/>
      <c r="X26" s="2"/>
      <c r="Y26" s="98"/>
      <c r="AA26" s="2"/>
      <c r="AB26" s="2"/>
      <c r="AC26" s="2"/>
      <c r="AD26" s="44"/>
      <c r="AE26" s="44"/>
      <c r="AF26" s="44"/>
      <c r="AG26" s="83"/>
      <c r="AH26" s="83"/>
      <c r="AI26" s="2"/>
      <c r="AJ26" s="2"/>
      <c r="AK26" s="2"/>
      <c r="AL26" s="2"/>
      <c r="AM26" s="2"/>
      <c r="AN26" s="2"/>
      <c r="AO26" s="2"/>
      <c r="AP26" s="2"/>
      <c r="AQ26" s="2"/>
      <c r="AT26" s="44"/>
      <c r="AU26" s="44"/>
      <c r="AV26" s="2"/>
      <c r="AW26" s="2"/>
      <c r="AX26" s="2"/>
      <c r="AY26" s="2"/>
      <c r="AZ26" s="2"/>
      <c r="BA26" s="2"/>
    </row>
    <row r="27" spans="1:53" x14ac:dyDescent="0.2">
      <c r="A27" s="16"/>
      <c r="B27" s="28"/>
      <c r="C27" s="69"/>
      <c r="D27" s="108"/>
      <c r="E27" s="65"/>
      <c r="F27" s="66"/>
      <c r="G27" s="66"/>
      <c r="H27" s="66"/>
      <c r="K27">
        <v>1</v>
      </c>
      <c r="L27" s="44">
        <v>0.21250000000000005</v>
      </c>
      <c r="M27" s="44">
        <v>-23.920348826380888</v>
      </c>
      <c r="N27" s="44">
        <v>17.266726001695538</v>
      </c>
      <c r="O27" s="44">
        <v>0</v>
      </c>
      <c r="P27" s="2">
        <v>0</v>
      </c>
      <c r="Q27" s="2">
        <v>1.8857097379114483E-8</v>
      </c>
      <c r="R27" s="2">
        <v>1.6991730801470418E-7</v>
      </c>
      <c r="T27" s="60"/>
      <c r="U27" s="2">
        <f t="shared" si="0"/>
        <v>524288</v>
      </c>
      <c r="V27" s="2">
        <v>90</v>
      </c>
      <c r="W27" s="2"/>
      <c r="X27" s="2"/>
      <c r="Y27" s="98"/>
      <c r="AA27" s="2"/>
      <c r="AB27" s="2"/>
      <c r="AC27" s="2"/>
      <c r="AD27" s="44"/>
      <c r="AE27" s="44"/>
      <c r="AF27" s="44"/>
      <c r="AG27" s="83"/>
      <c r="AH27" s="83"/>
      <c r="AI27" s="2"/>
      <c r="AJ27" s="2"/>
      <c r="AK27" s="2"/>
      <c r="AL27" s="2"/>
      <c r="AM27" s="2"/>
      <c r="AN27" s="2"/>
      <c r="AO27" s="2"/>
      <c r="AP27" s="2"/>
      <c r="AQ27" s="2"/>
      <c r="AS27" s="2"/>
      <c r="AT27" s="44"/>
      <c r="AU27" s="44"/>
      <c r="AV27" s="2"/>
      <c r="AW27" s="2"/>
      <c r="AX27" s="2"/>
      <c r="AY27" s="2"/>
      <c r="AZ27" s="2"/>
      <c r="BA27" s="2"/>
    </row>
    <row r="28" spans="1:53" x14ac:dyDescent="0.2">
      <c r="A28" s="16"/>
      <c r="B28" s="29"/>
      <c r="C28" s="70"/>
      <c r="D28" s="109"/>
      <c r="E28" s="29"/>
      <c r="F28" s="67"/>
      <c r="G28" s="67"/>
      <c r="H28" s="67"/>
      <c r="K28">
        <v>1</v>
      </c>
      <c r="L28" s="44">
        <v>0.22500000000000006</v>
      </c>
      <c r="M28" s="44">
        <v>-23.795348826380888</v>
      </c>
      <c r="N28" s="44">
        <v>16.968502891365777</v>
      </c>
      <c r="O28" s="44">
        <v>0</v>
      </c>
      <c r="P28" s="2">
        <v>0</v>
      </c>
      <c r="Q28" s="2">
        <v>2.1034999207533057E-8</v>
      </c>
      <c r="R28" s="2">
        <v>1.7852199918465036E-7</v>
      </c>
      <c r="T28" s="60"/>
      <c r="U28" s="2">
        <f t="shared" si="0"/>
        <v>1048576</v>
      </c>
      <c r="V28" s="4">
        <v>95</v>
      </c>
      <c r="W28" s="2"/>
      <c r="X28" s="2"/>
      <c r="Y28" s="98"/>
      <c r="AA28" s="2"/>
      <c r="AB28" s="2"/>
      <c r="AC28" s="2"/>
      <c r="AD28" s="44"/>
      <c r="AE28" s="44"/>
      <c r="AF28" s="44"/>
      <c r="AG28" s="83"/>
      <c r="AH28" s="83"/>
      <c r="AI28" s="2"/>
      <c r="AJ28" s="2"/>
      <c r="AK28" s="2"/>
      <c r="AL28" s="2"/>
      <c r="AM28" s="2"/>
      <c r="AN28" s="2"/>
      <c r="AO28" s="2"/>
      <c r="AP28" s="2"/>
      <c r="AQ28" s="2"/>
    </row>
    <row r="29" spans="1:53" x14ac:dyDescent="0.2">
      <c r="A29" s="16"/>
      <c r="B29" s="28"/>
      <c r="C29" s="68"/>
      <c r="D29" s="107"/>
      <c r="E29" s="65"/>
      <c r="F29" s="66"/>
      <c r="G29" s="66"/>
      <c r="H29" s="66"/>
      <c r="K29">
        <v>1</v>
      </c>
      <c r="L29" s="44">
        <v>0.23750000000000007</v>
      </c>
      <c r="M29" s="44">
        <v>-23.670348826380888</v>
      </c>
      <c r="N29" s="44">
        <v>16.671842281036014</v>
      </c>
      <c r="O29" s="44">
        <v>0</v>
      </c>
      <c r="P29" s="2">
        <v>0</v>
      </c>
      <c r="Q29" s="2">
        <v>2.3319524361382554E-8</v>
      </c>
      <c r="R29" s="2">
        <v>1.8697717099103022E-7</v>
      </c>
      <c r="T29" s="60"/>
      <c r="U29" s="2">
        <f t="shared" si="0"/>
        <v>2097152</v>
      </c>
      <c r="V29" s="2">
        <v>100</v>
      </c>
      <c r="W29" s="2"/>
      <c r="X29" s="2"/>
      <c r="Y29" s="98"/>
      <c r="AA29" s="2"/>
      <c r="AB29" s="2"/>
      <c r="AC29" s="2"/>
      <c r="AD29" s="44"/>
      <c r="AE29" s="44"/>
      <c r="AF29" s="44"/>
      <c r="AG29" s="83"/>
      <c r="AH29" s="83"/>
      <c r="AI29" s="2"/>
      <c r="AJ29" s="2"/>
      <c r="AK29" s="2"/>
      <c r="AL29" s="2"/>
      <c r="AM29" s="2"/>
      <c r="AN29" s="2"/>
      <c r="AO29" s="2"/>
      <c r="AP29" s="2"/>
      <c r="AQ29" s="2"/>
      <c r="AS29" s="2"/>
      <c r="AT29" s="44"/>
      <c r="AU29" s="44"/>
      <c r="AV29" s="2"/>
      <c r="AW29" s="2"/>
      <c r="AX29" s="2"/>
      <c r="AY29" s="2"/>
      <c r="AZ29" s="2"/>
      <c r="BA29" s="2"/>
    </row>
    <row r="30" spans="1:53" x14ac:dyDescent="0.2">
      <c r="A30" s="16"/>
      <c r="B30" s="28"/>
      <c r="C30" s="69"/>
      <c r="D30" s="108"/>
      <c r="E30" s="29"/>
      <c r="F30" s="67"/>
      <c r="G30" s="67"/>
      <c r="H30" s="67"/>
      <c r="K30">
        <v>1</v>
      </c>
      <c r="L30" s="44">
        <v>0.25000000000000006</v>
      </c>
      <c r="M30" s="44">
        <v>-23.545348826380888</v>
      </c>
      <c r="N30" s="44">
        <v>16.376744170706253</v>
      </c>
      <c r="O30" s="44">
        <v>0</v>
      </c>
      <c r="P30" s="2">
        <v>0</v>
      </c>
      <c r="Q30" s="2">
        <v>2.5708808757645084E-8</v>
      </c>
      <c r="R30" s="2">
        <v>1.9528360887811617E-7</v>
      </c>
      <c r="T30" s="60"/>
      <c r="U30" s="2">
        <f t="shared" si="0"/>
        <v>4194304</v>
      </c>
      <c r="V30" s="4">
        <v>105</v>
      </c>
      <c r="W30" s="2"/>
      <c r="X30" s="2"/>
      <c r="Y30" s="98"/>
      <c r="AA30" s="2"/>
      <c r="AB30" s="2"/>
      <c r="AC30" s="2"/>
      <c r="AD30" s="44"/>
      <c r="AE30" s="44"/>
      <c r="AF30" s="44"/>
      <c r="AG30" s="83"/>
      <c r="AH30" s="83"/>
      <c r="AI30" s="2"/>
      <c r="AJ30" s="2"/>
      <c r="AK30" s="2"/>
      <c r="AL30" s="2"/>
      <c r="AM30" s="2"/>
      <c r="AN30" s="2"/>
      <c r="AO30" s="2"/>
      <c r="AP30" s="2"/>
      <c r="AQ30" s="2"/>
      <c r="AS30" s="2"/>
      <c r="AT30" s="44"/>
      <c r="AU30" s="44"/>
      <c r="AV30" s="2"/>
      <c r="AW30" s="2"/>
      <c r="AX30" s="2"/>
      <c r="AY30" s="2"/>
      <c r="AZ30" s="2"/>
      <c r="BA30" s="2"/>
    </row>
    <row r="31" spans="1:53" x14ac:dyDescent="0.2">
      <c r="A31" s="16"/>
      <c r="B31" s="29"/>
      <c r="C31" s="70"/>
      <c r="D31" s="109"/>
      <c r="E31" s="65"/>
      <c r="F31" s="66"/>
      <c r="G31" s="66"/>
      <c r="H31" s="66"/>
      <c r="J31" s="44"/>
      <c r="K31">
        <v>1</v>
      </c>
      <c r="L31" s="44">
        <v>0.26250000000000007</v>
      </c>
      <c r="M31" s="44">
        <v>-23.420348826380888</v>
      </c>
      <c r="N31" s="44">
        <v>16.083208560376494</v>
      </c>
      <c r="O31" s="44">
        <v>0</v>
      </c>
      <c r="P31" s="2">
        <v>0</v>
      </c>
      <c r="Q31" s="2">
        <v>2.8200998131356197E-8</v>
      </c>
      <c r="R31" s="2">
        <v>2.0344209829018061E-7</v>
      </c>
      <c r="T31" s="60"/>
      <c r="U31" s="2">
        <f t="shared" si="0"/>
        <v>8388608</v>
      </c>
      <c r="V31" s="2">
        <v>110</v>
      </c>
      <c r="W31" s="2"/>
      <c r="X31" s="2"/>
      <c r="Y31" s="98"/>
      <c r="AA31" s="2"/>
      <c r="AB31" s="2"/>
      <c r="AC31" s="2"/>
      <c r="AD31" s="44"/>
      <c r="AE31" s="44"/>
      <c r="AF31" s="44"/>
      <c r="AG31" s="83"/>
      <c r="AH31" s="83"/>
      <c r="AI31" s="2"/>
      <c r="AJ31" s="2"/>
      <c r="AK31" s="2"/>
      <c r="AL31" s="2"/>
      <c r="AM31" s="2"/>
      <c r="AN31" s="2"/>
      <c r="AO31" s="2"/>
      <c r="AP31" s="2"/>
      <c r="AQ31" s="2"/>
      <c r="AS31" s="2"/>
      <c r="AT31" s="44"/>
      <c r="AU31" s="44"/>
      <c r="AV31" s="2"/>
      <c r="AW31" s="2"/>
      <c r="AX31" s="2"/>
      <c r="AY31" s="2"/>
      <c r="AZ31" s="2"/>
      <c r="BA31" s="2"/>
    </row>
    <row r="32" spans="1:53" x14ac:dyDescent="0.2">
      <c r="A32" s="16"/>
      <c r="B32" s="28"/>
      <c r="C32" s="68"/>
      <c r="D32" s="107"/>
      <c r="E32" s="29"/>
      <c r="F32" s="67"/>
      <c r="G32" s="67"/>
      <c r="H32" s="67"/>
      <c r="J32" s="44"/>
      <c r="K32">
        <v>1</v>
      </c>
      <c r="L32" s="44">
        <v>0.27500000000000008</v>
      </c>
      <c r="M32" s="44">
        <v>-23.295348826380888</v>
      </c>
      <c r="N32" s="44">
        <v>15.791235450046733</v>
      </c>
      <c r="O32" s="44">
        <v>0</v>
      </c>
      <c r="P32" s="2">
        <v>0</v>
      </c>
      <c r="Q32" s="2">
        <v>3.0794248035604822E-8</v>
      </c>
      <c r="R32" s="2">
        <v>2.1145342467149597E-7</v>
      </c>
      <c r="T32" s="60"/>
      <c r="U32" s="2">
        <f t="shared" si="0"/>
        <v>16777216</v>
      </c>
      <c r="V32" s="4">
        <v>115</v>
      </c>
      <c r="W32" s="2"/>
      <c r="X32" s="2"/>
      <c r="Y32" s="98"/>
      <c r="AA32" s="2"/>
      <c r="AB32" s="2"/>
      <c r="AC32" s="2"/>
      <c r="AD32" s="44"/>
      <c r="AE32" s="44"/>
      <c r="AF32" s="44"/>
      <c r="AG32" s="83"/>
      <c r="AH32" s="83"/>
      <c r="AI32" s="2"/>
      <c r="AJ32" s="2"/>
      <c r="AK32" s="2"/>
      <c r="AL32" s="2"/>
      <c r="AM32" s="2"/>
      <c r="AN32" s="2"/>
      <c r="AO32" s="2"/>
      <c r="AP32" s="2"/>
      <c r="AQ32" s="2"/>
      <c r="AS32" s="2"/>
      <c r="AT32" s="44"/>
      <c r="AU32" s="44"/>
      <c r="AV32" s="2"/>
      <c r="AW32" s="2"/>
      <c r="AX32" s="2"/>
      <c r="AY32" s="2"/>
      <c r="AZ32" s="2"/>
      <c r="BA32" s="2"/>
    </row>
    <row r="33" spans="1:53" x14ac:dyDescent="0.2">
      <c r="A33" s="16"/>
      <c r="B33" s="28"/>
      <c r="C33" s="69"/>
      <c r="D33" s="108"/>
      <c r="E33" s="65"/>
      <c r="F33" s="66"/>
      <c r="G33" s="66"/>
      <c r="H33" s="66"/>
      <c r="J33" s="44"/>
      <c r="K33">
        <v>1</v>
      </c>
      <c r="L33" s="44">
        <v>0.28750000000000009</v>
      </c>
      <c r="M33" s="44">
        <v>-23.170348826380888</v>
      </c>
      <c r="N33" s="44">
        <v>15.500824839716971</v>
      </c>
      <c r="O33" s="44">
        <v>0</v>
      </c>
      <c r="P33" s="2">
        <v>0</v>
      </c>
      <c r="Q33" s="2">
        <v>3.348672384153329E-8</v>
      </c>
      <c r="R33" s="2">
        <v>2.1931837346633469E-7</v>
      </c>
      <c r="T33" s="60"/>
      <c r="U33" s="2">
        <f t="shared" si="0"/>
        <v>33554432</v>
      </c>
      <c r="V33" s="2">
        <v>120</v>
      </c>
      <c r="W33" s="2"/>
      <c r="X33" s="2"/>
      <c r="Y33" s="98"/>
      <c r="AA33" s="2"/>
      <c r="AB33" s="2"/>
      <c r="AC33" s="2"/>
      <c r="AD33" s="44"/>
      <c r="AE33" s="44"/>
      <c r="AF33" s="44"/>
      <c r="AG33" s="83"/>
      <c r="AH33" s="83"/>
      <c r="AI33" s="2"/>
      <c r="AJ33" s="2"/>
      <c r="AK33" s="2"/>
      <c r="AL33" s="2"/>
      <c r="AM33" s="2"/>
      <c r="AN33" s="2"/>
      <c r="AO33" s="2"/>
      <c r="AP33" s="2"/>
      <c r="AQ33" s="2"/>
      <c r="AS33" s="2"/>
      <c r="AT33" s="44"/>
      <c r="AU33" s="44"/>
      <c r="AV33" s="2"/>
      <c r="AW33" s="2"/>
      <c r="AX33" s="2"/>
      <c r="AY33" s="2"/>
      <c r="AZ33" s="2"/>
      <c r="BA33" s="2"/>
    </row>
    <row r="34" spans="1:53" x14ac:dyDescent="0.2">
      <c r="A34" s="16"/>
      <c r="B34" s="29"/>
      <c r="C34" s="70"/>
      <c r="D34" s="109"/>
      <c r="E34" s="29"/>
      <c r="F34" s="67"/>
      <c r="G34" s="67"/>
      <c r="H34" s="67"/>
      <c r="K34">
        <v>1</v>
      </c>
      <c r="L34" s="44">
        <v>0.3000000000000001</v>
      </c>
      <c r="M34" s="44">
        <v>-23.045348826380888</v>
      </c>
      <c r="N34" s="44">
        <v>15.21197672938721</v>
      </c>
      <c r="O34" s="44">
        <v>0</v>
      </c>
      <c r="P34" s="2">
        <v>0</v>
      </c>
      <c r="Q34" s="2">
        <v>3.6276600738337344E-8</v>
      </c>
      <c r="R34" s="2">
        <v>2.2703773011896911E-7</v>
      </c>
      <c r="T34" s="60"/>
      <c r="U34" s="2">
        <f t="shared" si="0"/>
        <v>67108864</v>
      </c>
      <c r="V34" s="4">
        <v>125</v>
      </c>
      <c r="W34" s="2"/>
      <c r="X34" s="2"/>
      <c r="Y34" s="98"/>
      <c r="AA34" s="2"/>
      <c r="AB34" s="2"/>
      <c r="AC34" s="2"/>
      <c r="AD34" s="44"/>
      <c r="AE34" s="44"/>
      <c r="AF34" s="44"/>
      <c r="AG34" s="83"/>
      <c r="AH34" s="83"/>
      <c r="AI34" s="2"/>
      <c r="AJ34" s="2"/>
      <c r="AK34" s="2"/>
      <c r="AL34" s="2"/>
      <c r="AM34" s="2"/>
      <c r="AN34" s="2"/>
      <c r="AO34" s="2"/>
      <c r="AP34" s="2"/>
      <c r="AQ34" s="2"/>
    </row>
    <row r="35" spans="1:53" x14ac:dyDescent="0.2">
      <c r="A35" s="16"/>
      <c r="B35" s="28"/>
      <c r="C35" s="68"/>
      <c r="D35" s="107"/>
      <c r="E35" s="65"/>
      <c r="F35" s="66"/>
      <c r="G35" s="66"/>
      <c r="H35" s="66"/>
      <c r="K35">
        <v>1</v>
      </c>
      <c r="L35" s="44">
        <v>0.31250000000000011</v>
      </c>
      <c r="M35" s="44">
        <v>-22.920348826380888</v>
      </c>
      <c r="N35" s="44">
        <v>14.924691119057449</v>
      </c>
      <c r="O35" s="44">
        <v>0</v>
      </c>
      <c r="P35" s="2">
        <v>0</v>
      </c>
      <c r="Q35" s="2">
        <v>3.9162063733266139E-8</v>
      </c>
      <c r="R35" s="2">
        <v>2.3461228007367172E-7</v>
      </c>
      <c r="T35" s="60"/>
      <c r="U35" s="2">
        <f t="shared" si="0"/>
        <v>134217728</v>
      </c>
      <c r="V35" s="2">
        <v>130</v>
      </c>
      <c r="W35" s="2"/>
      <c r="X35" s="2"/>
      <c r="Y35" s="98"/>
      <c r="AA35" s="2"/>
      <c r="AB35" s="2"/>
      <c r="AC35" s="2"/>
      <c r="AD35" s="44"/>
      <c r="AE35" s="44"/>
      <c r="AF35" s="44"/>
      <c r="AG35" s="83"/>
      <c r="AH35" s="83"/>
      <c r="AI35" s="2"/>
      <c r="AJ35" s="2"/>
      <c r="AK35" s="2"/>
      <c r="AL35" s="2"/>
      <c r="AM35" s="2"/>
      <c r="AN35" s="2"/>
      <c r="AO35" s="2"/>
      <c r="AP35" s="2"/>
      <c r="AQ35" s="2"/>
      <c r="AS35" s="2"/>
      <c r="AT35" s="44"/>
      <c r="AU35" s="44"/>
      <c r="AV35" s="2"/>
      <c r="AW35" s="2"/>
      <c r="AX35" s="2"/>
      <c r="AY35" s="2"/>
      <c r="AZ35" s="2"/>
      <c r="BA35" s="2"/>
    </row>
    <row r="36" spans="1:53" x14ac:dyDescent="0.2">
      <c r="A36" s="16"/>
      <c r="B36" s="28"/>
      <c r="C36" s="69"/>
      <c r="D36" s="108"/>
      <c r="E36" s="29"/>
      <c r="F36" s="67"/>
      <c r="G36" s="67"/>
      <c r="H36" s="67"/>
      <c r="K36">
        <v>1</v>
      </c>
      <c r="L36" s="44">
        <v>0.32500000000000012</v>
      </c>
      <c r="M36" s="44">
        <v>-22.795348826380888</v>
      </c>
      <c r="N36" s="44">
        <v>14.638968008727687</v>
      </c>
      <c r="O36" s="44">
        <v>0</v>
      </c>
      <c r="P36" s="2">
        <v>0</v>
      </c>
      <c r="Q36" s="2">
        <v>4.214130765162223E-8</v>
      </c>
      <c r="R36" s="2">
        <v>2.4204280877471495E-7</v>
      </c>
      <c r="T36" s="60"/>
      <c r="U36" s="2">
        <f t="shared" si="0"/>
        <v>268435456</v>
      </c>
      <c r="V36" s="4">
        <v>135</v>
      </c>
      <c r="W36" s="2"/>
      <c r="X36" s="2"/>
      <c r="Y36" s="98"/>
      <c r="AA36" s="2"/>
      <c r="AB36" s="2"/>
      <c r="AC36" s="2"/>
      <c r="AD36" s="44"/>
      <c r="AE36" s="44"/>
      <c r="AF36" s="44"/>
      <c r="AG36" s="83"/>
      <c r="AH36" s="83"/>
      <c r="AI36" s="2"/>
      <c r="AJ36" s="2"/>
      <c r="AK36" s="2"/>
      <c r="AL36" s="2"/>
      <c r="AM36" s="2"/>
      <c r="AN36" s="2"/>
      <c r="AO36" s="2"/>
      <c r="AP36" s="2"/>
      <c r="AQ36" s="2"/>
      <c r="AS36" s="2"/>
      <c r="AT36" s="44"/>
      <c r="AU36" s="44"/>
      <c r="AV36" s="2"/>
      <c r="AW36" s="2"/>
      <c r="AX36" s="2"/>
      <c r="AY36" s="2"/>
      <c r="AZ36" s="2"/>
      <c r="BA36" s="2"/>
    </row>
    <row r="37" spans="1:53" x14ac:dyDescent="0.2">
      <c r="A37" s="16"/>
      <c r="B37" s="29"/>
      <c r="C37" s="70"/>
      <c r="D37" s="109"/>
      <c r="E37" s="65"/>
      <c r="F37" s="66"/>
      <c r="G37" s="66"/>
      <c r="H37" s="66"/>
      <c r="K37">
        <v>1</v>
      </c>
      <c r="L37" s="44">
        <v>0.33750000000000013</v>
      </c>
      <c r="M37" s="44">
        <v>-22.670348826380888</v>
      </c>
      <c r="N37" s="44">
        <v>14.354807398397925</v>
      </c>
      <c r="O37" s="44">
        <v>0</v>
      </c>
      <c r="P37" s="2">
        <v>0</v>
      </c>
      <c r="Q37" s="2">
        <v>4.5212537136761566E-8</v>
      </c>
      <c r="R37" s="2">
        <v>2.4933010166637116E-7</v>
      </c>
      <c r="T37" s="60"/>
      <c r="U37" s="2">
        <f t="shared" si="0"/>
        <v>536870912</v>
      </c>
      <c r="V37" s="2">
        <v>140</v>
      </c>
      <c r="W37" s="2"/>
      <c r="X37" s="2"/>
      <c r="Y37" s="98"/>
      <c r="AA37" s="2"/>
      <c r="AB37" s="2"/>
      <c r="AC37" s="2"/>
      <c r="AD37" s="44"/>
      <c r="AE37" s="44"/>
      <c r="AF37" s="44"/>
      <c r="AG37" s="83"/>
      <c r="AH37" s="83"/>
      <c r="AI37" s="2"/>
      <c r="AJ37" s="2"/>
      <c r="AK37" s="2"/>
      <c r="AL37" s="2"/>
      <c r="AM37" s="2"/>
      <c r="AN37" s="2"/>
      <c r="AO37" s="2"/>
      <c r="AP37" s="2"/>
      <c r="AQ37" s="2"/>
      <c r="AS37" s="2"/>
      <c r="AT37" s="44"/>
      <c r="AU37" s="44"/>
      <c r="AV37" s="2"/>
      <c r="AW37" s="2"/>
      <c r="AX37" s="2"/>
      <c r="AY37" s="2"/>
      <c r="AZ37" s="2"/>
      <c r="BA37" s="2"/>
    </row>
    <row r="38" spans="1:53" x14ac:dyDescent="0.2">
      <c r="A38" s="16"/>
      <c r="B38" s="28"/>
      <c r="C38" s="68"/>
      <c r="D38" s="107"/>
      <c r="E38" s="29"/>
      <c r="F38" s="67"/>
      <c r="G38" s="67"/>
      <c r="H38" s="67"/>
      <c r="K38">
        <v>1</v>
      </c>
      <c r="L38" s="44">
        <v>0.35000000000000014</v>
      </c>
      <c r="M38" s="44">
        <v>-22.545348826380888</v>
      </c>
      <c r="N38" s="44">
        <v>14.072209288068164</v>
      </c>
      <c r="O38" s="44">
        <v>0</v>
      </c>
      <c r="P38" s="2">
        <v>0</v>
      </c>
      <c r="Q38" s="2">
        <v>4.8373966650093528E-8</v>
      </c>
      <c r="R38" s="2">
        <v>2.5647494419291277E-7</v>
      </c>
      <c r="T38" s="60"/>
      <c r="U38" s="2">
        <f t="shared" si="0"/>
        <v>1073741824</v>
      </c>
      <c r="V38" s="4">
        <v>145</v>
      </c>
      <c r="W38" s="2"/>
      <c r="X38" s="2"/>
      <c r="Y38" s="98"/>
      <c r="AA38" s="2"/>
      <c r="AB38" s="2"/>
      <c r="AC38" s="2"/>
      <c r="AD38" s="44"/>
      <c r="AE38" s="44"/>
      <c r="AF38" s="44"/>
      <c r="AG38" s="83"/>
      <c r="AI38" s="2"/>
      <c r="AJ38" s="2"/>
      <c r="AK38" s="2"/>
      <c r="AS38" s="2"/>
      <c r="AT38" s="44"/>
      <c r="AU38" s="44"/>
      <c r="AV38" s="2"/>
      <c r="AW38" s="2"/>
      <c r="AX38" s="2"/>
      <c r="AY38" s="2"/>
      <c r="AZ38" s="2"/>
      <c r="BA38" s="2"/>
    </row>
    <row r="39" spans="1:53" x14ac:dyDescent="0.2">
      <c r="A39" s="16"/>
      <c r="B39" s="28"/>
      <c r="C39" s="69"/>
      <c r="D39" s="108"/>
      <c r="E39" s="65"/>
      <c r="F39" s="66"/>
      <c r="G39" s="66"/>
      <c r="H39" s="66"/>
      <c r="K39">
        <v>1</v>
      </c>
      <c r="L39" s="44">
        <v>0.36250000000000016</v>
      </c>
      <c r="M39" s="44">
        <v>-22.420348826380888</v>
      </c>
      <c r="N39" s="44">
        <v>13.791173677738403</v>
      </c>
      <c r="O39" s="44">
        <v>0</v>
      </c>
      <c r="P39" s="2">
        <v>0</v>
      </c>
      <c r="Q39" s="2">
        <v>5.1623820471080883E-8</v>
      </c>
      <c r="R39" s="2">
        <v>2.6347812179861219E-7</v>
      </c>
      <c r="T39" s="60"/>
      <c r="U39" s="2">
        <f t="shared" si="0"/>
        <v>2147483648</v>
      </c>
      <c r="V39" s="2">
        <v>150</v>
      </c>
      <c r="W39" s="2"/>
      <c r="X39" s="2"/>
      <c r="Y39" s="98"/>
      <c r="AA39" s="2"/>
      <c r="AB39" s="2"/>
      <c r="AC39" s="2"/>
      <c r="AD39" s="44"/>
      <c r="AE39" s="44"/>
      <c r="AF39" s="44"/>
      <c r="AI39" s="2"/>
      <c r="AJ39" s="2"/>
      <c r="AK39" s="2"/>
      <c r="AS39" s="2"/>
      <c r="AT39" s="44"/>
      <c r="AU39" s="44"/>
      <c r="AV39" s="2"/>
      <c r="AW39" s="2"/>
      <c r="AX39" s="2"/>
      <c r="AY39" s="2"/>
      <c r="AZ39" s="2"/>
      <c r="BA39" s="2"/>
    </row>
    <row r="40" spans="1:53" x14ac:dyDescent="0.2">
      <c r="A40" s="16"/>
      <c r="B40" s="29"/>
      <c r="C40" s="70"/>
      <c r="D40" s="109"/>
      <c r="E40" s="29"/>
      <c r="F40" s="67"/>
      <c r="G40" s="67"/>
      <c r="H40" s="67"/>
      <c r="K40">
        <v>1</v>
      </c>
      <c r="L40" s="44">
        <v>0.37500000000000017</v>
      </c>
      <c r="M40" s="44">
        <v>-22.295348826380888</v>
      </c>
      <c r="N40" s="44">
        <v>13.511700567408642</v>
      </c>
      <c r="O40" s="44">
        <v>0</v>
      </c>
      <c r="P40" s="2">
        <v>0</v>
      </c>
      <c r="Q40" s="2">
        <v>5.49603326972398E-8</v>
      </c>
      <c r="R40" s="2">
        <v>2.7034041992774185E-7</v>
      </c>
      <c r="T40" s="60"/>
      <c r="U40" s="2">
        <f t="shared" si="0"/>
        <v>4294967296</v>
      </c>
      <c r="V40" s="4">
        <v>155</v>
      </c>
      <c r="W40" s="2"/>
      <c r="X40" s="2"/>
      <c r="Y40" s="98"/>
      <c r="AA40" s="2"/>
      <c r="AB40" s="2"/>
      <c r="AC40" s="2"/>
      <c r="AD40" s="44"/>
      <c r="AE40" s="44"/>
      <c r="AF40" s="44"/>
      <c r="AI40" s="2"/>
      <c r="AJ40" s="2"/>
      <c r="AK40" s="2"/>
    </row>
    <row r="41" spans="1:53" x14ac:dyDescent="0.2">
      <c r="A41" s="16"/>
      <c r="B41" s="28"/>
      <c r="C41" s="68"/>
      <c r="D41" s="107"/>
      <c r="E41" s="65"/>
      <c r="F41" s="66"/>
      <c r="G41" s="66"/>
      <c r="H41" s="66"/>
      <c r="K41">
        <v>1</v>
      </c>
      <c r="L41" s="44">
        <v>0.38750000000000018</v>
      </c>
      <c r="M41" s="44">
        <v>-22.170348826380888</v>
      </c>
      <c r="N41" s="44">
        <v>13.23378995707888</v>
      </c>
      <c r="O41" s="44">
        <v>0</v>
      </c>
      <c r="P41" s="2">
        <v>0</v>
      </c>
      <c r="Q41" s="2">
        <v>5.8381747244139865E-8</v>
      </c>
      <c r="R41" s="2">
        <v>2.7706262402457413E-7</v>
      </c>
      <c r="T41" s="60"/>
      <c r="U41" s="2">
        <f t="shared" si="0"/>
        <v>8589934592</v>
      </c>
      <c r="V41" s="2">
        <v>160</v>
      </c>
      <c r="W41" s="2"/>
      <c r="X41" s="2"/>
      <c r="Y41" s="98"/>
      <c r="AA41" s="2"/>
      <c r="AB41" s="2"/>
      <c r="AC41" s="2"/>
      <c r="AD41" s="44"/>
      <c r="AE41" s="44"/>
      <c r="AF41" s="44"/>
      <c r="AI41" s="2"/>
      <c r="AJ41" s="2"/>
      <c r="AK41" s="2"/>
    </row>
    <row r="42" spans="1:53" x14ac:dyDescent="0.2">
      <c r="A42" s="16"/>
      <c r="B42" s="28"/>
      <c r="C42" s="69"/>
      <c r="D42" s="108"/>
      <c r="E42" s="29"/>
      <c r="F42" s="67"/>
      <c r="G42" s="67"/>
      <c r="H42" s="67"/>
      <c r="K42">
        <v>1</v>
      </c>
      <c r="L42" s="44">
        <v>0.40000000000000019</v>
      </c>
      <c r="M42" s="44">
        <v>-22.045348826380888</v>
      </c>
      <c r="N42" s="44">
        <v>12.95744184674912</v>
      </c>
      <c r="O42" s="44">
        <v>0</v>
      </c>
      <c r="P42" s="2">
        <v>0</v>
      </c>
      <c r="Q42" s="2">
        <v>6.1886317845404064E-8</v>
      </c>
      <c r="R42" s="2">
        <v>2.8364551953338154E-7</v>
      </c>
      <c r="S42" s="83"/>
      <c r="T42" s="60"/>
      <c r="U42" s="2"/>
      <c r="V42" s="2"/>
      <c r="W42" s="2"/>
      <c r="X42" s="2"/>
      <c r="Y42" s="98"/>
      <c r="AA42" s="2"/>
      <c r="AB42" s="2"/>
      <c r="AC42" s="2"/>
      <c r="AD42" s="44"/>
      <c r="AE42" s="44"/>
      <c r="AF42" s="44"/>
      <c r="AI42" s="2"/>
      <c r="AJ42" s="2"/>
      <c r="AK42" s="2"/>
    </row>
    <row r="43" spans="1:53" x14ac:dyDescent="0.2">
      <c r="A43" s="16"/>
      <c r="B43" s="29"/>
      <c r="C43" s="70"/>
      <c r="D43" s="109"/>
      <c r="E43" s="65"/>
      <c r="F43" s="66"/>
      <c r="G43" s="66"/>
      <c r="H43" s="66"/>
      <c r="K43">
        <v>1</v>
      </c>
      <c r="L43" s="44">
        <v>0.4125000000000002</v>
      </c>
      <c r="M43" s="44">
        <v>-21.920348826380888</v>
      </c>
      <c r="N43" s="44">
        <v>12.682656236419358</v>
      </c>
      <c r="O43" s="44">
        <v>0</v>
      </c>
      <c r="P43" s="2">
        <v>0</v>
      </c>
      <c r="Q43" s="2">
        <v>6.547230805270878E-8</v>
      </c>
      <c r="R43" s="2">
        <v>2.9008989189843641E-7</v>
      </c>
      <c r="S43" s="83"/>
      <c r="T43" s="60"/>
      <c r="U43" s="2"/>
      <c r="V43" s="2"/>
      <c r="W43" s="2"/>
      <c r="X43" s="2"/>
      <c r="Y43" s="98"/>
      <c r="AA43" s="2"/>
      <c r="AB43" s="2"/>
      <c r="AC43" s="2"/>
      <c r="AD43" s="44"/>
      <c r="AE43" s="44"/>
      <c r="AF43" s="44"/>
      <c r="AI43" s="2"/>
      <c r="AJ43" s="2"/>
      <c r="AK43" s="2"/>
    </row>
    <row r="44" spans="1:53" x14ac:dyDescent="0.2">
      <c r="A44" s="16"/>
      <c r="B44" s="28"/>
      <c r="C44" s="68"/>
      <c r="D44" s="107"/>
      <c r="E44" s="29"/>
      <c r="F44" s="67"/>
      <c r="G44" s="67"/>
      <c r="H44" s="67"/>
      <c r="K44">
        <v>1</v>
      </c>
      <c r="L44" s="44">
        <v>0.42500000000000021</v>
      </c>
      <c r="M44" s="44">
        <v>-21.795348826380888</v>
      </c>
      <c r="N44" s="44">
        <v>12.409433126089597</v>
      </c>
      <c r="O44" s="44">
        <v>0</v>
      </c>
      <c r="P44" s="2">
        <v>0</v>
      </c>
      <c r="Q44" s="2">
        <v>6.9137991235783811E-8</v>
      </c>
      <c r="R44" s="2">
        <v>2.9639652656401116E-7</v>
      </c>
      <c r="S44" s="83"/>
      <c r="T44" s="60"/>
      <c r="U44" s="2"/>
      <c r="V44" s="2"/>
      <c r="W44" s="2"/>
      <c r="X44" s="2"/>
      <c r="Y44" s="98"/>
      <c r="AA44" s="2"/>
      <c r="AB44" s="2"/>
      <c r="AC44" s="2"/>
      <c r="AD44" s="44"/>
      <c r="AE44" s="44"/>
      <c r="AF44" s="44"/>
      <c r="AI44" s="2"/>
      <c r="AJ44" s="2"/>
      <c r="AK44" s="2"/>
    </row>
    <row r="45" spans="1:53" x14ac:dyDescent="0.2">
      <c r="A45" s="16"/>
      <c r="B45" s="28"/>
      <c r="C45" s="69"/>
      <c r="D45" s="108"/>
      <c r="E45" s="65"/>
      <c r="F45" s="66"/>
      <c r="G45" s="66"/>
      <c r="H45" s="66"/>
      <c r="K45">
        <v>1</v>
      </c>
      <c r="L45" s="44">
        <v>0.43750000000000022</v>
      </c>
      <c r="M45" s="37">
        <v>-21.670348826380888</v>
      </c>
      <c r="N45" s="37">
        <v>12.137772515759835</v>
      </c>
      <c r="O45" s="37">
        <v>0</v>
      </c>
      <c r="P45" s="18">
        <v>0</v>
      </c>
      <c r="Q45" s="18">
        <v>7.2881650582412368E-8</v>
      </c>
      <c r="R45" s="18">
        <v>3.0256620897437821E-7</v>
      </c>
      <c r="S45" s="20"/>
      <c r="T45" s="60"/>
      <c r="U45" s="2"/>
      <c r="V45" s="2"/>
      <c r="W45" s="2"/>
      <c r="X45" s="2"/>
      <c r="Y45" s="98"/>
      <c r="AA45" s="2"/>
      <c r="AB45" s="2"/>
      <c r="AC45" s="2"/>
      <c r="AD45" s="44"/>
      <c r="AE45" s="44"/>
      <c r="AF45" s="44"/>
      <c r="AI45" s="2"/>
      <c r="AJ45" s="2"/>
      <c r="AK45" s="2"/>
    </row>
    <row r="46" spans="1:53" x14ac:dyDescent="0.2">
      <c r="A46" s="16"/>
      <c r="B46" s="29"/>
      <c r="C46" s="70"/>
      <c r="D46" s="109"/>
      <c r="E46" s="29"/>
      <c r="F46" s="67"/>
      <c r="G46" s="67"/>
      <c r="H46" s="67"/>
      <c r="K46">
        <v>1</v>
      </c>
      <c r="L46" s="44">
        <v>0.45000000000000023</v>
      </c>
      <c r="M46" s="44">
        <v>-21.545348826380884</v>
      </c>
      <c r="N46" s="44">
        <v>11.867674405430074</v>
      </c>
      <c r="O46" s="44">
        <v>0</v>
      </c>
      <c r="P46" s="2">
        <v>0</v>
      </c>
      <c r="Q46" s="2">
        <v>7.6701579098431054E-8</v>
      </c>
      <c r="R46" s="2">
        <v>3.0859972457380998E-7</v>
      </c>
      <c r="S46" s="83"/>
      <c r="T46" s="60"/>
      <c r="U46" s="2"/>
      <c r="V46" s="2"/>
      <c r="W46" s="2"/>
      <c r="X46" s="2"/>
      <c r="Y46" s="98"/>
      <c r="AA46" s="2"/>
      <c r="AB46" s="2"/>
      <c r="AC46" s="2"/>
      <c r="AD46" s="44"/>
      <c r="AE46" s="44"/>
      <c r="AF46" s="44"/>
      <c r="AI46" s="2"/>
      <c r="AJ46" s="2"/>
      <c r="AK46" s="2"/>
    </row>
    <row r="47" spans="1:53" x14ac:dyDescent="0.2">
      <c r="A47" s="16"/>
      <c r="B47" s="28"/>
      <c r="C47" s="68"/>
      <c r="D47" s="107"/>
      <c r="E47" s="65"/>
      <c r="F47" s="66"/>
      <c r="G47" s="66"/>
      <c r="H47" s="66"/>
      <c r="K47">
        <v>1</v>
      </c>
      <c r="L47" s="44">
        <v>0.46250000000000024</v>
      </c>
      <c r="M47" s="44">
        <v>-21.420348826380884</v>
      </c>
      <c r="N47" s="44">
        <v>11.599138795100313</v>
      </c>
      <c r="O47" s="44">
        <v>0</v>
      </c>
      <c r="P47" s="2">
        <v>0</v>
      </c>
      <c r="Q47" s="2">
        <v>8.0596079607729845E-8</v>
      </c>
      <c r="R47" s="2">
        <v>3.1449785880657889E-7</v>
      </c>
      <c r="S47" s="83"/>
      <c r="T47" s="60"/>
      <c r="U47" s="2"/>
      <c r="V47" s="2"/>
      <c r="W47" s="2"/>
      <c r="X47" s="2"/>
      <c r="Y47" s="98"/>
      <c r="AA47" s="2"/>
      <c r="AB47" s="2"/>
      <c r="AC47" s="2"/>
      <c r="AD47" s="44"/>
      <c r="AE47" s="44"/>
      <c r="AF47" s="44"/>
      <c r="AI47" s="2"/>
      <c r="AJ47" s="2"/>
      <c r="AK47" s="2"/>
    </row>
    <row r="48" spans="1:53" x14ac:dyDescent="0.2">
      <c r="A48" s="16"/>
      <c r="B48" s="28"/>
      <c r="C48" s="69"/>
      <c r="D48" s="108"/>
      <c r="E48" s="29"/>
      <c r="F48" s="67"/>
      <c r="G48" s="67"/>
      <c r="H48" s="67"/>
      <c r="K48">
        <v>1</v>
      </c>
      <c r="L48" s="44">
        <v>0.47500000000000026</v>
      </c>
      <c r="M48" s="44">
        <v>-21.295348826380884</v>
      </c>
      <c r="N48" s="44">
        <v>11.332165684770551</v>
      </c>
      <c r="O48" s="44">
        <v>0</v>
      </c>
      <c r="P48" s="2">
        <v>0</v>
      </c>
      <c r="Q48" s="2">
        <v>8.4563464752252227E-8</v>
      </c>
      <c r="R48" s="2">
        <v>3.2026139711695733E-7</v>
      </c>
      <c r="S48" s="83"/>
      <c r="T48" s="60"/>
      <c r="U48" s="2"/>
      <c r="V48" s="2"/>
      <c r="W48" s="2"/>
      <c r="X48" s="2"/>
      <c r="Y48" s="98"/>
      <c r="AA48" s="2"/>
      <c r="AB48" s="2"/>
      <c r="AC48" s="2"/>
      <c r="AD48" s="44"/>
      <c r="AE48" s="44"/>
      <c r="AF48" s="44"/>
      <c r="AI48" s="2"/>
      <c r="AJ48" s="2"/>
      <c r="AK48" s="2"/>
    </row>
    <row r="49" spans="1:37" x14ac:dyDescent="0.2">
      <c r="A49" s="16"/>
      <c r="B49" s="29"/>
      <c r="C49" s="70"/>
      <c r="D49" s="109"/>
      <c r="E49" s="65"/>
      <c r="F49" s="66"/>
      <c r="G49" s="66"/>
      <c r="H49" s="66"/>
      <c r="K49">
        <v>1</v>
      </c>
      <c r="L49" s="44">
        <v>0.48750000000000027</v>
      </c>
      <c r="M49" s="44">
        <v>-21.170348826380884</v>
      </c>
      <c r="N49" s="44">
        <v>11.06675507444079</v>
      </c>
      <c r="O49" s="44">
        <v>0</v>
      </c>
      <c r="P49" s="2">
        <v>0</v>
      </c>
      <c r="Q49" s="2">
        <v>8.8602056991994993E-8</v>
      </c>
      <c r="R49" s="2">
        <v>3.258911249492178E-7</v>
      </c>
      <c r="S49" s="83"/>
      <c r="T49" s="60"/>
      <c r="U49" s="2"/>
      <c r="V49" s="2"/>
      <c r="W49" s="2"/>
      <c r="X49" s="2"/>
      <c r="Y49" s="98"/>
      <c r="AA49" s="2"/>
      <c r="AB49" s="2"/>
      <c r="AC49" s="2"/>
      <c r="AD49" s="44"/>
      <c r="AE49" s="44"/>
      <c r="AF49" s="44"/>
      <c r="AI49" s="2"/>
      <c r="AJ49" s="2"/>
      <c r="AK49" s="2"/>
    </row>
    <row r="50" spans="1:37" x14ac:dyDescent="0.2">
      <c r="A50" s="16"/>
      <c r="B50" s="28"/>
      <c r="C50" s="68"/>
      <c r="D50" s="107"/>
      <c r="E50" s="29"/>
      <c r="F50" s="67"/>
      <c r="G50" s="67"/>
      <c r="H50" s="67"/>
      <c r="K50">
        <v>1</v>
      </c>
      <c r="L50" s="44">
        <v>0.50000000000000022</v>
      </c>
      <c r="M50" s="44">
        <v>-21.045348826380888</v>
      </c>
      <c r="N50" s="44">
        <v>10.802906964111029</v>
      </c>
      <c r="O50" s="44">
        <v>0</v>
      </c>
      <c r="P50" s="2">
        <v>0</v>
      </c>
      <c r="Q50" s="2">
        <v>9.2710188605008312E-8</v>
      </c>
      <c r="R50" s="2">
        <v>3.3138782774763258E-7</v>
      </c>
      <c r="S50" s="83"/>
      <c r="T50" s="60"/>
      <c r="V50" s="2"/>
      <c r="W50" s="2"/>
      <c r="X50" s="2"/>
      <c r="Y50" s="98"/>
      <c r="AA50" s="2"/>
      <c r="AB50" s="2"/>
      <c r="AC50" s="2"/>
      <c r="AD50" s="44"/>
      <c r="AE50" s="44"/>
      <c r="AF50" s="44"/>
      <c r="AI50" s="2"/>
      <c r="AJ50" s="2"/>
      <c r="AK50" s="2"/>
    </row>
    <row r="51" spans="1:37" x14ac:dyDescent="0.2">
      <c r="A51" s="16"/>
      <c r="B51" s="28"/>
      <c r="C51" s="69"/>
      <c r="D51" s="108"/>
      <c r="E51" s="65"/>
      <c r="F51" s="66"/>
      <c r="G51" s="66"/>
      <c r="H51" s="66"/>
      <c r="K51">
        <v>1</v>
      </c>
      <c r="L51" s="44">
        <v>0.51250000000000018</v>
      </c>
      <c r="M51" s="44">
        <v>-20.920348826380888</v>
      </c>
      <c r="N51" s="44">
        <v>10.540621353781271</v>
      </c>
      <c r="O51" s="44">
        <v>0</v>
      </c>
      <c r="P51" s="2">
        <v>0</v>
      </c>
      <c r="Q51" s="2">
        <v>9.688620168739589E-8</v>
      </c>
      <c r="R51" s="2">
        <v>3.3675229095647415E-7</v>
      </c>
      <c r="S51" s="83"/>
      <c r="T51" s="60"/>
      <c r="V51" s="2"/>
      <c r="W51" s="2"/>
      <c r="X51" s="2"/>
      <c r="Y51" s="98"/>
      <c r="AA51" s="2"/>
      <c r="AB51" s="2"/>
      <c r="AC51" s="2"/>
      <c r="AD51" s="44"/>
      <c r="AE51" s="44"/>
      <c r="AF51" s="44"/>
      <c r="AI51" s="2"/>
      <c r="AJ51" s="2"/>
      <c r="AK51" s="2"/>
    </row>
    <row r="52" spans="1:37" x14ac:dyDescent="0.2">
      <c r="A52" s="16"/>
      <c r="B52" s="29"/>
      <c r="C52" s="70"/>
      <c r="D52" s="109"/>
      <c r="E52" s="29"/>
      <c r="F52" s="67"/>
      <c r="G52" s="67"/>
      <c r="H52" s="67"/>
      <c r="K52">
        <v>1</v>
      </c>
      <c r="L52" s="44">
        <v>0.52500000000000013</v>
      </c>
      <c r="M52" s="44">
        <v>-20.795348826380888</v>
      </c>
      <c r="N52" s="44">
        <v>10.279898243451509</v>
      </c>
      <c r="O52" s="44">
        <v>0</v>
      </c>
      <c r="P52" s="2">
        <v>0</v>
      </c>
      <c r="Q52" s="2">
        <v>1.0112844815331471E-7</v>
      </c>
      <c r="R52" s="2">
        <v>3.4198530002001497E-7</v>
      </c>
      <c r="S52" s="83"/>
      <c r="T52" s="60"/>
      <c r="V52" s="2"/>
      <c r="W52" s="2"/>
      <c r="X52" s="2"/>
      <c r="Y52" s="98"/>
      <c r="AA52" s="2"/>
      <c r="AB52" s="2"/>
      <c r="AC52" s="2"/>
      <c r="AD52" s="44"/>
      <c r="AE52" s="44"/>
      <c r="AF52" s="44"/>
      <c r="AI52" s="2"/>
      <c r="AJ52" s="2"/>
      <c r="AK52" s="2"/>
    </row>
    <row r="53" spans="1:37" x14ac:dyDescent="0.2">
      <c r="A53" s="16"/>
      <c r="B53" s="28"/>
      <c r="C53" s="68"/>
      <c r="D53" s="107"/>
      <c r="E53" s="65"/>
      <c r="F53" s="66"/>
      <c r="G53" s="66"/>
      <c r="H53" s="66"/>
      <c r="K53">
        <v>1</v>
      </c>
      <c r="L53" s="44">
        <v>0.53750000000000009</v>
      </c>
      <c r="M53" s="44">
        <v>-20.670348826380888</v>
      </c>
      <c r="N53" s="44">
        <v>10.020737633121749</v>
      </c>
      <c r="O53" s="44">
        <v>0</v>
      </c>
      <c r="P53" s="2">
        <v>0</v>
      </c>
      <c r="Q53" s="2">
        <v>1.0543528973497529E-7</v>
      </c>
      <c r="R53" s="2">
        <v>3.4708764038252747E-7</v>
      </c>
      <c r="S53" s="83"/>
      <c r="T53" s="60"/>
      <c r="V53" s="2"/>
      <c r="W53" s="2"/>
      <c r="X53" s="2"/>
      <c r="Y53" s="98"/>
      <c r="AA53" s="2"/>
      <c r="AB53" s="2"/>
      <c r="AC53" s="2"/>
      <c r="AD53" s="44"/>
      <c r="AE53" s="44"/>
      <c r="AF53" s="44"/>
      <c r="AI53" s="2"/>
      <c r="AJ53" s="2"/>
      <c r="AK53" s="2"/>
    </row>
    <row r="54" spans="1:37" x14ac:dyDescent="0.2">
      <c r="A54" s="16"/>
      <c r="B54" s="28"/>
      <c r="C54" s="69"/>
      <c r="D54" s="108"/>
      <c r="E54" s="29"/>
      <c r="F54" s="67"/>
      <c r="G54" s="67"/>
      <c r="H54" s="67"/>
      <c r="K54">
        <v>1</v>
      </c>
      <c r="L54" s="44">
        <v>0.55000000000000004</v>
      </c>
      <c r="M54" s="44">
        <v>-20.545348826380888</v>
      </c>
      <c r="N54" s="44">
        <v>9.7631395227919899</v>
      </c>
      <c r="O54" s="44">
        <v>0</v>
      </c>
      <c r="P54" s="2">
        <v>0</v>
      </c>
      <c r="Q54" s="2">
        <v>1.098050979826414E-7</v>
      </c>
      <c r="R54" s="2">
        <v>3.5206009748828397E-7</v>
      </c>
      <c r="S54" s="83"/>
      <c r="T54" s="60"/>
      <c r="V54" s="2"/>
      <c r="W54" s="2"/>
      <c r="X54" s="2"/>
      <c r="Y54" s="98"/>
      <c r="AA54" s="2"/>
      <c r="AB54" s="2"/>
      <c r="AC54" s="2"/>
      <c r="AD54" s="44"/>
      <c r="AE54" s="44"/>
      <c r="AF54" s="44"/>
      <c r="AI54" s="2"/>
      <c r="AJ54" s="2"/>
      <c r="AK54" s="2"/>
    </row>
    <row r="55" spans="1:37" x14ac:dyDescent="0.2">
      <c r="A55" s="16"/>
      <c r="B55" s="29"/>
      <c r="C55" s="70"/>
      <c r="D55" s="109"/>
      <c r="E55" s="65"/>
      <c r="F55" s="66"/>
      <c r="G55" s="66"/>
      <c r="H55" s="66"/>
      <c r="K55">
        <v>1</v>
      </c>
      <c r="L55" s="44">
        <v>0.5625</v>
      </c>
      <c r="M55" s="44">
        <v>-20.420348826380888</v>
      </c>
      <c r="N55" s="44">
        <v>9.5071039124622292</v>
      </c>
      <c r="O55" s="44">
        <v>0</v>
      </c>
      <c r="P55" s="2">
        <v>0</v>
      </c>
      <c r="Q55" s="2">
        <v>1.1423625426463034E-7</v>
      </c>
      <c r="R55" s="2">
        <v>3.5690345678155689E-7</v>
      </c>
      <c r="S55" s="83"/>
      <c r="T55" s="60"/>
      <c r="V55" s="2"/>
      <c r="W55" s="2"/>
      <c r="X55" s="2"/>
      <c r="Y55" s="98"/>
      <c r="AA55" s="2"/>
      <c r="AB55" s="2"/>
      <c r="AC55" s="2"/>
      <c r="AD55" s="44"/>
      <c r="AE55" s="44"/>
      <c r="AF55" s="44"/>
      <c r="AH55" s="2"/>
      <c r="AI55" s="2"/>
      <c r="AJ55" s="2"/>
      <c r="AK55" s="2"/>
    </row>
    <row r="56" spans="1:37" x14ac:dyDescent="0.2">
      <c r="A56" s="16"/>
      <c r="B56" s="28"/>
      <c r="C56" s="68"/>
      <c r="D56" s="95"/>
      <c r="E56" s="29"/>
      <c r="F56" s="67"/>
      <c r="G56" s="67"/>
      <c r="H56" s="67"/>
      <c r="K56">
        <v>1</v>
      </c>
      <c r="L56" s="44">
        <v>0.57499999999999996</v>
      </c>
      <c r="M56" s="37">
        <v>-20.295348826380888</v>
      </c>
      <c r="N56" s="37">
        <v>9.2526308021324688</v>
      </c>
      <c r="O56" s="37">
        <v>0</v>
      </c>
      <c r="P56" s="18">
        <v>0</v>
      </c>
      <c r="Q56" s="18">
        <v>1.1872714976731275E-7</v>
      </c>
      <c r="R56" s="18">
        <v>3.6161850370661871E-7</v>
      </c>
      <c r="S56" s="20"/>
      <c r="T56" s="60"/>
      <c r="V56" s="2"/>
      <c r="W56" s="2"/>
      <c r="X56" s="2"/>
      <c r="Y56" s="98"/>
      <c r="AA56" s="2"/>
      <c r="AB56" s="2"/>
      <c r="AC56" s="2"/>
      <c r="AD56" s="44"/>
      <c r="AE56" s="44"/>
      <c r="AF56" s="44"/>
      <c r="AG56" s="2"/>
      <c r="AH56" s="2"/>
      <c r="AI56" s="2"/>
      <c r="AJ56" s="2"/>
      <c r="AK56" s="2"/>
    </row>
    <row r="57" spans="1:37" x14ac:dyDescent="0.2">
      <c r="A57" s="16"/>
      <c r="B57" s="28"/>
      <c r="C57" s="69"/>
      <c r="D57" s="96"/>
      <c r="E57" s="65"/>
      <c r="F57" s="66"/>
      <c r="G57" s="66"/>
      <c r="H57" s="66"/>
      <c r="K57">
        <v>1</v>
      </c>
      <c r="L57" s="44">
        <v>0.58749999999999991</v>
      </c>
      <c r="M57" s="44">
        <v>-20.170348826380888</v>
      </c>
      <c r="N57" s="44">
        <v>8.9997201918027088</v>
      </c>
      <c r="O57" s="44">
        <v>0</v>
      </c>
      <c r="P57" s="2">
        <v>0</v>
      </c>
      <c r="Q57" s="2">
        <v>1.2327618549511268E-7</v>
      </c>
      <c r="R57" s="2">
        <v>3.6620602370774184E-7</v>
      </c>
      <c r="S57" s="83"/>
      <c r="T57" s="60"/>
      <c r="V57" s="2"/>
      <c r="W57" s="2"/>
      <c r="X57" s="2"/>
      <c r="Y57" s="98"/>
      <c r="AA57" s="2"/>
      <c r="AB57" s="2"/>
      <c r="AC57" s="2"/>
      <c r="AD57" s="44"/>
      <c r="AE57" s="44"/>
      <c r="AF57" s="44"/>
      <c r="AG57" s="2"/>
      <c r="AH57" s="2"/>
      <c r="AI57" s="2"/>
      <c r="AJ57" s="2"/>
      <c r="AK57" s="2"/>
    </row>
    <row r="58" spans="1:37" x14ac:dyDescent="0.2">
      <c r="A58" s="16"/>
      <c r="B58" s="29"/>
      <c r="C58" s="70"/>
      <c r="D58" s="97"/>
      <c r="E58" s="29"/>
      <c r="F58" s="67"/>
      <c r="G58" s="67"/>
      <c r="H58" s="67"/>
      <c r="K58">
        <v>1</v>
      </c>
      <c r="L58" s="44">
        <v>0.59999999999999987</v>
      </c>
      <c r="M58" s="44">
        <v>-20.045348826380888</v>
      </c>
      <c r="N58" s="44">
        <v>8.7483720814729491</v>
      </c>
      <c r="O58" s="44">
        <v>0</v>
      </c>
      <c r="P58" s="2">
        <v>0</v>
      </c>
      <c r="Q58" s="2">
        <v>1.2788177227050765E-7</v>
      </c>
      <c r="R58" s="2">
        <v>3.7066680222919861E-7</v>
      </c>
      <c r="T58" s="60"/>
      <c r="V58" s="2"/>
      <c r="W58" s="2"/>
      <c r="X58" s="2"/>
      <c r="Y58" s="98"/>
      <c r="AA58" s="2"/>
      <c r="AB58" s="2"/>
      <c r="AC58" s="2"/>
      <c r="AD58" s="44"/>
      <c r="AE58" s="44"/>
      <c r="AF58" s="44"/>
      <c r="AG58" s="2"/>
      <c r="AH58" s="2"/>
      <c r="AI58" s="2"/>
      <c r="AJ58" s="2"/>
      <c r="AK58" s="2"/>
    </row>
    <row r="59" spans="1:37" x14ac:dyDescent="0.2">
      <c r="A59" s="16"/>
      <c r="B59" s="28"/>
      <c r="C59" s="68"/>
      <c r="D59" s="95"/>
      <c r="E59" s="65"/>
      <c r="F59" s="66"/>
      <c r="G59" s="66"/>
      <c r="H59" s="66"/>
      <c r="K59">
        <v>1</v>
      </c>
      <c r="L59" s="44">
        <v>0.61249999999999982</v>
      </c>
      <c r="M59" s="37">
        <v>-19.920348826380888</v>
      </c>
      <c r="N59" s="37">
        <v>8.498586471143188</v>
      </c>
      <c r="O59" s="37">
        <v>0</v>
      </c>
      <c r="P59" s="2">
        <v>0</v>
      </c>
      <c r="Q59" s="2">
        <v>1.3254233073402851E-7</v>
      </c>
      <c r="R59" s="2">
        <v>3.7500162471526154E-7</v>
      </c>
      <c r="T59" s="60"/>
      <c r="V59" s="2"/>
      <c r="W59" s="2"/>
      <c r="X59" s="2"/>
      <c r="Y59" s="98"/>
      <c r="AA59" s="2"/>
      <c r="AB59" s="2"/>
      <c r="AC59" s="2"/>
      <c r="AD59" s="44"/>
      <c r="AE59" s="44"/>
      <c r="AF59" s="44"/>
      <c r="AG59" s="2"/>
      <c r="AH59" s="2"/>
      <c r="AI59" s="2"/>
      <c r="AJ59" s="2"/>
      <c r="AK59" s="2"/>
    </row>
    <row r="60" spans="1:37" x14ac:dyDescent="0.2">
      <c r="A60" s="16"/>
      <c r="B60" s="28"/>
      <c r="C60" s="69"/>
      <c r="D60" s="96"/>
      <c r="E60" s="29"/>
      <c r="F60" s="67"/>
      <c r="G60" s="67"/>
      <c r="H60" s="67"/>
      <c r="K60">
        <v>1</v>
      </c>
      <c r="L60" s="44">
        <v>0.62499999999999978</v>
      </c>
      <c r="M60" s="44">
        <v>-19.795348826380888</v>
      </c>
      <c r="N60" s="44">
        <v>8.250363360813429</v>
      </c>
      <c r="O60" s="44">
        <v>0</v>
      </c>
      <c r="P60" s="2">
        <v>0</v>
      </c>
      <c r="Q60" s="2">
        <v>1.3725629134425949E-7</v>
      </c>
      <c r="R60" s="2">
        <v>3.79211276610203E-7</v>
      </c>
      <c r="S60" s="83"/>
      <c r="T60" s="60"/>
      <c r="V60" s="2"/>
      <c r="W60" s="2"/>
      <c r="X60" s="2"/>
      <c r="Y60" s="98"/>
      <c r="AA60" s="2"/>
      <c r="AB60" s="2"/>
      <c r="AC60" s="2"/>
      <c r="AD60" s="44"/>
      <c r="AE60" s="44"/>
      <c r="AF60" s="44"/>
      <c r="AG60" s="2"/>
      <c r="AH60" s="2"/>
      <c r="AI60" s="2"/>
      <c r="AJ60" s="2"/>
      <c r="AK60" s="2"/>
    </row>
    <row r="61" spans="1:37" x14ac:dyDescent="0.2">
      <c r="A61" s="16"/>
      <c r="B61" s="29"/>
      <c r="C61" s="70"/>
      <c r="D61" s="97"/>
      <c r="E61" s="65"/>
      <c r="F61" s="66"/>
      <c r="G61" s="66"/>
      <c r="H61" s="66"/>
      <c r="K61">
        <v>1</v>
      </c>
      <c r="L61" s="44">
        <v>0.63749999999999973</v>
      </c>
      <c r="M61" s="44">
        <v>-19.670348826380891</v>
      </c>
      <c r="N61" s="44">
        <v>8.0037027504836686</v>
      </c>
      <c r="O61" s="44">
        <v>0</v>
      </c>
      <c r="P61" s="2">
        <v>0</v>
      </c>
      <c r="Q61" s="2">
        <v>1.4202209437783831E-7</v>
      </c>
      <c r="R61" s="2">
        <v>3.8329654335829547E-7</v>
      </c>
      <c r="T61" s="60"/>
      <c r="V61" s="2"/>
      <c r="W61" s="2"/>
      <c r="X61" s="2"/>
      <c r="Y61" s="98"/>
      <c r="AA61" s="2"/>
      <c r="AB61" s="2"/>
      <c r="AC61" s="2"/>
      <c r="AD61" s="44"/>
      <c r="AE61" s="44"/>
      <c r="AF61" s="44"/>
      <c r="AG61" s="2"/>
      <c r="AH61" s="2"/>
      <c r="AI61" s="2"/>
      <c r="AJ61" s="2"/>
      <c r="AK61" s="2"/>
    </row>
    <row r="62" spans="1:37" x14ac:dyDescent="0.2">
      <c r="A62" s="16"/>
      <c r="B62" s="28"/>
      <c r="C62" s="68"/>
      <c r="D62" s="95"/>
      <c r="E62" s="29"/>
      <c r="F62" s="67"/>
      <c r="G62" s="67"/>
      <c r="H62" s="67"/>
      <c r="K62">
        <v>1</v>
      </c>
      <c r="L62" s="44">
        <v>0.64999999999999969</v>
      </c>
      <c r="M62" s="44">
        <v>-19.545348826380891</v>
      </c>
      <c r="N62" s="44">
        <v>7.7586046401539068</v>
      </c>
      <c r="O62" s="44">
        <v>0</v>
      </c>
      <c r="P62" s="2">
        <v>0</v>
      </c>
      <c r="Q62" s="2">
        <v>1.4683818992945611E-7</v>
      </c>
      <c r="R62" s="2">
        <v>3.8725821040381116E-7</v>
      </c>
      <c r="T62" s="60"/>
      <c r="V62" s="2"/>
      <c r="W62" s="2"/>
      <c r="X62" s="2"/>
      <c r="Y62" s="98"/>
      <c r="AA62" s="2"/>
      <c r="AB62" s="2"/>
      <c r="AC62" s="2"/>
      <c r="AD62" s="44"/>
      <c r="AE62" s="44"/>
      <c r="AF62" s="44"/>
      <c r="AG62" s="2"/>
      <c r="AH62" s="2"/>
      <c r="AI62" s="2"/>
      <c r="AJ62" s="2"/>
      <c r="AK62" s="2"/>
    </row>
    <row r="63" spans="1:37" x14ac:dyDescent="0.2">
      <c r="A63" s="16"/>
      <c r="B63" s="28"/>
      <c r="C63" s="69"/>
      <c r="D63" s="96"/>
      <c r="E63" s="65"/>
      <c r="F63" s="66"/>
      <c r="G63" s="66"/>
      <c r="H63" s="66"/>
      <c r="K63">
        <v>1</v>
      </c>
      <c r="L63" s="44">
        <v>0.66249999999999964</v>
      </c>
      <c r="M63" s="44">
        <v>-19.420348826380891</v>
      </c>
      <c r="N63" s="44">
        <v>7.5150690298241472</v>
      </c>
      <c r="O63" s="44">
        <v>0</v>
      </c>
      <c r="P63" s="2">
        <v>0</v>
      </c>
      <c r="Q63" s="2">
        <v>1.5170303791185735E-7</v>
      </c>
      <c r="R63" s="2">
        <v>3.9109706319102275E-7</v>
      </c>
      <c r="T63" s="60"/>
      <c r="V63" s="2"/>
      <c r="W63" s="2"/>
      <c r="X63" s="2"/>
      <c r="Y63" s="98"/>
      <c r="AA63" s="2"/>
      <c r="AB63" s="2"/>
      <c r="AC63" s="2"/>
      <c r="AD63" s="44"/>
      <c r="AE63" s="44"/>
      <c r="AF63" s="44"/>
      <c r="AG63" s="2"/>
      <c r="AH63" s="2"/>
      <c r="AI63" s="2"/>
      <c r="AJ63" s="2"/>
      <c r="AK63" s="2"/>
    </row>
    <row r="64" spans="1:37" x14ac:dyDescent="0.2">
      <c r="A64" s="16"/>
      <c r="B64" s="29"/>
      <c r="C64" s="70"/>
      <c r="D64" s="97"/>
      <c r="E64" s="29"/>
      <c r="F64" s="67"/>
      <c r="G64" s="67"/>
      <c r="H64" s="67"/>
      <c r="K64">
        <v>1</v>
      </c>
      <c r="L64" s="44">
        <v>0.6749999999999996</v>
      </c>
      <c r="M64" s="44">
        <v>-19.295348826380891</v>
      </c>
      <c r="N64" s="44">
        <v>7.2730959194943861</v>
      </c>
      <c r="O64" s="44">
        <v>0</v>
      </c>
      <c r="P64" s="2">
        <v>0</v>
      </c>
      <c r="Q64" s="2">
        <v>1.5661510805583985E-7</v>
      </c>
      <c r="R64" s="2">
        <v>3.9481388716420246E-7</v>
      </c>
      <c r="T64" s="60"/>
      <c r="V64" s="2"/>
      <c r="W64" s="2"/>
      <c r="X64" s="2"/>
      <c r="Y64" s="98"/>
      <c r="AA64" s="2"/>
      <c r="AB64" s="2"/>
      <c r="AC64" s="2"/>
      <c r="AD64" s="44"/>
      <c r="AE64" s="44"/>
      <c r="AF64" s="44"/>
      <c r="AG64" s="2"/>
      <c r="AH64" s="2"/>
      <c r="AI64" s="2"/>
      <c r="AJ64" s="2"/>
      <c r="AK64" s="2"/>
    </row>
    <row r="65" spans="1:37" x14ac:dyDescent="0.2">
      <c r="A65" s="16"/>
      <c r="B65" s="28"/>
      <c r="C65" s="68"/>
      <c r="D65" s="95"/>
      <c r="E65" s="65"/>
      <c r="F65" s="66"/>
      <c r="G65" s="66"/>
      <c r="H65" s="66"/>
      <c r="K65">
        <v>1</v>
      </c>
      <c r="L65" s="44">
        <v>0.68749999999999956</v>
      </c>
      <c r="M65" s="44">
        <v>-19.170348826380891</v>
      </c>
      <c r="N65" s="44">
        <v>7.0326853091646271</v>
      </c>
      <c r="O65" s="44">
        <v>0</v>
      </c>
      <c r="P65" s="2">
        <v>0</v>
      </c>
      <c r="Q65" s="2">
        <v>1.6157287991025501E-7</v>
      </c>
      <c r="R65" s="2">
        <v>3.9840946776762282E-7</v>
      </c>
      <c r="T65" s="60"/>
      <c r="V65" s="2"/>
      <c r="W65" s="2"/>
      <c r="X65" s="2"/>
      <c r="Y65" s="98"/>
      <c r="AA65" s="2"/>
      <c r="AB65" s="2"/>
      <c r="AC65" s="2"/>
      <c r="AD65" s="44"/>
      <c r="AE65" s="44"/>
      <c r="AF65" s="44"/>
      <c r="AG65" s="2"/>
      <c r="AH65" s="2"/>
      <c r="AI65" s="2"/>
      <c r="AJ65" s="2"/>
      <c r="AK65" s="2"/>
    </row>
    <row r="66" spans="1:37" x14ac:dyDescent="0.2">
      <c r="A66" s="16"/>
      <c r="B66" s="28"/>
      <c r="C66" s="69"/>
      <c r="D66" s="96"/>
      <c r="E66" s="29"/>
      <c r="F66" s="67"/>
      <c r="G66" s="67"/>
      <c r="H66" s="67"/>
      <c r="K66">
        <v>1</v>
      </c>
      <c r="L66" s="44">
        <v>0.69999999999999951</v>
      </c>
      <c r="M66" s="44">
        <v>-19.045348826380895</v>
      </c>
      <c r="N66" s="44">
        <v>6.7938371988348667</v>
      </c>
      <c r="O66" s="44">
        <v>0</v>
      </c>
      <c r="P66" s="2">
        <v>0</v>
      </c>
      <c r="Q66" s="2">
        <v>1.665748428420075E-7</v>
      </c>
      <c r="R66" s="2">
        <v>4.0188459044555614E-7</v>
      </c>
      <c r="T66" s="60"/>
      <c r="V66" s="2"/>
      <c r="W66" s="2"/>
      <c r="X66" s="2"/>
      <c r="Y66" s="98"/>
      <c r="AA66" s="2"/>
      <c r="AB66" s="2"/>
      <c r="AC66" s="2"/>
      <c r="AD66" s="44"/>
      <c r="AE66" s="44"/>
      <c r="AF66" s="44"/>
      <c r="AG66" s="2"/>
      <c r="AH66" s="2"/>
      <c r="AI66" s="2"/>
      <c r="AJ66" s="2"/>
      <c r="AK66" s="2"/>
    </row>
    <row r="67" spans="1:37" x14ac:dyDescent="0.2">
      <c r="A67" s="16"/>
      <c r="B67" s="29"/>
      <c r="C67" s="70"/>
      <c r="D67" s="97"/>
      <c r="E67" s="65"/>
      <c r="F67" s="66"/>
      <c r="G67" s="66"/>
      <c r="H67" s="66"/>
      <c r="K67">
        <v>1</v>
      </c>
      <c r="L67" s="44">
        <v>0.71249999999999947</v>
      </c>
      <c r="M67" s="44">
        <v>-18.920348826380895</v>
      </c>
      <c r="N67" s="44">
        <v>6.5565515885051049</v>
      </c>
      <c r="O67" s="44">
        <v>0</v>
      </c>
      <c r="P67" s="2">
        <v>0</v>
      </c>
      <c r="Q67" s="2">
        <v>1.7161949603605549E-7</v>
      </c>
      <c r="R67" s="2">
        <v>4.0524004064227499E-7</v>
      </c>
      <c r="T67" s="60"/>
      <c r="V67" s="2"/>
      <c r="W67" s="2"/>
      <c r="X67" s="2"/>
      <c r="Y67" s="98"/>
      <c r="AA67" s="2"/>
      <c r="AB67" s="2"/>
      <c r="AC67" s="2"/>
      <c r="AD67" s="44"/>
      <c r="AE67" s="44"/>
      <c r="AF67" s="44"/>
      <c r="AG67" s="2"/>
      <c r="AH67" s="2"/>
      <c r="AI67" s="2"/>
      <c r="AJ67" s="2"/>
      <c r="AK67" s="2"/>
    </row>
    <row r="68" spans="1:37" x14ac:dyDescent="0.2">
      <c r="A68" s="16"/>
      <c r="B68" s="28"/>
      <c r="C68" s="68"/>
      <c r="D68" s="95"/>
      <c r="E68" s="29"/>
      <c r="F68" s="67"/>
      <c r="G68" s="67"/>
      <c r="H68" s="67"/>
      <c r="K68">
        <v>1</v>
      </c>
      <c r="L68" s="44">
        <v>0.72499999999999942</v>
      </c>
      <c r="M68" s="44">
        <v>-18.795348826380895</v>
      </c>
      <c r="N68" s="44">
        <v>6.320828478175347</v>
      </c>
      <c r="O68" s="44">
        <v>0</v>
      </c>
      <c r="P68" s="2">
        <v>0</v>
      </c>
      <c r="Q68" s="2">
        <v>1.7670534849541042E-7</v>
      </c>
      <c r="R68" s="2">
        <v>4.0847660380205166E-7</v>
      </c>
      <c r="T68" s="60"/>
      <c r="V68" s="2"/>
      <c r="W68" s="2"/>
      <c r="X68" s="2"/>
      <c r="Y68" s="98"/>
      <c r="AA68" s="2"/>
      <c r="AB68" s="2"/>
      <c r="AC68" s="2"/>
      <c r="AD68" s="44"/>
      <c r="AE68" s="44"/>
      <c r="AF68" s="44"/>
      <c r="AG68" s="2"/>
      <c r="AH68" s="2"/>
      <c r="AI68" s="2"/>
      <c r="AJ68" s="2"/>
      <c r="AK68" s="2"/>
    </row>
    <row r="69" spans="1:37" x14ac:dyDescent="0.2">
      <c r="A69" s="16"/>
      <c r="B69" s="28"/>
      <c r="C69" s="69"/>
      <c r="D69" s="96"/>
      <c r="E69" s="65"/>
      <c r="F69" s="66"/>
      <c r="G69" s="66"/>
      <c r="H69" s="66"/>
      <c r="K69">
        <v>1</v>
      </c>
      <c r="L69" s="44">
        <v>0.73749999999999938</v>
      </c>
      <c r="M69" s="44">
        <v>-18.670348826380895</v>
      </c>
      <c r="N69" s="44">
        <v>6.0866678678455841</v>
      </c>
      <c r="O69" s="44">
        <v>0</v>
      </c>
      <c r="P69" s="2">
        <v>0</v>
      </c>
      <c r="Q69" s="2">
        <v>1.818309190411373E-7</v>
      </c>
      <c r="R69" s="2">
        <v>4.1159506536915856E-7</v>
      </c>
      <c r="T69" s="60"/>
      <c r="V69" s="2"/>
      <c r="W69" s="2"/>
      <c r="X69" s="2"/>
      <c r="Y69" s="98"/>
      <c r="AA69" s="2"/>
      <c r="AB69" s="2"/>
      <c r="AC69" s="2"/>
      <c r="AD69" s="44"/>
      <c r="AE69" s="44"/>
      <c r="AF69" s="44"/>
      <c r="AG69" s="2"/>
      <c r="AH69" s="2"/>
      <c r="AI69" s="2"/>
      <c r="AJ69" s="2"/>
      <c r="AK69" s="2"/>
    </row>
    <row r="70" spans="1:37" x14ac:dyDescent="0.2">
      <c r="A70" s="16"/>
      <c r="B70" s="29"/>
      <c r="C70" s="70"/>
      <c r="D70" s="97"/>
      <c r="E70" s="29"/>
      <c r="F70" s="67"/>
      <c r="G70" s="67"/>
      <c r="H70" s="67"/>
      <c r="K70">
        <v>1</v>
      </c>
      <c r="L70" s="44">
        <v>0.74999999999999933</v>
      </c>
      <c r="M70" s="44">
        <v>-18.545348826380895</v>
      </c>
      <c r="N70" s="44">
        <v>5.8540697575158269</v>
      </c>
      <c r="O70" s="44">
        <v>0</v>
      </c>
      <c r="P70" s="2">
        <v>0</v>
      </c>
      <c r="Q70" s="2">
        <v>1.8699473631235439E-7</v>
      </c>
      <c r="R70" s="2">
        <v>4.145962107878681E-7</v>
      </c>
      <c r="T70" s="60"/>
      <c r="V70" s="2"/>
      <c r="W70" s="2"/>
      <c r="X70" s="2"/>
      <c r="Y70" s="98"/>
      <c r="AA70" s="2"/>
      <c r="AB70" s="2"/>
      <c r="AC70" s="2"/>
      <c r="AD70" s="44"/>
      <c r="AE70" s="44"/>
      <c r="AF70" s="44"/>
      <c r="AG70" s="2"/>
      <c r="AH70" s="2"/>
      <c r="AI70" s="2"/>
      <c r="AJ70" s="2"/>
      <c r="AK70" s="2"/>
    </row>
    <row r="71" spans="1:37" x14ac:dyDescent="0.2">
      <c r="A71" s="16"/>
      <c r="B71" s="28"/>
      <c r="C71" s="68"/>
      <c r="D71" s="95"/>
      <c r="E71" s="65"/>
      <c r="F71" s="66"/>
      <c r="G71" s="66"/>
      <c r="H71" s="66"/>
      <c r="K71">
        <v>1</v>
      </c>
      <c r="L71" s="44">
        <v>0.76249999999999929</v>
      </c>
      <c r="M71" s="44">
        <v>-18.420348826380895</v>
      </c>
      <c r="N71" s="44">
        <v>5.6230341471860648</v>
      </c>
      <c r="O71" s="44">
        <v>0</v>
      </c>
      <c r="P71" s="2">
        <v>0</v>
      </c>
      <c r="Q71" s="2">
        <v>1.9219533876623343E-7</v>
      </c>
      <c r="R71" s="2">
        <v>4.1748082550245278E-7</v>
      </c>
      <c r="T71" s="60"/>
      <c r="V71" s="2"/>
      <c r="W71" s="2"/>
      <c r="X71" s="2"/>
      <c r="Y71" s="98"/>
      <c r="AA71" s="2"/>
      <c r="AB71" s="2"/>
      <c r="AC71" s="2"/>
      <c r="AD71" s="44"/>
      <c r="AE71" s="44"/>
      <c r="AF71" s="44"/>
      <c r="AG71" s="2"/>
      <c r="AH71" s="2"/>
      <c r="AI71" s="2"/>
      <c r="AJ71" s="2"/>
      <c r="AK71" s="2"/>
    </row>
    <row r="72" spans="1:37" x14ac:dyDescent="0.2">
      <c r="A72" s="16"/>
      <c r="B72" s="28"/>
      <c r="C72" s="69"/>
      <c r="D72" s="96"/>
      <c r="E72" s="29"/>
      <c r="F72" s="67"/>
      <c r="G72" s="67"/>
      <c r="H72" s="67"/>
      <c r="K72">
        <v>1</v>
      </c>
      <c r="L72" s="44">
        <v>0.77499999999999925</v>
      </c>
      <c r="M72" s="44">
        <v>-18.295348826380895</v>
      </c>
      <c r="N72" s="44">
        <v>5.3935610368563047</v>
      </c>
      <c r="O72" s="44">
        <v>0</v>
      </c>
      <c r="P72" s="2">
        <v>0</v>
      </c>
      <c r="Q72" s="2">
        <v>1.9743127467799964E-7</v>
      </c>
      <c r="R72" s="2">
        <v>4.2024969495718495E-7</v>
      </c>
      <c r="T72" s="60"/>
      <c r="V72" s="2"/>
      <c r="W72" s="2"/>
      <c r="X72" s="2"/>
      <c r="Y72" s="98"/>
      <c r="AA72" s="2"/>
      <c r="AB72" s="2"/>
      <c r="AC72" s="2"/>
      <c r="AD72" s="44"/>
      <c r="AE72" s="44"/>
      <c r="AF72" s="44"/>
      <c r="AG72" s="2"/>
      <c r="AH72" s="2"/>
      <c r="AI72" s="2"/>
      <c r="AJ72" s="2"/>
      <c r="AK72" s="2"/>
    </row>
    <row r="73" spans="1:37" x14ac:dyDescent="0.2">
      <c r="A73" s="16"/>
      <c r="B73" s="29"/>
      <c r="C73" s="70"/>
      <c r="D73" s="97"/>
      <c r="E73" s="65"/>
      <c r="F73" s="66"/>
      <c r="G73" s="66"/>
      <c r="H73" s="66"/>
      <c r="K73">
        <v>1</v>
      </c>
      <c r="L73" s="44">
        <v>0.7874999999999992</v>
      </c>
      <c r="M73" s="44">
        <v>-18.170348826380895</v>
      </c>
      <c r="N73" s="44">
        <v>5.1656504265265433</v>
      </c>
      <c r="O73" s="44">
        <v>0</v>
      </c>
      <c r="P73" s="2">
        <v>0</v>
      </c>
      <c r="Q73" s="2">
        <v>2.0270110214093147E-7</v>
      </c>
      <c r="R73" s="2">
        <v>4.2290360459633704E-7</v>
      </c>
      <c r="T73" s="60"/>
      <c r="V73" s="2"/>
      <c r="W73" s="2"/>
      <c r="X73" s="2"/>
      <c r="Y73" s="98"/>
      <c r="AA73" s="2"/>
      <c r="AB73" s="2"/>
      <c r="AC73" s="2"/>
      <c r="AD73" s="44"/>
      <c r="AE73" s="44"/>
      <c r="AF73" s="44"/>
      <c r="AG73" s="2"/>
      <c r="AH73" s="2"/>
      <c r="AI73" s="2"/>
      <c r="AJ73" s="2"/>
      <c r="AK73" s="2"/>
    </row>
    <row r="74" spans="1:37" x14ac:dyDescent="0.2">
      <c r="A74" s="16"/>
      <c r="B74" s="28"/>
      <c r="C74" s="68"/>
      <c r="D74" s="95"/>
      <c r="E74" s="29"/>
      <c r="F74" s="67"/>
      <c r="G74" s="67"/>
      <c r="H74" s="67"/>
      <c r="K74">
        <v>1</v>
      </c>
      <c r="L74" s="44">
        <v>0.79999999999999916</v>
      </c>
      <c r="M74" s="44">
        <v>-18.045348826380895</v>
      </c>
      <c r="N74" s="44">
        <v>4.9393023161967839</v>
      </c>
      <c r="O74" s="44">
        <v>0</v>
      </c>
      <c r="P74" s="2">
        <v>0</v>
      </c>
      <c r="Q74" s="2">
        <v>2.0800338906636095E-7</v>
      </c>
      <c r="R74" s="2">
        <v>4.2544333986418147E-7</v>
      </c>
      <c r="T74" s="60"/>
      <c r="V74" s="2"/>
      <c r="W74" s="2"/>
      <c r="X74" s="2"/>
      <c r="Y74" s="98"/>
      <c r="AA74" s="2"/>
      <c r="AB74" s="2"/>
      <c r="AC74" s="2"/>
      <c r="AD74" s="44"/>
      <c r="AE74" s="44"/>
      <c r="AF74" s="44"/>
      <c r="AG74" s="2"/>
      <c r="AH74" s="2"/>
      <c r="AI74" s="2"/>
      <c r="AJ74" s="2"/>
      <c r="AK74" s="2"/>
    </row>
    <row r="75" spans="1:37" x14ac:dyDescent="0.2">
      <c r="A75" s="16"/>
      <c r="B75" s="28"/>
      <c r="C75" s="69"/>
      <c r="D75" s="96"/>
      <c r="E75" s="65"/>
      <c r="F75" s="66"/>
      <c r="G75" s="66"/>
      <c r="H75" s="66"/>
      <c r="K75">
        <v>1</v>
      </c>
      <c r="L75" s="44">
        <v>0.81249999999999911</v>
      </c>
      <c r="M75" s="44">
        <v>-17.920348826380895</v>
      </c>
      <c r="N75" s="44">
        <v>4.7145167058670232</v>
      </c>
      <c r="O75" s="44">
        <v>0</v>
      </c>
      <c r="P75" s="2">
        <v>0</v>
      </c>
      <c r="Q75" s="2">
        <v>2.1333671318367332E-7</v>
      </c>
      <c r="R75" s="2">
        <v>4.2786968620499066E-7</v>
      </c>
      <c r="T75" s="60"/>
      <c r="V75" s="2"/>
      <c r="W75" s="2"/>
      <c r="X75" s="2"/>
      <c r="Y75" s="98"/>
      <c r="AA75" s="2"/>
      <c r="AB75" s="2"/>
      <c r="AC75" s="2"/>
      <c r="AD75" s="44"/>
      <c r="AE75" s="44"/>
      <c r="AF75" s="44"/>
      <c r="AG75" s="2"/>
      <c r="AH75" s="2"/>
      <c r="AI75" s="2"/>
      <c r="AJ75" s="2"/>
      <c r="AK75" s="2"/>
    </row>
    <row r="76" spans="1:37" x14ac:dyDescent="0.2">
      <c r="A76" s="16"/>
      <c r="B76" s="29"/>
      <c r="C76" s="70"/>
      <c r="D76" s="97"/>
      <c r="E76" s="29"/>
      <c r="F76" s="67"/>
      <c r="G76" s="67"/>
      <c r="H76" s="67"/>
      <c r="K76">
        <v>1</v>
      </c>
      <c r="L76" s="44">
        <v>0.82499999999999907</v>
      </c>
      <c r="M76" s="44">
        <v>-17.795348826380895</v>
      </c>
      <c r="N76" s="44">
        <v>4.491293595537261</v>
      </c>
      <c r="O76" s="44">
        <v>0</v>
      </c>
      <c r="P76" s="2">
        <v>0</v>
      </c>
      <c r="Q76" s="2">
        <v>2.1869966204030748E-7</v>
      </c>
      <c r="R76" s="2">
        <v>4.3018342906303699E-7</v>
      </c>
      <c r="T76" s="60"/>
      <c r="V76" s="2"/>
      <c r="W76" s="2"/>
      <c r="X76" s="2"/>
      <c r="Y76" s="98"/>
      <c r="AA76" s="2"/>
      <c r="AB76" s="2"/>
      <c r="AC76" s="2"/>
      <c r="AD76" s="44"/>
      <c r="AE76" s="44"/>
      <c r="AF76" s="44"/>
      <c r="AG76" s="2"/>
      <c r="AH76" s="2"/>
      <c r="AI76" s="2"/>
      <c r="AJ76" s="2"/>
      <c r="AK76" s="2"/>
    </row>
    <row r="77" spans="1:37" x14ac:dyDescent="0.2">
      <c r="A77" s="16"/>
      <c r="B77" s="28"/>
      <c r="C77" s="68"/>
      <c r="D77" s="95"/>
      <c r="E77" s="65"/>
      <c r="F77" s="66"/>
      <c r="G77" s="66"/>
      <c r="H77" s="66"/>
      <c r="K77">
        <v>1</v>
      </c>
      <c r="L77" s="44">
        <v>0.83749999999999902</v>
      </c>
      <c r="M77" s="44">
        <v>-17.670348826380899</v>
      </c>
      <c r="N77" s="44">
        <v>4.269632985207501</v>
      </c>
      <c r="O77" s="44">
        <v>0</v>
      </c>
      <c r="P77" s="2">
        <v>0</v>
      </c>
      <c r="Q77" s="2">
        <v>2.2409083300175547E-7</v>
      </c>
      <c r="R77" s="2">
        <v>4.3238535388259293E-7</v>
      </c>
      <c r="T77" s="60"/>
      <c r="V77" s="2"/>
      <c r="W77" s="2"/>
      <c r="X77" s="2"/>
      <c r="Y77" s="98"/>
      <c r="AA77" s="2"/>
      <c r="AB77" s="2"/>
      <c r="AC77" s="2"/>
      <c r="AD77" s="44"/>
      <c r="AE77" s="44"/>
      <c r="AF77" s="44"/>
      <c r="AG77" s="2"/>
      <c r="AH77" s="2"/>
      <c r="AI77" s="2"/>
      <c r="AJ77" s="2"/>
      <c r="AK77" s="2"/>
    </row>
    <row r="78" spans="1:37" x14ac:dyDescent="0.2">
      <c r="A78" s="16"/>
      <c r="B78" s="28"/>
      <c r="C78" s="69"/>
      <c r="D78" s="96"/>
      <c r="E78" s="29"/>
      <c r="F78" s="67"/>
      <c r="G78" s="67"/>
      <c r="H78" s="67"/>
      <c r="K78">
        <v>1</v>
      </c>
      <c r="L78" s="44">
        <v>0.84999999999999898</v>
      </c>
      <c r="M78" s="44">
        <v>-17.545348826380899</v>
      </c>
      <c r="N78" s="44">
        <v>4.0495348748777431</v>
      </c>
      <c r="O78" s="44">
        <v>0</v>
      </c>
      <c r="P78" s="2">
        <v>0</v>
      </c>
      <c r="Q78" s="2">
        <v>2.2950883325156299E-7</v>
      </c>
      <c r="R78" s="2">
        <v>4.3447624610793095E-7</v>
      </c>
      <c r="T78" s="60"/>
      <c r="V78" s="2"/>
      <c r="W78" s="2"/>
      <c r="X78" s="2"/>
      <c r="Y78" s="98"/>
      <c r="AA78" s="2"/>
      <c r="AB78" s="2"/>
      <c r="AC78" s="2"/>
      <c r="AD78" s="44"/>
      <c r="AE78" s="44"/>
      <c r="AF78" s="44"/>
      <c r="AG78" s="2"/>
      <c r="AH78" s="2"/>
      <c r="AI78" s="2"/>
      <c r="AJ78" s="2"/>
      <c r="AK78" s="2"/>
    </row>
    <row r="79" spans="1:37" x14ac:dyDescent="0.2">
      <c r="A79" s="16"/>
      <c r="B79" s="29"/>
      <c r="C79" s="70"/>
      <c r="D79" s="97"/>
      <c r="E79" s="65"/>
      <c r="F79" s="66"/>
      <c r="G79" s="66"/>
      <c r="H79" s="66"/>
      <c r="K79">
        <v>1</v>
      </c>
      <c r="L79" s="44">
        <v>0.86249999999999893</v>
      </c>
      <c r="M79" s="44">
        <v>-17.420348826380899</v>
      </c>
      <c r="N79" s="44">
        <v>3.8309992645479802</v>
      </c>
      <c r="O79" s="44">
        <v>0</v>
      </c>
      <c r="P79" s="2">
        <v>0</v>
      </c>
      <c r="Q79" s="2">
        <v>2.3495227979132897E-7</v>
      </c>
      <c r="R79" s="2">
        <v>4.3645689118332321E-7</v>
      </c>
      <c r="T79" s="60"/>
      <c r="V79" s="2"/>
      <c r="W79" s="2"/>
      <c r="X79" s="2"/>
      <c r="Y79" s="98"/>
      <c r="AA79" s="2"/>
      <c r="AB79" s="2"/>
      <c r="AC79" s="2"/>
      <c r="AD79" s="44"/>
      <c r="AE79" s="44"/>
      <c r="AF79" s="44"/>
      <c r="AG79" s="2"/>
      <c r="AH79" s="2"/>
      <c r="AI79" s="2"/>
      <c r="AJ79" s="2"/>
      <c r="AK79" s="2"/>
    </row>
    <row r="80" spans="1:37" x14ac:dyDescent="0.2">
      <c r="A80" s="16"/>
      <c r="B80" s="28"/>
      <c r="C80" s="68"/>
      <c r="D80" s="95"/>
      <c r="E80" s="29"/>
      <c r="F80" s="67"/>
      <c r="G80" s="67"/>
      <c r="H80" s="67"/>
      <c r="K80">
        <v>1</v>
      </c>
      <c r="L80" s="44">
        <v>0.87499999999999889</v>
      </c>
      <c r="M80" s="44">
        <v>-17.295348826380899</v>
      </c>
      <c r="N80" s="44">
        <v>3.6140261542182195</v>
      </c>
      <c r="O80" s="44">
        <v>0</v>
      </c>
      <c r="P80" s="2">
        <v>0</v>
      </c>
      <c r="Q80" s="2">
        <v>2.4041979944070573E-7</v>
      </c>
      <c r="R80" s="2">
        <v>4.3832807455304251E-7</v>
      </c>
      <c r="T80" s="60"/>
      <c r="V80" s="2"/>
      <c r="W80" s="2"/>
      <c r="X80" s="2"/>
      <c r="Y80" s="98"/>
      <c r="AA80" s="2"/>
      <c r="AB80" s="2"/>
      <c r="AC80" s="2"/>
      <c r="AD80" s="44"/>
      <c r="AE80" s="44"/>
      <c r="AF80" s="44"/>
      <c r="AG80" s="2"/>
      <c r="AH80" s="2"/>
      <c r="AI80" s="2"/>
      <c r="AJ80" s="2"/>
      <c r="AK80" s="2"/>
    </row>
    <row r="81" spans="1:37" x14ac:dyDescent="0.2">
      <c r="A81" s="16"/>
      <c r="B81" s="28"/>
      <c r="C81" s="69"/>
      <c r="D81" s="96"/>
      <c r="E81" s="65"/>
      <c r="F81" s="66"/>
      <c r="G81" s="66"/>
      <c r="H81" s="66"/>
      <c r="K81">
        <v>1</v>
      </c>
      <c r="L81" s="44">
        <v>0.88749999999999885</v>
      </c>
      <c r="M81" s="44">
        <v>-17.170348826380899</v>
      </c>
      <c r="N81" s="44">
        <v>3.3986155438884609</v>
      </c>
      <c r="O81" s="44">
        <v>0</v>
      </c>
      <c r="P81" s="2">
        <v>0</v>
      </c>
      <c r="Q81" s="2">
        <v>2.4591002883739917E-7</v>
      </c>
      <c r="R81" s="2">
        <v>4.4009058166136085E-7</v>
      </c>
      <c r="T81" s="60"/>
      <c r="V81" s="2"/>
      <c r="W81" s="2"/>
      <c r="X81" s="2"/>
      <c r="Y81" s="98"/>
      <c r="AA81" s="2"/>
      <c r="AB81" s="2"/>
      <c r="AC81" s="2"/>
      <c r="AD81" s="44"/>
      <c r="AE81" s="44"/>
      <c r="AF81" s="44"/>
      <c r="AG81" s="2"/>
      <c r="AH81" s="2"/>
      <c r="AI81" s="2"/>
      <c r="AJ81" s="2"/>
      <c r="AK81" s="2"/>
    </row>
    <row r="82" spans="1:37" x14ac:dyDescent="0.2">
      <c r="A82" s="16"/>
      <c r="B82" s="29"/>
      <c r="C82" s="70"/>
      <c r="D82" s="97"/>
      <c r="E82" s="29"/>
      <c r="F82" s="67"/>
      <c r="G82" s="67"/>
      <c r="H82" s="67"/>
      <c r="K82">
        <v>1</v>
      </c>
      <c r="L82" s="44">
        <v>0.8999999999999988</v>
      </c>
      <c r="M82" s="44">
        <v>-17.045348826380902</v>
      </c>
      <c r="N82" s="44">
        <v>3.1847674335587008</v>
      </c>
      <c r="O82" s="44">
        <v>0</v>
      </c>
      <c r="P82" s="2">
        <v>0</v>
      </c>
      <c r="Q82" s="2">
        <v>2.5142161443716836E-7</v>
      </c>
      <c r="R82" s="2">
        <v>4.4174519795255095E-7</v>
      </c>
      <c r="T82" s="60"/>
      <c r="V82" s="2"/>
      <c r="W82" s="2"/>
      <c r="X82" s="2"/>
      <c r="Y82" s="98"/>
      <c r="AA82" s="2"/>
      <c r="AB82" s="2"/>
      <c r="AC82" s="2"/>
      <c r="AD82" s="44"/>
      <c r="AE82" s="44"/>
      <c r="AF82" s="44"/>
      <c r="AG82" s="2"/>
      <c r="AH82" s="2"/>
      <c r="AI82" s="2"/>
      <c r="AJ82" s="2"/>
      <c r="AK82" s="2"/>
    </row>
    <row r="83" spans="1:37" x14ac:dyDescent="0.2">
      <c r="A83" s="16"/>
      <c r="B83" s="28"/>
      <c r="C83" s="68"/>
      <c r="D83" s="95"/>
      <c r="E83" s="65"/>
      <c r="F83" s="66"/>
      <c r="G83" s="66"/>
      <c r="H83" s="66"/>
      <c r="K83">
        <v>1</v>
      </c>
      <c r="L83" s="44">
        <v>0.91249999999999876</v>
      </c>
      <c r="M83" s="44">
        <v>-16.920348826380902</v>
      </c>
      <c r="N83" s="44">
        <v>2.9724818232289394</v>
      </c>
      <c r="O83" s="44">
        <v>0</v>
      </c>
      <c r="P83" s="2">
        <v>0</v>
      </c>
      <c r="Q83" s="2">
        <v>2.56953212513826E-7</v>
      </c>
      <c r="R83" s="2">
        <v>4.432927088708851E-7</v>
      </c>
      <c r="T83" s="60"/>
      <c r="V83" s="2"/>
      <c r="W83" s="2"/>
      <c r="X83" s="2"/>
      <c r="Y83" s="98"/>
      <c r="AA83" s="2"/>
      <c r="AB83" s="2"/>
      <c r="AC83" s="2"/>
      <c r="AD83" s="44"/>
      <c r="AE83" s="44"/>
      <c r="AF83" s="44"/>
      <c r="AG83" s="2"/>
      <c r="AH83" s="2"/>
      <c r="AI83" s="2"/>
      <c r="AJ83" s="2"/>
      <c r="AK83" s="2"/>
    </row>
    <row r="84" spans="1:37" x14ac:dyDescent="0.2">
      <c r="A84" s="16"/>
      <c r="B84" s="28"/>
      <c r="C84" s="69"/>
      <c r="D84" s="96"/>
      <c r="E84" s="29"/>
      <c r="F84" s="67"/>
      <c r="G84" s="67"/>
      <c r="H84" s="67"/>
      <c r="K84">
        <v>1</v>
      </c>
      <c r="L84" s="44">
        <v>0.92499999999999871</v>
      </c>
      <c r="M84" s="44">
        <v>-16.795348826380902</v>
      </c>
      <c r="N84" s="44">
        <v>2.7617587128991801</v>
      </c>
      <c r="O84" s="44">
        <v>0</v>
      </c>
      <c r="P84" s="2">
        <v>0</v>
      </c>
      <c r="Q84" s="2">
        <v>2.6250348915923804E-7</v>
      </c>
      <c r="R84" s="2">
        <v>4.4473389986063576E-7</v>
      </c>
      <c r="T84" s="60"/>
      <c r="V84" s="2"/>
      <c r="W84" s="2"/>
      <c r="X84" s="2"/>
      <c r="Y84" s="98"/>
      <c r="AA84" s="2"/>
      <c r="AB84" s="2"/>
      <c r="AC84" s="2"/>
      <c r="AD84" s="44"/>
      <c r="AE84" s="44"/>
      <c r="AF84" s="44"/>
      <c r="AG84" s="2"/>
      <c r="AH84" s="2"/>
      <c r="AI84" s="2"/>
      <c r="AJ84" s="2"/>
      <c r="AK84" s="2"/>
    </row>
    <row r="85" spans="1:37" x14ac:dyDescent="0.2">
      <c r="A85" s="16"/>
      <c r="B85" s="29"/>
      <c r="C85" s="70"/>
      <c r="D85" s="97"/>
      <c r="E85" s="65"/>
      <c r="F85" s="66"/>
      <c r="G85" s="66"/>
      <c r="H85" s="66"/>
      <c r="K85">
        <v>1</v>
      </c>
      <c r="L85" s="44">
        <v>0.93749999999999867</v>
      </c>
      <c r="M85" s="44">
        <v>-16.670348826380902</v>
      </c>
      <c r="N85" s="44">
        <v>2.5525981025694193</v>
      </c>
      <c r="O85" s="44">
        <v>0</v>
      </c>
      <c r="P85" s="2">
        <v>0</v>
      </c>
      <c r="Q85" s="2">
        <v>2.6807112028332392E-7</v>
      </c>
      <c r="R85" s="2">
        <v>4.460695563660752E-7</v>
      </c>
      <c r="T85" s="60"/>
      <c r="V85" s="2"/>
      <c r="W85" s="2"/>
      <c r="X85" s="2"/>
      <c r="Y85" s="98"/>
      <c r="AA85" s="2"/>
      <c r="AB85" s="2"/>
      <c r="AC85" s="2"/>
      <c r="AD85" s="44"/>
      <c r="AE85" s="44"/>
      <c r="AF85" s="44"/>
      <c r="AG85" s="2"/>
      <c r="AH85" s="2"/>
      <c r="AI85" s="2"/>
      <c r="AJ85" s="2"/>
      <c r="AK85" s="2"/>
    </row>
    <row r="86" spans="1:37" x14ac:dyDescent="0.2">
      <c r="A86" s="16"/>
      <c r="B86" s="28"/>
      <c r="C86" s="68"/>
      <c r="D86" s="95"/>
      <c r="E86" s="29"/>
      <c r="F86" s="67"/>
      <c r="G86" s="67"/>
      <c r="H86" s="67"/>
      <c r="K86">
        <v>1</v>
      </c>
      <c r="L86" s="44">
        <v>0.94999999999999862</v>
      </c>
      <c r="M86" s="44">
        <v>-16.545348826380902</v>
      </c>
      <c r="N86" s="44">
        <v>2.3449999922396572</v>
      </c>
      <c r="O86" s="44">
        <v>0</v>
      </c>
      <c r="P86" s="2">
        <v>0</v>
      </c>
      <c r="Q86" s="2">
        <v>2.7365479161405641E-7</v>
      </c>
      <c r="R86" s="2">
        <v>4.4730046383147605E-7</v>
      </c>
      <c r="T86" s="60"/>
      <c r="V86" s="2"/>
      <c r="W86" s="2"/>
      <c r="X86" s="2"/>
      <c r="Y86" s="98"/>
      <c r="AA86" s="2"/>
      <c r="AB86" s="2"/>
      <c r="AC86" s="2"/>
      <c r="AD86" s="44"/>
      <c r="AE86" s="44"/>
      <c r="AF86" s="44"/>
      <c r="AG86" s="2"/>
      <c r="AH86" s="2"/>
      <c r="AI86" s="2"/>
      <c r="AJ86" s="2"/>
      <c r="AK86" s="2"/>
    </row>
    <row r="87" spans="1:37" x14ac:dyDescent="0.2">
      <c r="A87" s="16"/>
      <c r="B87" s="28"/>
      <c r="C87" s="69"/>
      <c r="D87" s="96"/>
      <c r="E87" s="65"/>
      <c r="F87" s="66"/>
      <c r="G87" s="66"/>
      <c r="H87" s="66"/>
      <c r="K87">
        <v>1</v>
      </c>
      <c r="L87" s="44">
        <v>0.96249999999999858</v>
      </c>
      <c r="M87" s="44">
        <v>-16.420348826380902</v>
      </c>
      <c r="N87" s="44">
        <v>2.1389643819098971</v>
      </c>
      <c r="O87" s="44">
        <v>0</v>
      </c>
      <c r="P87" s="2">
        <v>0</v>
      </c>
      <c r="Q87" s="2">
        <v>2.7925319869746167E-7</v>
      </c>
      <c r="R87" s="2">
        <v>4.4842740770111063E-7</v>
      </c>
      <c r="T87" s="60"/>
      <c r="V87" s="2"/>
      <c r="W87" s="2"/>
      <c r="X87" s="2"/>
      <c r="Y87" s="98"/>
      <c r="AA87" s="2"/>
      <c r="AB87" s="2"/>
      <c r="AC87" s="2"/>
      <c r="AD87" s="44"/>
      <c r="AE87" s="44"/>
      <c r="AF87" s="44"/>
      <c r="AG87" s="2"/>
      <c r="AH87" s="2"/>
      <c r="AI87" s="2"/>
      <c r="AJ87" s="2"/>
      <c r="AK87" s="2"/>
    </row>
    <row r="88" spans="1:37" x14ac:dyDescent="0.2">
      <c r="A88" s="16"/>
      <c r="B88" s="29"/>
      <c r="C88" s="70"/>
      <c r="D88" s="97"/>
      <c r="E88" s="29"/>
      <c r="F88" s="67"/>
      <c r="G88" s="67"/>
      <c r="H88" s="67"/>
      <c r="K88">
        <v>1</v>
      </c>
      <c r="L88" s="44">
        <v>0.97499999999999853</v>
      </c>
      <c r="M88" s="44">
        <v>-16.295348826380902</v>
      </c>
      <c r="N88" s="44">
        <v>1.9344912715801357</v>
      </c>
      <c r="O88" s="44">
        <v>0</v>
      </c>
      <c r="P88" s="2">
        <v>0</v>
      </c>
      <c r="Q88" s="2">
        <v>2.8486504689761962E-7</v>
      </c>
      <c r="R88" s="2">
        <v>4.494511734192513E-7</v>
      </c>
      <c r="T88" s="60"/>
      <c r="V88" s="2"/>
      <c r="W88" s="2"/>
      <c r="X88" s="2"/>
      <c r="Y88" s="98"/>
      <c r="AA88" s="2"/>
      <c r="AB88" s="2"/>
      <c r="AC88" s="2"/>
      <c r="AD88" s="44"/>
      <c r="AE88" s="44"/>
      <c r="AF88" s="44"/>
      <c r="AG88" s="2"/>
      <c r="AH88" s="2"/>
      <c r="AI88" s="2"/>
      <c r="AJ88" s="2"/>
      <c r="AK88" s="2"/>
    </row>
    <row r="89" spans="1:37" x14ac:dyDescent="0.2">
      <c r="A89" s="16"/>
      <c r="B89" s="28"/>
      <c r="C89" s="68"/>
      <c r="D89" s="95"/>
      <c r="E89" s="65"/>
      <c r="F89" s="66"/>
      <c r="G89" s="66"/>
      <c r="H89" s="66"/>
      <c r="K89">
        <v>1</v>
      </c>
      <c r="L89" s="44">
        <v>0.98749999999999849</v>
      </c>
      <c r="M89" s="44">
        <v>-16.170348826380902</v>
      </c>
      <c r="N89" s="44">
        <v>1.7315806612503764</v>
      </c>
      <c r="O89" s="44">
        <v>0</v>
      </c>
      <c r="P89" s="2">
        <v>0</v>
      </c>
      <c r="Q89" s="2">
        <v>2.9048905139666294E-7</v>
      </c>
      <c r="R89" s="2">
        <v>4.5037254643017055E-7</v>
      </c>
      <c r="T89" s="60"/>
      <c r="V89" s="2"/>
      <c r="W89" s="2"/>
      <c r="X89" s="2"/>
      <c r="Y89" s="98"/>
      <c r="AA89" s="2"/>
      <c r="AB89" s="2"/>
      <c r="AC89" s="2"/>
      <c r="AD89" s="44"/>
      <c r="AE89" s="44"/>
      <c r="AF89" s="44"/>
      <c r="AG89" s="2"/>
      <c r="AH89" s="2"/>
      <c r="AI89" s="2"/>
      <c r="AJ89" s="2"/>
      <c r="AK89" s="2"/>
    </row>
    <row r="90" spans="1:37" x14ac:dyDescent="0.2">
      <c r="A90" s="16"/>
      <c r="B90" s="28"/>
      <c r="C90" s="69"/>
      <c r="D90" s="96"/>
      <c r="E90" s="29"/>
      <c r="F90" s="67"/>
      <c r="G90" s="67"/>
      <c r="H90" s="67"/>
      <c r="K90">
        <v>1</v>
      </c>
      <c r="L90" s="44">
        <v>0.99999999999999845</v>
      </c>
      <c r="M90" s="44">
        <v>-16.045348826380902</v>
      </c>
      <c r="N90" s="44">
        <v>1.5302325509206156</v>
      </c>
      <c r="O90" s="44">
        <v>0</v>
      </c>
      <c r="P90" s="2">
        <v>0</v>
      </c>
      <c r="Q90" s="2">
        <v>2.9612393719477821E-7</v>
      </c>
      <c r="R90" s="2">
        <v>4.5119231217814085E-7</v>
      </c>
      <c r="T90" s="60"/>
      <c r="V90" s="2"/>
      <c r="W90" s="2"/>
      <c r="X90" s="2"/>
      <c r="Y90" s="98"/>
      <c r="AA90" s="2"/>
      <c r="AB90" s="2"/>
      <c r="AC90" s="2"/>
      <c r="AD90" s="44"/>
      <c r="AE90" s="44"/>
      <c r="AF90" s="44"/>
      <c r="AG90" s="2"/>
      <c r="AH90" s="2"/>
      <c r="AI90" s="2"/>
      <c r="AJ90" s="2"/>
      <c r="AK90" s="2"/>
    </row>
    <row r="91" spans="1:37" x14ac:dyDescent="0.2">
      <c r="A91" s="16"/>
      <c r="B91" s="29"/>
      <c r="C91" s="70"/>
      <c r="D91" s="97"/>
      <c r="E91" s="65"/>
      <c r="F91" s="66"/>
      <c r="G91" s="66"/>
      <c r="H91" s="66"/>
      <c r="K91">
        <v>1</v>
      </c>
      <c r="L91" s="44">
        <v>1.0124999999999984</v>
      </c>
      <c r="M91" s="44">
        <v>-15.920348826380904</v>
      </c>
      <c r="N91" s="44">
        <v>1.3304469405908534</v>
      </c>
      <c r="O91" s="44">
        <v>0</v>
      </c>
      <c r="P91" s="2">
        <v>0</v>
      </c>
      <c r="Q91" s="2">
        <v>3.0176843911020522E-7</v>
      </c>
      <c r="R91" s="2">
        <v>4.5191125610743451E-7</v>
      </c>
      <c r="T91" s="60"/>
      <c r="V91" s="2"/>
      <c r="W91" s="2"/>
      <c r="X91" s="2"/>
      <c r="Y91" s="98"/>
      <c r="AA91" s="2"/>
      <c r="AB91" s="2"/>
      <c r="AC91" s="2"/>
      <c r="AD91" s="44"/>
      <c r="AE91" s="44"/>
      <c r="AF91" s="44"/>
      <c r="AG91" s="2"/>
      <c r="AH91" s="2"/>
      <c r="AI91" s="2"/>
      <c r="AJ91" s="2"/>
      <c r="AK91" s="2"/>
    </row>
    <row r="92" spans="1:37" x14ac:dyDescent="0.2">
      <c r="A92" s="16"/>
      <c r="B92" s="28"/>
      <c r="C92" s="68"/>
      <c r="D92" s="95"/>
      <c r="E92" s="29"/>
      <c r="F92" s="67"/>
      <c r="G92" s="67"/>
      <c r="H92" s="67"/>
      <c r="K92">
        <v>1</v>
      </c>
      <c r="L92" s="44">
        <v>1.0249999999999984</v>
      </c>
      <c r="M92" s="44">
        <v>-15.795348826380904</v>
      </c>
      <c r="N92" s="44">
        <v>1.1322238302610934</v>
      </c>
      <c r="O92" s="44">
        <v>0</v>
      </c>
      <c r="P92" s="2">
        <v>0</v>
      </c>
      <c r="Q92" s="2">
        <v>3.0742130177923732E-7</v>
      </c>
      <c r="R92" s="2">
        <v>4.5253016366232391E-7</v>
      </c>
      <c r="T92" s="60"/>
      <c r="V92" s="2"/>
      <c r="W92" s="2"/>
      <c r="X92" s="2"/>
      <c r="Y92" s="98"/>
      <c r="AA92" s="2"/>
      <c r="AB92" s="2"/>
      <c r="AC92" s="2"/>
      <c r="AD92" s="44"/>
      <c r="AE92" s="44"/>
      <c r="AF92" s="44"/>
      <c r="AG92" s="2"/>
      <c r="AH92" s="2"/>
      <c r="AI92" s="2"/>
      <c r="AJ92" s="2"/>
      <c r="AK92" s="2"/>
    </row>
    <row r="93" spans="1:37" x14ac:dyDescent="0.2">
      <c r="A93" s="16"/>
      <c r="B93" s="28"/>
      <c r="C93" s="69"/>
      <c r="D93" s="96"/>
      <c r="E93" s="65"/>
      <c r="F93" s="66"/>
      <c r="G93" s="66"/>
      <c r="H93" s="66"/>
      <c r="K93">
        <v>1</v>
      </c>
      <c r="L93" s="44">
        <v>1.0374999999999983</v>
      </c>
      <c r="M93" s="44">
        <v>-15.670348826380906</v>
      </c>
      <c r="N93" s="44">
        <v>0.93556321993133196</v>
      </c>
      <c r="O93" s="44">
        <v>0</v>
      </c>
      <c r="P93" s="2">
        <v>0</v>
      </c>
      <c r="Q93" s="2">
        <v>3.1308127965622107E-7</v>
      </c>
      <c r="R93" s="2">
        <v>4.5304982028708163E-7</v>
      </c>
      <c r="T93" s="60"/>
      <c r="V93" s="2"/>
      <c r="W93" s="2"/>
      <c r="X93" s="2"/>
      <c r="Y93" s="98"/>
      <c r="AA93" s="2"/>
      <c r="AB93" s="2"/>
      <c r="AC93" s="2"/>
      <c r="AD93" s="44"/>
      <c r="AE93" s="44"/>
      <c r="AF93" s="44"/>
      <c r="AG93" s="2"/>
      <c r="AH93" s="2"/>
      <c r="AI93" s="2"/>
      <c r="AJ93" s="2"/>
      <c r="AK93" s="2"/>
    </row>
    <row r="94" spans="1:37" x14ac:dyDescent="0.2">
      <c r="A94" s="16"/>
      <c r="B94" s="29"/>
      <c r="C94" s="70"/>
      <c r="D94" s="97"/>
      <c r="E94" s="29"/>
      <c r="F94" s="67"/>
      <c r="G94" s="67"/>
      <c r="H94" s="67"/>
      <c r="K94">
        <v>1</v>
      </c>
      <c r="L94" s="44">
        <v>1.0499999999999983</v>
      </c>
      <c r="M94" s="44">
        <v>-15.545348826380906</v>
      </c>
      <c r="N94" s="44">
        <v>0.74046510960157264</v>
      </c>
      <c r="O94" s="44">
        <v>0</v>
      </c>
      <c r="P94" s="2">
        <v>0</v>
      </c>
      <c r="Q94" s="2">
        <v>3.1874713701355651E-7</v>
      </c>
      <c r="R94" s="2">
        <v>4.5347101142597992E-7</v>
      </c>
      <c r="T94" s="60"/>
      <c r="V94" s="2"/>
      <c r="W94" s="2"/>
      <c r="X94" s="2"/>
      <c r="Y94" s="98"/>
      <c r="AA94" s="2"/>
      <c r="AB94" s="2"/>
      <c r="AC94" s="2"/>
      <c r="AD94" s="44"/>
      <c r="AE94" s="44"/>
      <c r="AF94" s="44"/>
      <c r="AG94" s="2"/>
      <c r="AH94" s="2"/>
      <c r="AI94" s="2"/>
      <c r="AJ94" s="2"/>
      <c r="AK94" s="2"/>
    </row>
    <row r="95" spans="1:37" x14ac:dyDescent="0.2">
      <c r="A95" s="16"/>
      <c r="B95" s="28"/>
      <c r="C95" s="68"/>
      <c r="D95" s="95"/>
      <c r="E95" s="65"/>
      <c r="F95" s="66"/>
      <c r="G95" s="66"/>
      <c r="H95" s="66"/>
      <c r="K95">
        <v>1</v>
      </c>
      <c r="L95" s="44">
        <v>1.0624999999999982</v>
      </c>
      <c r="M95" s="44">
        <v>-15.420348826380906</v>
      </c>
      <c r="N95" s="44">
        <v>0.54692949927181189</v>
      </c>
      <c r="O95" s="44">
        <v>0</v>
      </c>
      <c r="P95" s="2">
        <v>0</v>
      </c>
      <c r="Q95" s="2">
        <v>3.2441764794169733E-7</v>
      </c>
      <c r="R95" s="2">
        <v>4.5379452252329117E-7</v>
      </c>
      <c r="T95" s="60"/>
      <c r="V95" s="2"/>
      <c r="W95" s="2"/>
      <c r="X95" s="2"/>
      <c r="Y95" s="98"/>
      <c r="AA95" s="2"/>
      <c r="AB95" s="2"/>
      <c r="AC95" s="2"/>
      <c r="AD95" s="44"/>
      <c r="AE95" s="44"/>
      <c r="AF95" s="44"/>
      <c r="AG95" s="2"/>
      <c r="AH95" s="2"/>
      <c r="AI95" s="2"/>
      <c r="AJ95" s="2"/>
      <c r="AK95" s="2"/>
    </row>
    <row r="96" spans="1:37" x14ac:dyDescent="0.2">
      <c r="A96" s="16"/>
      <c r="B96" s="28"/>
      <c r="C96" s="69"/>
      <c r="D96" s="96"/>
      <c r="E96" s="29"/>
      <c r="F96" s="67"/>
      <c r="G96" s="67"/>
      <c r="H96" s="67"/>
      <c r="K96">
        <v>1</v>
      </c>
      <c r="L96" s="44">
        <v>1.0749999999999982</v>
      </c>
      <c r="M96" s="44">
        <v>-15.295348826380906</v>
      </c>
      <c r="N96" s="44">
        <v>0.35495638894205328</v>
      </c>
      <c r="O96" s="44">
        <v>0</v>
      </c>
      <c r="P96" s="2">
        <v>0</v>
      </c>
      <c r="Q96" s="2">
        <v>3.3009159634915008E-7</v>
      </c>
      <c r="R96" s="2">
        <v>4.5402113902328789E-7</v>
      </c>
      <c r="T96" s="60"/>
      <c r="V96" s="2"/>
      <c r="W96" s="2"/>
      <c r="X96" s="2"/>
      <c r="Y96" s="98"/>
      <c r="AA96" s="2"/>
      <c r="AB96" s="2"/>
      <c r="AC96" s="2"/>
      <c r="AD96" s="44"/>
      <c r="AE96" s="44"/>
      <c r="AF96" s="44"/>
      <c r="AG96" s="2"/>
      <c r="AH96" s="2"/>
      <c r="AI96" s="2"/>
      <c r="AJ96" s="2"/>
      <c r="AK96" s="2"/>
    </row>
    <row r="97" spans="1:37" x14ac:dyDescent="0.2">
      <c r="A97" s="16"/>
      <c r="B97" s="29"/>
      <c r="C97" s="70"/>
      <c r="D97" s="97"/>
      <c r="E97" s="65"/>
      <c r="F97" s="66"/>
      <c r="G97" s="66"/>
      <c r="H97" s="66"/>
      <c r="K97">
        <v>1</v>
      </c>
      <c r="L97" s="44">
        <v>1.0874999999999981</v>
      </c>
      <c r="M97" s="44">
        <v>-15.170348826380906</v>
      </c>
      <c r="N97" s="44">
        <v>0.16454577861228969</v>
      </c>
      <c r="O97" s="44">
        <v>0</v>
      </c>
      <c r="P97" s="2">
        <v>0</v>
      </c>
      <c r="Q97" s="2">
        <v>3.3576777596247504E-7</v>
      </c>
      <c r="R97" s="2">
        <v>4.5415164637024262E-7</v>
      </c>
      <c r="T97" s="60"/>
      <c r="V97" s="2"/>
      <c r="W97" s="2"/>
      <c r="X97" s="2"/>
      <c r="Y97" s="98"/>
      <c r="AA97" s="2"/>
      <c r="AB97" s="2"/>
      <c r="AC97" s="2"/>
      <c r="AD97" s="44"/>
      <c r="AE97" s="44"/>
      <c r="AF97" s="44"/>
      <c r="AG97" s="2"/>
      <c r="AH97" s="2"/>
      <c r="AI97" s="2"/>
      <c r="AJ97" s="2"/>
      <c r="AK97" s="2"/>
    </row>
    <row r="98" spans="1:37" x14ac:dyDescent="0.2">
      <c r="A98" s="16"/>
      <c r="B98" s="28"/>
      <c r="C98" s="68"/>
      <c r="D98" s="95"/>
      <c r="E98" s="29"/>
      <c r="F98" s="67"/>
      <c r="G98" s="67"/>
      <c r="H98" s="67"/>
      <c r="K98">
        <v>1</v>
      </c>
      <c r="L98" s="44">
        <v>1.0999999999999981</v>
      </c>
      <c r="M98" s="44">
        <v>-15.045348826380907</v>
      </c>
      <c r="N98" s="44">
        <v>-2.4302331717468206E-2</v>
      </c>
      <c r="O98" s="44">
        <v>0</v>
      </c>
      <c r="P98" s="2">
        <v>0</v>
      </c>
      <c r="Q98" s="2">
        <v>3.4144499032628616E-7</v>
      </c>
      <c r="R98" s="2">
        <v>4.5418683000842751E-7</v>
      </c>
      <c r="T98" s="60"/>
      <c r="V98" s="2"/>
      <c r="W98" s="2"/>
      <c r="X98" s="2"/>
      <c r="Y98" s="98"/>
      <c r="AA98" s="2"/>
      <c r="AB98" s="2"/>
      <c r="AC98" s="2"/>
      <c r="AD98" s="44"/>
      <c r="AE98" s="44"/>
      <c r="AF98" s="44"/>
      <c r="AG98" s="2"/>
      <c r="AH98" s="2"/>
      <c r="AI98" s="2"/>
      <c r="AJ98" s="2"/>
      <c r="AK98" s="2"/>
    </row>
    <row r="99" spans="1:37" x14ac:dyDescent="0.2">
      <c r="A99" s="16"/>
      <c r="B99" s="28"/>
      <c r="C99" s="69"/>
      <c r="D99" s="96"/>
      <c r="E99" s="65"/>
      <c r="F99" s="66"/>
      <c r="G99" s="66"/>
      <c r="H99" s="66"/>
      <c r="K99">
        <v>1</v>
      </c>
      <c r="L99" s="44">
        <v>1.112499999999998</v>
      </c>
      <c r="M99" s="44">
        <v>-14.920348826380907</v>
      </c>
      <c r="N99" s="44">
        <v>-0.21158794204723108</v>
      </c>
      <c r="O99" s="44">
        <v>0</v>
      </c>
      <c r="P99" s="2">
        <v>0</v>
      </c>
      <c r="Q99" s="2">
        <v>3.4712205280325032E-7</v>
      </c>
      <c r="R99" s="2">
        <v>4.5412747538211515E-7</v>
      </c>
      <c r="T99" s="60"/>
      <c r="V99" s="2"/>
      <c r="W99" s="2"/>
      <c r="X99" s="2"/>
      <c r="Y99" s="98"/>
      <c r="AA99" s="2"/>
      <c r="AB99" s="2"/>
      <c r="AC99" s="2"/>
      <c r="AD99" s="44"/>
      <c r="AE99" s="44"/>
      <c r="AF99" s="44"/>
      <c r="AG99" s="2"/>
      <c r="AH99" s="2"/>
      <c r="AI99" s="2"/>
      <c r="AJ99" s="2"/>
      <c r="AK99" s="2"/>
    </row>
    <row r="100" spans="1:37" x14ac:dyDescent="0.2">
      <c r="A100" s="16"/>
      <c r="B100" s="29"/>
      <c r="C100" s="70"/>
      <c r="D100" s="97"/>
      <c r="E100" s="29"/>
      <c r="F100" s="67"/>
      <c r="G100" s="67"/>
      <c r="H100" s="67"/>
      <c r="K100">
        <v>1</v>
      </c>
      <c r="L100" s="44">
        <v>1.124999999999998</v>
      </c>
      <c r="M100" s="44">
        <v>-14.795348826380907</v>
      </c>
      <c r="N100" s="44">
        <v>-0.39731105237699182</v>
      </c>
      <c r="O100" s="44">
        <v>0</v>
      </c>
      <c r="P100" s="2">
        <v>0</v>
      </c>
      <c r="Q100" s="2">
        <v>3.5279778657408812E-7</v>
      </c>
      <c r="R100" s="2">
        <v>4.539743679355779E-7</v>
      </c>
      <c r="T100" s="60"/>
      <c r="V100" s="2"/>
      <c r="W100" s="2"/>
      <c r="X100" s="2"/>
      <c r="Y100" s="98"/>
      <c r="AA100" s="2"/>
      <c r="AB100" s="2"/>
      <c r="AC100" s="2"/>
      <c r="AD100" s="44"/>
      <c r="AE100" s="44"/>
      <c r="AF100" s="44"/>
      <c r="AG100" s="2"/>
      <c r="AH100" s="2"/>
      <c r="AI100" s="2"/>
      <c r="AJ100" s="2"/>
      <c r="AK100" s="2"/>
    </row>
    <row r="101" spans="1:37" x14ac:dyDescent="0.2">
      <c r="A101" s="16"/>
      <c r="B101" s="28"/>
      <c r="C101" s="68"/>
      <c r="D101" s="95"/>
      <c r="E101" s="65"/>
      <c r="F101" s="66"/>
      <c r="G101" s="66"/>
      <c r="H101" s="66"/>
      <c r="K101">
        <v>1</v>
      </c>
      <c r="L101" s="44">
        <v>1.137499999999998</v>
      </c>
      <c r="M101" s="44">
        <v>-14.670348826380909</v>
      </c>
      <c r="N101" s="44">
        <v>-0.58147166270675044</v>
      </c>
      <c r="O101" s="44">
        <v>0</v>
      </c>
      <c r="P101" s="2">
        <v>0</v>
      </c>
      <c r="Q101" s="2">
        <v>3.5847102463757331E-7</v>
      </c>
      <c r="R101" s="2">
        <v>4.537282931130883E-7</v>
      </c>
      <c r="T101" s="60"/>
      <c r="V101" s="2"/>
      <c r="W101" s="2"/>
      <c r="X101" s="2"/>
      <c r="Y101" s="98"/>
      <c r="AA101" s="2"/>
      <c r="AB101" s="2"/>
      <c r="AC101" s="2"/>
      <c r="AD101" s="44"/>
      <c r="AE101" s="44"/>
      <c r="AF101" s="44"/>
      <c r="AG101" s="2"/>
      <c r="AH101" s="2"/>
      <c r="AI101" s="2"/>
      <c r="AJ101" s="2"/>
      <c r="AK101" s="2"/>
    </row>
    <row r="102" spans="1:37" x14ac:dyDescent="0.2">
      <c r="A102" s="16"/>
      <c r="B102" s="28"/>
      <c r="C102" s="69"/>
      <c r="D102" s="96"/>
      <c r="E102" s="29"/>
      <c r="F102" s="67"/>
      <c r="G102" s="67"/>
      <c r="H102" s="67"/>
      <c r="K102">
        <v>1</v>
      </c>
      <c r="L102" s="44">
        <v>1.1499999999999979</v>
      </c>
      <c r="M102" s="44">
        <v>-14.545348826380909</v>
      </c>
      <c r="N102" s="44">
        <v>-0.76406977303651047</v>
      </c>
      <c r="O102" s="44">
        <v>0</v>
      </c>
      <c r="P102" s="2">
        <v>0</v>
      </c>
      <c r="Q102" s="2">
        <v>3.641406098105332E-7</v>
      </c>
      <c r="R102" s="2">
        <v>4.5339003635891855E-7</v>
      </c>
      <c r="T102" s="60"/>
      <c r="V102" s="2"/>
      <c r="W102" s="2"/>
      <c r="X102" s="2"/>
      <c r="Y102" s="98"/>
      <c r="AA102" s="2"/>
      <c r="AB102" s="2"/>
      <c r="AC102" s="2"/>
      <c r="AD102" s="44"/>
      <c r="AE102" s="44"/>
      <c r="AF102" s="44"/>
      <c r="AG102" s="2"/>
      <c r="AH102" s="2"/>
      <c r="AI102" s="2"/>
      <c r="AJ102" s="2"/>
      <c r="AK102" s="2"/>
    </row>
    <row r="103" spans="1:37" x14ac:dyDescent="0.2">
      <c r="A103" s="16"/>
      <c r="B103" s="29"/>
      <c r="C103" s="70"/>
      <c r="D103" s="97"/>
      <c r="E103" s="65"/>
      <c r="F103" s="66"/>
      <c r="G103" s="66"/>
      <c r="H103" s="66"/>
      <c r="K103">
        <v>1</v>
      </c>
      <c r="L103" s="44">
        <v>1.1624999999999979</v>
      </c>
      <c r="M103" s="44">
        <v>-14.420348826380909</v>
      </c>
      <c r="N103" s="44">
        <v>-0.94510538336627192</v>
      </c>
      <c r="O103" s="44">
        <v>0</v>
      </c>
      <c r="P103" s="2">
        <v>0</v>
      </c>
      <c r="Q103" s="2">
        <v>3.6980539472784866E-7</v>
      </c>
      <c r="R103" s="2">
        <v>4.5296038311734108E-7</v>
      </c>
      <c r="T103" s="60"/>
      <c r="V103" s="2"/>
      <c r="W103" s="2"/>
      <c r="X103" s="2"/>
      <c r="Y103" s="98"/>
      <c r="AA103" s="2"/>
      <c r="AB103" s="2"/>
      <c r="AC103" s="2"/>
      <c r="AD103" s="44"/>
      <c r="AE103" s="44"/>
      <c r="AF103" s="44"/>
      <c r="AG103" s="2"/>
      <c r="AH103" s="2"/>
      <c r="AI103" s="2"/>
      <c r="AJ103" s="2"/>
      <c r="AK103" s="2"/>
    </row>
    <row r="104" spans="1:37" x14ac:dyDescent="0.2">
      <c r="A104" s="16"/>
      <c r="B104" s="28"/>
      <c r="C104" s="68"/>
      <c r="D104" s="95"/>
      <c r="E104" s="29"/>
      <c r="F104" s="67"/>
      <c r="G104" s="67"/>
      <c r="H104" s="67"/>
      <c r="K104">
        <v>1</v>
      </c>
      <c r="L104" s="44">
        <v>1.1749999999999978</v>
      </c>
      <c r="M104" s="44">
        <v>-14.295348826380909</v>
      </c>
      <c r="N104" s="44">
        <v>-1.1245784936960348</v>
      </c>
      <c r="O104" s="44">
        <v>0</v>
      </c>
      <c r="P104" s="2">
        <v>0</v>
      </c>
      <c r="Q104" s="2">
        <v>3.7546424184245366E-7</v>
      </c>
      <c r="R104" s="2">
        <v>4.5244011883262851E-7</v>
      </c>
      <c r="T104" s="60"/>
      <c r="V104" s="2"/>
      <c r="W104" s="2"/>
      <c r="X104" s="2"/>
      <c r="Y104" s="98"/>
      <c r="AA104" s="2"/>
      <c r="AB104" s="2"/>
      <c r="AC104" s="2"/>
      <c r="AD104" s="44"/>
      <c r="AE104" s="44"/>
      <c r="AF104" s="44"/>
      <c r="AG104" s="2"/>
      <c r="AH104" s="2"/>
      <c r="AI104" s="2"/>
      <c r="AJ104" s="2"/>
      <c r="AK104" s="2"/>
    </row>
    <row r="105" spans="1:37" x14ac:dyDescent="0.2">
      <c r="A105" s="16"/>
      <c r="B105" s="28"/>
      <c r="C105" s="69"/>
      <c r="D105" s="96"/>
      <c r="E105" s="65"/>
      <c r="F105" s="66"/>
      <c r="G105" s="66"/>
      <c r="H105" s="66"/>
      <c r="K105">
        <v>1</v>
      </c>
      <c r="L105" s="44">
        <v>1.1874999999999978</v>
      </c>
      <c r="M105" s="44">
        <v>-14.170348826380909</v>
      </c>
      <c r="N105" s="44">
        <v>-1.3024891040257955</v>
      </c>
      <c r="O105" s="44">
        <v>0</v>
      </c>
      <c r="P105" s="2">
        <v>0</v>
      </c>
      <c r="Q105" s="2">
        <v>3.8111602342533568E-7</v>
      </c>
      <c r="R105" s="2">
        <v>4.5183002894905318E-7</v>
      </c>
      <c r="T105" s="60"/>
      <c r="V105" s="2"/>
      <c r="W105" s="2"/>
      <c r="X105" s="2"/>
      <c r="Y105" s="98"/>
      <c r="AA105" s="2"/>
      <c r="AB105" s="2"/>
      <c r="AC105" s="2"/>
      <c r="AD105" s="44"/>
      <c r="AE105" s="44"/>
      <c r="AF105" s="44"/>
      <c r="AG105" s="2"/>
      <c r="AH105" s="2"/>
      <c r="AI105" s="2"/>
      <c r="AJ105" s="2"/>
      <c r="AK105" s="2"/>
    </row>
    <row r="106" spans="1:37" x14ac:dyDescent="0.2">
      <c r="A106" s="16"/>
      <c r="B106" s="29"/>
      <c r="C106" s="70"/>
      <c r="D106" s="97"/>
      <c r="E106" s="29"/>
      <c r="F106" s="67"/>
      <c r="G106" s="67"/>
      <c r="H106" s="67"/>
      <c r="K106">
        <v>1</v>
      </c>
      <c r="L106" s="44">
        <v>1.1999999999999977</v>
      </c>
      <c r="M106" s="44">
        <v>-14.045348826380911</v>
      </c>
      <c r="N106" s="44">
        <v>-1.4788372143555542</v>
      </c>
      <c r="O106" s="44">
        <v>0</v>
      </c>
      <c r="P106" s="2">
        <v>0</v>
      </c>
      <c r="Q106" s="2">
        <v>3.8675962156553579E-7</v>
      </c>
      <c r="R106" s="2">
        <v>4.5113089891088723E-7</v>
      </c>
      <c r="T106" s="60"/>
      <c r="V106" s="2"/>
      <c r="W106" s="2"/>
      <c r="X106" s="2"/>
      <c r="Y106" s="98"/>
      <c r="AA106" s="2"/>
      <c r="AB106" s="2"/>
      <c r="AC106" s="2"/>
      <c r="AD106" s="44"/>
      <c r="AE106" s="44"/>
      <c r="AF106" s="44"/>
      <c r="AG106" s="2"/>
      <c r="AH106" s="2"/>
      <c r="AI106" s="2"/>
      <c r="AJ106" s="2"/>
      <c r="AK106" s="2"/>
    </row>
    <row r="107" spans="1:37" x14ac:dyDescent="0.2">
      <c r="A107" s="16"/>
      <c r="B107" s="28"/>
      <c r="C107" s="68"/>
      <c r="D107" s="95"/>
      <c r="E107" s="65"/>
      <c r="F107" s="66"/>
      <c r="G107" s="66"/>
      <c r="H107" s="66"/>
      <c r="K107">
        <v>1</v>
      </c>
      <c r="L107" s="44">
        <v>1.2124999999999977</v>
      </c>
      <c r="M107" s="44">
        <v>-13.920348826380911</v>
      </c>
      <c r="N107" s="44">
        <v>-1.6536228246853142</v>
      </c>
      <c r="O107" s="44">
        <v>0</v>
      </c>
      <c r="P107" s="2">
        <v>0</v>
      </c>
      <c r="Q107" s="2">
        <v>3.9239392817014821E-7</v>
      </c>
      <c r="R107" s="2">
        <v>4.5034351416240346E-7</v>
      </c>
      <c r="T107" s="60"/>
      <c r="V107" s="2"/>
      <c r="W107" s="2"/>
      <c r="X107" s="2"/>
      <c r="Y107" s="98"/>
      <c r="AA107" s="2"/>
      <c r="AB107" s="2"/>
      <c r="AC107" s="2"/>
      <c r="AD107" s="44"/>
      <c r="AE107" s="44"/>
      <c r="AF107" s="44"/>
      <c r="AG107" s="2"/>
      <c r="AH107" s="2"/>
      <c r="AI107" s="2"/>
      <c r="AJ107" s="2"/>
      <c r="AK107" s="2"/>
    </row>
    <row r="108" spans="1:37" x14ac:dyDescent="0.2">
      <c r="A108" s="16"/>
      <c r="B108" s="28"/>
      <c r="C108" s="69"/>
      <c r="D108" s="96"/>
      <c r="E108" s="29"/>
      <c r="F108" s="67"/>
      <c r="G108" s="67"/>
      <c r="H108" s="67"/>
      <c r="K108">
        <v>1</v>
      </c>
      <c r="L108" s="44">
        <v>1.2249999999999976</v>
      </c>
      <c r="M108" s="44">
        <v>-13.795348826380911</v>
      </c>
      <c r="N108" s="44">
        <v>-1.8268459350150756</v>
      </c>
      <c r="O108" s="44">
        <v>0</v>
      </c>
      <c r="P108" s="2">
        <v>0</v>
      </c>
      <c r="Q108" s="2">
        <v>3.9801784496432073E-7</v>
      </c>
      <c r="R108" s="2">
        <v>4.4946866014787419E-7</v>
      </c>
      <c r="T108" s="60"/>
      <c r="V108" s="2"/>
      <c r="W108" s="2"/>
      <c r="X108" s="2"/>
      <c r="Y108" s="98"/>
      <c r="AA108" s="2"/>
      <c r="AB108" s="2"/>
      <c r="AC108" s="2"/>
      <c r="AD108" s="44"/>
      <c r="AE108" s="44"/>
      <c r="AF108" s="44"/>
      <c r="AG108" s="2"/>
      <c r="AH108" s="2"/>
      <c r="AI108" s="2"/>
      <c r="AJ108" s="2"/>
      <c r="AK108" s="2"/>
    </row>
    <row r="109" spans="1:37" x14ac:dyDescent="0.2">
      <c r="A109" s="16"/>
      <c r="B109" s="29"/>
      <c r="C109" s="70"/>
      <c r="D109" s="97"/>
      <c r="E109" s="65"/>
      <c r="F109" s="66"/>
      <c r="G109" s="66"/>
      <c r="H109" s="66"/>
      <c r="K109">
        <v>1</v>
      </c>
      <c r="L109" s="44">
        <v>1.2374999999999976</v>
      </c>
      <c r="M109" s="44">
        <v>-13.670348826380913</v>
      </c>
      <c r="N109" s="44">
        <v>-1.9985065453448385</v>
      </c>
      <c r="O109" s="44">
        <v>0</v>
      </c>
      <c r="P109" s="2">
        <v>0</v>
      </c>
      <c r="Q109" s="2">
        <v>4.0363028349125432E-7</v>
      </c>
      <c r="R109" s="2">
        <v>4.4850712231157167E-7</v>
      </c>
      <c r="T109" s="60"/>
      <c r="V109" s="2"/>
      <c r="W109" s="2"/>
      <c r="X109" s="2"/>
      <c r="Y109" s="98"/>
      <c r="AA109" s="2"/>
      <c r="AB109" s="2"/>
      <c r="AC109" s="2"/>
      <c r="AD109" s="44"/>
      <c r="AE109" s="44"/>
      <c r="AF109" s="44"/>
      <c r="AG109" s="2"/>
      <c r="AI109" s="2"/>
      <c r="AJ109" s="2"/>
      <c r="AK109" s="2"/>
    </row>
    <row r="110" spans="1:37" x14ac:dyDescent="0.2">
      <c r="A110" s="16"/>
      <c r="B110" s="28"/>
      <c r="C110" s="68"/>
      <c r="D110" s="95"/>
      <c r="E110" s="29"/>
      <c r="F110" s="67"/>
      <c r="G110" s="67"/>
      <c r="H110" s="67"/>
      <c r="K110">
        <v>1</v>
      </c>
      <c r="L110" s="44">
        <v>1.2499999999999976</v>
      </c>
      <c r="M110" s="44">
        <v>-13.545348826380913</v>
      </c>
      <c r="N110" s="44">
        <v>-2.1686046556745993</v>
      </c>
      <c r="O110" s="44">
        <v>0</v>
      </c>
      <c r="P110" s="2">
        <v>0</v>
      </c>
      <c r="Q110" s="2">
        <v>4.0923016511220358E-7</v>
      </c>
      <c r="R110" s="2">
        <v>4.4745968609776839E-7</v>
      </c>
      <c r="T110" s="60"/>
      <c r="V110" s="2"/>
      <c r="W110" s="2"/>
      <c r="X110" s="2"/>
      <c r="Y110" s="98"/>
      <c r="AA110" s="2"/>
      <c r="AB110" s="2"/>
      <c r="AC110" s="2"/>
      <c r="AD110" s="44"/>
      <c r="AE110" s="44"/>
      <c r="AF110" s="44"/>
      <c r="AI110" s="2"/>
      <c r="AJ110" s="2"/>
      <c r="AK110" s="2"/>
    </row>
    <row r="111" spans="1:37" x14ac:dyDescent="0.2">
      <c r="A111" s="16"/>
      <c r="B111" s="28"/>
      <c r="C111" s="69"/>
      <c r="D111" s="96"/>
      <c r="E111" s="65"/>
      <c r="F111" s="66"/>
      <c r="G111" s="66"/>
      <c r="H111" s="66"/>
      <c r="K111">
        <v>1</v>
      </c>
      <c r="L111" s="44">
        <v>1.2624999999999975</v>
      </c>
      <c r="M111" s="44">
        <v>-13.420348826380913</v>
      </c>
      <c r="N111" s="44">
        <v>-2.3371402660043579</v>
      </c>
      <c r="O111" s="44">
        <v>0</v>
      </c>
      <c r="P111" s="2">
        <v>0</v>
      </c>
      <c r="Q111" s="2">
        <v>4.1481642100647662E-7</v>
      </c>
      <c r="R111" s="2">
        <v>4.4632713695073693E-7</v>
      </c>
      <c r="T111" s="60"/>
      <c r="V111" s="2"/>
      <c r="W111" s="2"/>
      <c r="X111" s="2"/>
      <c r="Y111" s="98"/>
      <c r="AA111" s="2"/>
      <c r="AB111" s="2"/>
      <c r="AC111" s="2"/>
      <c r="AD111" s="44"/>
      <c r="AE111" s="44"/>
      <c r="AF111" s="44"/>
      <c r="AI111" s="2"/>
      <c r="AJ111" s="2"/>
      <c r="AK111" s="2"/>
    </row>
    <row r="112" spans="1:37" x14ac:dyDescent="0.2">
      <c r="A112" s="16"/>
      <c r="B112" s="29"/>
      <c r="C112" s="70"/>
      <c r="D112" s="97"/>
      <c r="E112" s="29"/>
      <c r="F112" s="67"/>
      <c r="G112" s="67"/>
      <c r="H112" s="67"/>
      <c r="K112">
        <v>1</v>
      </c>
      <c r="L112" s="44">
        <v>1.2749999999999975</v>
      </c>
      <c r="M112" s="44">
        <v>-13.295348826380913</v>
      </c>
      <c r="N112" s="44">
        <v>-2.5041133763341215</v>
      </c>
      <c r="O112" s="44">
        <v>0</v>
      </c>
      <c r="P112" s="2">
        <v>0</v>
      </c>
      <c r="Q112" s="2">
        <v>4.2038799217143464E-7</v>
      </c>
      <c r="R112" s="2">
        <v>4.4511026031474954E-7</v>
      </c>
      <c r="T112" s="60"/>
      <c r="V112" s="2"/>
      <c r="W112" s="2"/>
      <c r="X112" s="2"/>
      <c r="Y112" s="98"/>
      <c r="AA112" s="2"/>
      <c r="AB112" s="2"/>
      <c r="AC112" s="2"/>
      <c r="AD112" s="44"/>
      <c r="AE112" s="44"/>
      <c r="AF112" s="44"/>
      <c r="AI112" s="2"/>
      <c r="AJ112" s="2"/>
      <c r="AK112" s="2"/>
    </row>
    <row r="113" spans="3:37" x14ac:dyDescent="0.2">
      <c r="C113" s="68"/>
      <c r="D113" s="95"/>
      <c r="E113" s="65"/>
      <c r="F113" s="66"/>
      <c r="G113" s="66"/>
      <c r="H113" s="66"/>
      <c r="K113">
        <v>1</v>
      </c>
      <c r="L113" s="44">
        <v>1.2874999999999974</v>
      </c>
      <c r="M113" s="44">
        <v>-13.170348826380913</v>
      </c>
      <c r="N113" s="44">
        <v>-2.6695239866638794</v>
      </c>
      <c r="O113" s="44">
        <v>0</v>
      </c>
      <c r="P113" s="2">
        <v>0</v>
      </c>
      <c r="Q113" s="2">
        <v>4.259438294224925E-7</v>
      </c>
      <c r="R113" s="2">
        <v>4.438098416340785E-7</v>
      </c>
      <c r="T113" s="60"/>
      <c r="V113" s="2"/>
      <c r="W113" s="2"/>
      <c r="X113" s="2"/>
      <c r="Y113" s="98"/>
      <c r="AA113" s="2"/>
      <c r="AB113" s="2"/>
      <c r="AC113" s="2"/>
      <c r="AD113" s="44"/>
      <c r="AE113" s="44"/>
      <c r="AF113" s="44"/>
      <c r="AI113" s="2"/>
      <c r="AJ113" s="2"/>
      <c r="AK113" s="2"/>
    </row>
    <row r="114" spans="3:37" x14ac:dyDescent="0.2">
      <c r="C114" s="69"/>
      <c r="D114" s="96"/>
      <c r="E114" s="29"/>
      <c r="F114" s="67"/>
      <c r="G114" s="67"/>
      <c r="H114" s="67"/>
      <c r="K114">
        <v>1</v>
      </c>
      <c r="L114" s="44">
        <v>1.2999999999999974</v>
      </c>
      <c r="M114" s="44">
        <v>-13.045348826380915</v>
      </c>
      <c r="N114" s="44">
        <v>-2.8333720969936387</v>
      </c>
      <c r="O114" s="44">
        <v>0</v>
      </c>
      <c r="P114" s="2">
        <v>0</v>
      </c>
      <c r="Q114" s="2">
        <v>4.3148289339311832E-7</v>
      </c>
      <c r="R114" s="2">
        <v>4.4242666635299648E-7</v>
      </c>
      <c r="T114" s="60"/>
      <c r="V114" s="2"/>
      <c r="W114" s="2"/>
      <c r="X114" s="2"/>
      <c r="Y114" s="98"/>
      <c r="AA114" s="2"/>
      <c r="AB114" s="2"/>
      <c r="AC114" s="2"/>
      <c r="AD114" s="44"/>
      <c r="AE114" s="44"/>
      <c r="AF114" s="44"/>
      <c r="AI114" s="2"/>
      <c r="AJ114" s="2"/>
      <c r="AK114" s="2"/>
    </row>
    <row r="115" spans="3:37" x14ac:dyDescent="0.2">
      <c r="C115" s="70"/>
      <c r="D115" s="97"/>
      <c r="E115" s="65"/>
      <c r="F115" s="66"/>
      <c r="G115" s="66"/>
      <c r="H115" s="66"/>
      <c r="K115">
        <v>1</v>
      </c>
      <c r="L115" s="44">
        <v>1.3124999999999973</v>
      </c>
      <c r="M115" s="44">
        <v>-12.920348826380915</v>
      </c>
      <c r="N115" s="44">
        <v>-2.995657707323403</v>
      </c>
      <c r="O115" s="44">
        <v>0</v>
      </c>
      <c r="P115" s="2">
        <v>0</v>
      </c>
      <c r="Q115" s="2">
        <v>4.3700415453483343E-7</v>
      </c>
      <c r="R115" s="2">
        <v>4.4096151991577587E-7</v>
      </c>
      <c r="T115" s="60"/>
      <c r="V115" s="2"/>
      <c r="W115" s="2"/>
      <c r="X115" s="2"/>
      <c r="Y115" s="98"/>
      <c r="AA115" s="2"/>
      <c r="AB115" s="2"/>
      <c r="AC115" s="2"/>
      <c r="AD115" s="44"/>
      <c r="AE115" s="44"/>
      <c r="AF115" s="44"/>
      <c r="AI115" s="2"/>
      <c r="AJ115" s="2"/>
      <c r="AK115" s="2"/>
    </row>
    <row r="116" spans="3:37" x14ac:dyDescent="0.2">
      <c r="C116" s="68"/>
      <c r="D116" s="95"/>
      <c r="E116" s="29"/>
      <c r="F116" s="67"/>
      <c r="G116" s="67"/>
      <c r="H116" s="67"/>
      <c r="K116">
        <v>1</v>
      </c>
      <c r="L116" s="44">
        <v>1.3249999999999973</v>
      </c>
      <c r="M116" s="44">
        <v>-12.795348826380915</v>
      </c>
      <c r="N116" s="44">
        <v>-3.1563808176531651</v>
      </c>
      <c r="O116" s="44">
        <v>0</v>
      </c>
      <c r="P116" s="2">
        <v>0</v>
      </c>
      <c r="Q116" s="2">
        <v>4.4250659311721315E-7</v>
      </c>
      <c r="R116" s="2">
        <v>4.3941518776668881E-7</v>
      </c>
      <c r="T116" s="60"/>
      <c r="V116" s="2"/>
      <c r="W116" s="2"/>
      <c r="X116" s="2"/>
      <c r="Y116" s="98"/>
      <c r="AA116" s="2"/>
      <c r="AB116" s="2"/>
      <c r="AC116" s="2"/>
      <c r="AD116" s="44"/>
      <c r="AE116" s="44"/>
      <c r="AF116" s="44"/>
      <c r="AI116" s="2"/>
      <c r="AJ116" s="2"/>
      <c r="AK116" s="2"/>
    </row>
    <row r="117" spans="3:37" x14ac:dyDescent="0.2">
      <c r="C117" s="69"/>
      <c r="D117" s="96"/>
      <c r="E117" s="65"/>
      <c r="F117" s="66"/>
      <c r="G117" s="66"/>
      <c r="H117" s="66"/>
      <c r="K117">
        <v>1</v>
      </c>
      <c r="L117" s="44">
        <v>1.3374999999999972</v>
      </c>
      <c r="M117" s="44">
        <v>-12.670348826380916</v>
      </c>
      <c r="N117" s="44">
        <v>-3.3155414279829252</v>
      </c>
      <c r="O117" s="44">
        <v>0</v>
      </c>
      <c r="P117" s="2">
        <v>0</v>
      </c>
      <c r="Q117" s="2">
        <v>4.4798919922788573E-7</v>
      </c>
      <c r="R117" s="2">
        <v>4.3778845535000811E-7</v>
      </c>
      <c r="T117" s="60"/>
      <c r="V117" s="2"/>
      <c r="W117" s="2"/>
      <c r="X117" s="2"/>
      <c r="Y117" s="98"/>
      <c r="AA117" s="2"/>
      <c r="AB117" s="2"/>
      <c r="AC117" s="2"/>
      <c r="AD117" s="44"/>
      <c r="AE117" s="44"/>
      <c r="AF117" s="44"/>
      <c r="AI117" s="2"/>
      <c r="AJ117" s="2"/>
      <c r="AK117" s="2"/>
    </row>
    <row r="118" spans="3:37" x14ac:dyDescent="0.2">
      <c r="C118" s="70"/>
      <c r="D118" s="97"/>
      <c r="E118" s="29"/>
      <c r="F118" s="67"/>
      <c r="G118" s="67"/>
      <c r="H118" s="67"/>
      <c r="K118">
        <v>1</v>
      </c>
      <c r="L118" s="44">
        <v>1.3499999999999972</v>
      </c>
      <c r="M118" s="44">
        <v>-12.545348826380916</v>
      </c>
      <c r="N118" s="44">
        <v>-3.4731395383126866</v>
      </c>
      <c r="O118" s="44">
        <v>0</v>
      </c>
      <c r="P118" s="2">
        <v>0</v>
      </c>
      <c r="Q118" s="2">
        <v>4.5345097277253286E-7</v>
      </c>
      <c r="R118" s="2">
        <v>4.3608210811000602E-7</v>
      </c>
      <c r="T118" s="60"/>
      <c r="V118" s="2"/>
      <c r="W118" s="2"/>
      <c r="X118" s="2"/>
      <c r="Y118" s="98"/>
      <c r="AA118" s="2"/>
      <c r="AB118" s="2"/>
      <c r="AC118" s="2"/>
      <c r="AD118" s="44"/>
      <c r="AE118" s="44"/>
      <c r="AF118" s="44"/>
      <c r="AI118" s="2"/>
      <c r="AJ118" s="2"/>
      <c r="AK118" s="2"/>
    </row>
    <row r="119" spans="3:37" x14ac:dyDescent="0.2">
      <c r="C119" s="68"/>
      <c r="D119" s="95"/>
      <c r="E119" s="65"/>
      <c r="F119" s="66"/>
      <c r="G119" s="66"/>
      <c r="H119" s="66"/>
      <c r="K119">
        <v>1</v>
      </c>
      <c r="L119" s="44">
        <v>1.3624999999999972</v>
      </c>
      <c r="M119" s="44">
        <v>-12.420348826380916</v>
      </c>
      <c r="N119" s="44">
        <v>-3.6291751486424459</v>
      </c>
      <c r="O119" s="44">
        <v>0</v>
      </c>
      <c r="P119" s="2">
        <v>0</v>
      </c>
      <c r="Q119" s="2">
        <v>4.5889092347488983E-7</v>
      </c>
      <c r="R119" s="2">
        <v>4.342969314909548E-7</v>
      </c>
      <c r="T119" s="60"/>
      <c r="V119" s="2"/>
      <c r="W119" s="2"/>
      <c r="X119" s="2"/>
      <c r="Y119" s="98"/>
      <c r="AA119" s="2"/>
      <c r="AB119" s="2"/>
      <c r="AC119" s="2"/>
      <c r="AD119" s="44"/>
      <c r="AE119" s="44"/>
      <c r="AF119" s="44"/>
      <c r="AI119" s="2"/>
      <c r="AJ119" s="2"/>
      <c r="AK119" s="2"/>
    </row>
    <row r="120" spans="3:37" x14ac:dyDescent="0.2">
      <c r="C120" s="69"/>
      <c r="D120" s="96"/>
      <c r="E120" s="29"/>
      <c r="F120" s="67"/>
      <c r="G120" s="67"/>
      <c r="H120" s="67"/>
      <c r="K120">
        <v>1</v>
      </c>
      <c r="L120" s="44">
        <v>1.3749999999999971</v>
      </c>
      <c r="M120" s="44">
        <v>-12.295348826380916</v>
      </c>
      <c r="N120" s="44">
        <v>-3.7836482589722067</v>
      </c>
      <c r="O120" s="44">
        <v>0</v>
      </c>
      <c r="P120" s="2">
        <v>0</v>
      </c>
      <c r="Q120" s="2">
        <v>4.6430807087674511E-7</v>
      </c>
      <c r="R120" s="2">
        <v>4.32433710937127E-7</v>
      </c>
      <c r="T120" s="60"/>
      <c r="V120" s="2"/>
      <c r="W120" s="2"/>
      <c r="X120" s="2"/>
      <c r="Y120" s="98"/>
      <c r="AA120" s="2"/>
      <c r="AB120" s="2"/>
      <c r="AC120" s="2"/>
      <c r="AD120" s="44"/>
      <c r="AE120" s="44"/>
      <c r="AF120" s="44"/>
      <c r="AI120" s="2"/>
      <c r="AJ120" s="2"/>
      <c r="AK120" s="2"/>
    </row>
    <row r="121" spans="3:37" x14ac:dyDescent="0.2">
      <c r="C121" s="70"/>
      <c r="D121" s="97"/>
      <c r="E121" s="65"/>
      <c r="F121" s="66"/>
      <c r="G121" s="66"/>
      <c r="H121" s="66"/>
      <c r="K121">
        <v>1</v>
      </c>
      <c r="L121" s="44">
        <v>1.3874999999999971</v>
      </c>
      <c r="M121" s="44">
        <v>-12.170348826380916</v>
      </c>
      <c r="N121" s="44">
        <v>-3.9365588693019653</v>
      </c>
      <c r="O121" s="44">
        <v>0</v>
      </c>
      <c r="P121" s="2">
        <v>0</v>
      </c>
      <c r="Q121" s="2">
        <v>4.6970144433794082E-7</v>
      </c>
      <c r="R121" s="2">
        <v>4.3049323189279513E-7</v>
      </c>
      <c r="T121" s="60"/>
      <c r="V121" s="2"/>
      <c r="W121" s="2"/>
      <c r="X121" s="2"/>
      <c r="Y121" s="98"/>
      <c r="AA121" s="2"/>
      <c r="AB121" s="2"/>
      <c r="AC121" s="2"/>
      <c r="AD121" s="44"/>
      <c r="AE121" s="44"/>
      <c r="AF121" s="44"/>
      <c r="AI121" s="2"/>
      <c r="AJ121" s="2"/>
      <c r="AK121" s="2"/>
    </row>
    <row r="122" spans="3:37" x14ac:dyDescent="0.2">
      <c r="C122" s="68"/>
      <c r="D122" s="95"/>
      <c r="E122" s="29"/>
      <c r="F122" s="67"/>
      <c r="G122" s="67"/>
      <c r="H122" s="67"/>
      <c r="K122">
        <v>1</v>
      </c>
      <c r="L122" s="44">
        <v>1.399999999999997</v>
      </c>
      <c r="M122" s="44">
        <v>-12.045348826380918</v>
      </c>
      <c r="N122" s="44">
        <v>-4.0879069796317289</v>
      </c>
      <c r="O122" s="44">
        <v>0</v>
      </c>
      <c r="P122" s="2">
        <v>0</v>
      </c>
      <c r="Q122" s="2">
        <v>4.750700830363723E-7</v>
      </c>
      <c r="R122" s="2">
        <v>4.2847627980223135E-7</v>
      </c>
      <c r="T122" s="60"/>
      <c r="V122" s="2"/>
      <c r="W122" s="2"/>
      <c r="X122" s="2"/>
      <c r="Y122" s="98"/>
      <c r="AA122" s="2"/>
      <c r="AB122" s="2"/>
      <c r="AC122" s="2"/>
      <c r="AD122" s="44"/>
      <c r="AE122" s="44"/>
      <c r="AF122" s="44"/>
      <c r="AI122" s="2"/>
      <c r="AJ122" s="2"/>
      <c r="AK122" s="2"/>
    </row>
    <row r="123" spans="3:37" x14ac:dyDescent="0.2">
      <c r="C123" s="69"/>
      <c r="D123" s="96"/>
      <c r="E123" s="65"/>
      <c r="F123" s="66"/>
      <c r="G123" s="66"/>
      <c r="H123" s="66"/>
      <c r="K123">
        <v>1</v>
      </c>
      <c r="L123" s="44">
        <v>1.412499999999997</v>
      </c>
      <c r="M123" s="44">
        <v>-11.920348826380918</v>
      </c>
      <c r="N123" s="44">
        <v>-4.2376925899614903</v>
      </c>
      <c r="O123" s="44">
        <v>0</v>
      </c>
      <c r="P123" s="2">
        <v>0</v>
      </c>
      <c r="Q123" s="2">
        <v>4.8041303596798835E-7</v>
      </c>
      <c r="R123" s="2">
        <v>4.263836401097083E-7</v>
      </c>
      <c r="T123" s="60"/>
      <c r="V123" s="2"/>
      <c r="W123" s="2"/>
      <c r="X123" s="2"/>
      <c r="Y123" s="98"/>
      <c r="AA123" s="2"/>
      <c r="AB123" s="2"/>
      <c r="AC123" s="2"/>
      <c r="AD123" s="44"/>
      <c r="AE123" s="44"/>
      <c r="AF123" s="44"/>
      <c r="AI123" s="2"/>
      <c r="AJ123" s="2"/>
      <c r="AK123" s="2"/>
    </row>
    <row r="124" spans="3:37" x14ac:dyDescent="0.2">
      <c r="C124" s="70"/>
      <c r="D124" s="97"/>
      <c r="E124" s="29"/>
      <c r="F124" s="67"/>
      <c r="G124" s="67"/>
      <c r="H124" s="67"/>
      <c r="K124">
        <v>1</v>
      </c>
      <c r="L124" s="44">
        <v>1.4249999999999969</v>
      </c>
      <c r="M124" s="44">
        <v>-11.795348826380918</v>
      </c>
      <c r="N124" s="44">
        <v>-4.3859157002912497</v>
      </c>
      <c r="O124" s="44">
        <v>0</v>
      </c>
      <c r="P124" s="2">
        <v>0</v>
      </c>
      <c r="Q124" s="2">
        <v>4.8572936194679125E-7</v>
      </c>
      <c r="R124" s="2">
        <v>4.2421609825949839E-7</v>
      </c>
      <c r="T124" s="60"/>
      <c r="V124" s="2"/>
      <c r="W124" s="2"/>
      <c r="X124" s="2"/>
      <c r="Y124" s="98"/>
      <c r="AA124" s="2"/>
      <c r="AB124" s="2"/>
      <c r="AC124" s="2"/>
      <c r="AD124" s="44"/>
      <c r="AE124" s="44"/>
      <c r="AF124" s="44"/>
      <c r="AI124" s="2"/>
      <c r="AJ124" s="2"/>
      <c r="AK124" s="2"/>
    </row>
    <row r="125" spans="3:37" x14ac:dyDescent="0.2">
      <c r="C125" s="68"/>
      <c r="D125" s="95"/>
      <c r="E125" s="65"/>
      <c r="F125" s="66"/>
      <c r="G125" s="66"/>
      <c r="H125" s="66"/>
      <c r="K125">
        <v>1</v>
      </c>
      <c r="L125" s="44">
        <v>1.4374999999999969</v>
      </c>
      <c r="M125" s="44">
        <v>-11.67034882638092</v>
      </c>
      <c r="N125" s="44">
        <v>-4.5325763106210104</v>
      </c>
      <c r="O125" s="44">
        <v>0</v>
      </c>
      <c r="P125" s="2">
        <v>0</v>
      </c>
      <c r="Q125" s="2">
        <v>4.9101812960483664E-7</v>
      </c>
      <c r="R125" s="2">
        <v>4.2197443969587396E-7</v>
      </c>
      <c r="T125" s="60"/>
      <c r="V125" s="2"/>
      <c r="W125" s="2"/>
      <c r="X125" s="2"/>
      <c r="Y125" s="98"/>
      <c r="AA125" s="2"/>
      <c r="AB125" s="2"/>
      <c r="AC125" s="2"/>
      <c r="AD125" s="44"/>
      <c r="AE125" s="44"/>
      <c r="AF125" s="44"/>
      <c r="AI125" s="2"/>
      <c r="AJ125" s="2"/>
      <c r="AK125" s="2"/>
    </row>
    <row r="126" spans="3:37" x14ac:dyDescent="0.2">
      <c r="C126" s="69"/>
      <c r="D126" s="96"/>
      <c r="E126" s="29"/>
      <c r="F126" s="67"/>
      <c r="G126" s="67"/>
      <c r="H126" s="67"/>
      <c r="K126">
        <v>1</v>
      </c>
      <c r="L126" s="44">
        <v>1.4499999999999968</v>
      </c>
      <c r="M126" s="44">
        <v>-11.54534882638092</v>
      </c>
      <c r="N126" s="44">
        <v>-4.6776744209507726</v>
      </c>
      <c r="O126" s="44">
        <v>0</v>
      </c>
      <c r="P126" s="2">
        <v>0</v>
      </c>
      <c r="Q126" s="2">
        <v>4.9627841739223329E-7</v>
      </c>
      <c r="R126" s="2">
        <v>4.1965944986310752E-7</v>
      </c>
      <c r="T126" s="60"/>
      <c r="V126" s="2"/>
      <c r="W126" s="2"/>
      <c r="X126" s="2"/>
      <c r="Y126" s="98"/>
      <c r="AA126" s="2"/>
      <c r="AB126" s="2"/>
      <c r="AC126" s="2"/>
      <c r="AD126" s="44"/>
      <c r="AE126" s="44"/>
      <c r="AF126" s="44"/>
      <c r="AI126" s="2"/>
      <c r="AJ126" s="2"/>
      <c r="AK126" s="2"/>
    </row>
    <row r="127" spans="3:37" x14ac:dyDescent="0.2">
      <c r="C127" s="70"/>
      <c r="D127" s="97"/>
      <c r="E127" s="65"/>
      <c r="F127" s="66"/>
      <c r="G127" s="66"/>
      <c r="H127" s="66"/>
      <c r="K127">
        <v>1</v>
      </c>
      <c r="L127" s="44">
        <v>1.4624999999999968</v>
      </c>
      <c r="M127" s="44">
        <v>-11.42034882638092</v>
      </c>
      <c r="N127" s="44">
        <v>-4.8212100312805326</v>
      </c>
      <c r="O127" s="44">
        <v>0</v>
      </c>
      <c r="P127" s="2">
        <v>0</v>
      </c>
      <c r="Q127" s="2">
        <v>5.0150931357714378E-7</v>
      </c>
      <c r="R127" s="2">
        <v>4.1727191420547123E-7</v>
      </c>
      <c r="T127" s="60"/>
      <c r="V127" s="2"/>
      <c r="W127" s="2"/>
      <c r="X127" s="2"/>
      <c r="Y127" s="98"/>
      <c r="AA127" s="2"/>
      <c r="AB127" s="2"/>
      <c r="AC127" s="2"/>
      <c r="AD127" s="44"/>
      <c r="AE127" s="44"/>
      <c r="AF127" s="44"/>
      <c r="AI127" s="2"/>
      <c r="AJ127" s="2"/>
      <c r="AK127" s="2"/>
    </row>
    <row r="128" spans="3:37" x14ac:dyDescent="0.2">
      <c r="C128" s="68"/>
      <c r="D128" s="95"/>
      <c r="E128" s="29"/>
      <c r="F128" s="67"/>
      <c r="G128" s="67"/>
      <c r="H128" s="67"/>
      <c r="K128">
        <v>1</v>
      </c>
      <c r="L128" s="44">
        <v>1.4749999999999968</v>
      </c>
      <c r="M128" s="44">
        <v>-11.29534882638092</v>
      </c>
      <c r="N128" s="44">
        <v>-4.9631831416102941</v>
      </c>
      <c r="O128" s="44">
        <v>0</v>
      </c>
      <c r="P128" s="2">
        <v>0</v>
      </c>
      <c r="Q128" s="2">
        <v>5.0670991624578421E-7</v>
      </c>
      <c r="R128" s="2">
        <v>4.1481261816723767E-7</v>
      </c>
      <c r="T128" s="60"/>
      <c r="V128" s="2"/>
      <c r="W128" s="2"/>
      <c r="X128" s="2"/>
      <c r="Y128" s="98"/>
      <c r="AA128" s="2"/>
      <c r="AB128" s="2"/>
      <c r="AC128" s="2"/>
      <c r="AD128" s="44"/>
      <c r="AE128" s="44"/>
      <c r="AF128" s="44"/>
      <c r="AI128" s="2"/>
      <c r="AJ128" s="2"/>
      <c r="AK128" s="2"/>
    </row>
    <row r="129" spans="3:37" x14ac:dyDescent="0.2">
      <c r="C129" s="69"/>
      <c r="D129" s="96"/>
      <c r="E129" s="65"/>
      <c r="F129" s="66"/>
      <c r="G129" s="66"/>
      <c r="H129" s="66"/>
      <c r="K129">
        <v>1</v>
      </c>
      <c r="L129" s="44">
        <v>1.4874999999999967</v>
      </c>
      <c r="M129" s="44">
        <v>-11.17034882638092</v>
      </c>
      <c r="N129" s="44">
        <v>-5.1035937519400534</v>
      </c>
      <c r="O129" s="44">
        <v>0</v>
      </c>
      <c r="P129" s="2">
        <v>0</v>
      </c>
      <c r="Q129" s="2">
        <v>5.118793333024236E-7</v>
      </c>
      <c r="R129" s="2">
        <v>4.1228234719267906E-7</v>
      </c>
      <c r="T129" s="60"/>
      <c r="V129" s="2"/>
      <c r="W129" s="2"/>
      <c r="X129" s="2"/>
      <c r="Y129" s="98"/>
      <c r="AA129" s="2"/>
      <c r="AB129" s="2"/>
      <c r="AC129" s="2"/>
      <c r="AD129" s="44"/>
      <c r="AE129" s="44"/>
      <c r="AF129" s="44"/>
      <c r="AI129" s="2"/>
      <c r="AJ129" s="2"/>
      <c r="AK129" s="2"/>
    </row>
    <row r="130" spans="3:37" x14ac:dyDescent="0.2">
      <c r="C130" s="70"/>
      <c r="D130" s="97"/>
      <c r="E130" s="29"/>
      <c r="F130" s="67"/>
      <c r="G130" s="67"/>
      <c r="H130" s="67"/>
      <c r="K130">
        <v>1</v>
      </c>
      <c r="L130" s="44">
        <v>1.4999999999999967</v>
      </c>
      <c r="M130" s="44">
        <v>-11.045348826380922</v>
      </c>
      <c r="N130" s="44">
        <v>-5.2424418622698177</v>
      </c>
      <c r="O130" s="44">
        <v>0</v>
      </c>
      <c r="P130" s="2">
        <v>0</v>
      </c>
      <c r="Q130" s="2">
        <v>5.1701668246938451E-7</v>
      </c>
      <c r="R130" s="2">
        <v>4.0968188672606824E-7</v>
      </c>
      <c r="T130" s="60"/>
      <c r="V130" s="2"/>
      <c r="W130" s="2"/>
      <c r="X130" s="2"/>
      <c r="Y130" s="98"/>
      <c r="AA130" s="2"/>
      <c r="AB130" s="2"/>
      <c r="AC130" s="2"/>
      <c r="AD130" s="44"/>
      <c r="AE130" s="44"/>
      <c r="AF130" s="44"/>
      <c r="AI130" s="2"/>
      <c r="AJ130" s="2"/>
      <c r="AK130" s="2"/>
    </row>
    <row r="131" spans="3:37" x14ac:dyDescent="0.2">
      <c r="C131" s="68"/>
      <c r="D131" s="95"/>
      <c r="E131" s="65"/>
      <c r="F131" s="66"/>
      <c r="G131" s="66"/>
      <c r="H131" s="66"/>
      <c r="K131">
        <v>1</v>
      </c>
      <c r="L131" s="44">
        <v>1.5124999999999966</v>
      </c>
      <c r="M131" s="44">
        <v>-10.920348826380922</v>
      </c>
      <c r="N131" s="44">
        <v>-5.3797274725995763</v>
      </c>
      <c r="O131" s="44">
        <v>0</v>
      </c>
      <c r="P131" s="2">
        <v>0</v>
      </c>
      <c r="Q131" s="2">
        <v>5.2212109128704274E-7</v>
      </c>
      <c r="R131" s="2">
        <v>4.0701202221167747E-7</v>
      </c>
      <c r="T131" s="60"/>
      <c r="V131" s="2"/>
      <c r="W131" s="2"/>
      <c r="X131" s="2"/>
      <c r="Y131" s="98"/>
      <c r="AA131" s="2"/>
      <c r="AB131" s="2"/>
      <c r="AC131" s="2"/>
      <c r="AD131" s="44"/>
      <c r="AE131" s="44"/>
      <c r="AF131" s="44"/>
      <c r="AI131" s="2"/>
      <c r="AJ131" s="2"/>
      <c r="AK131" s="2"/>
    </row>
    <row r="132" spans="3:37" x14ac:dyDescent="0.2">
      <c r="C132" s="69"/>
      <c r="D132" s="96"/>
      <c r="E132" s="29"/>
      <c r="F132" s="67"/>
      <c r="G132" s="67"/>
      <c r="H132" s="67"/>
      <c r="K132">
        <v>1</v>
      </c>
      <c r="L132" s="44">
        <v>1.5249999999999966</v>
      </c>
      <c r="M132" s="44">
        <v>-10.795348826380922</v>
      </c>
      <c r="N132" s="44">
        <v>-5.5154505829293399</v>
      </c>
      <c r="O132" s="44">
        <v>0</v>
      </c>
      <c r="P132" s="2">
        <v>0</v>
      </c>
      <c r="Q132" s="2">
        <v>5.2719169711382816E-7</v>
      </c>
      <c r="R132" s="2">
        <v>4.0427353909377918E-7</v>
      </c>
      <c r="T132" s="60"/>
      <c r="V132" s="2"/>
      <c r="W132" s="2"/>
      <c r="X132" s="2"/>
      <c r="Y132" s="98"/>
      <c r="AA132" s="2"/>
      <c r="AB132" s="2"/>
      <c r="AC132" s="2"/>
      <c r="AD132" s="44"/>
      <c r="AE132" s="44"/>
      <c r="AF132" s="44"/>
      <c r="AI132" s="2"/>
      <c r="AJ132" s="2"/>
      <c r="AK132" s="2"/>
    </row>
    <row r="133" spans="3:37" x14ac:dyDescent="0.2">
      <c r="C133" s="70"/>
      <c r="D133" s="97"/>
      <c r="E133" s="65"/>
      <c r="F133" s="66"/>
      <c r="G133" s="66"/>
      <c r="H133" s="66"/>
      <c r="K133">
        <v>1</v>
      </c>
      <c r="L133" s="44">
        <v>1.5374999999999965</v>
      </c>
      <c r="M133" s="44">
        <v>-10.670348826380923</v>
      </c>
      <c r="N133" s="44">
        <v>-5.6496111932591013</v>
      </c>
      <c r="O133" s="44">
        <v>0</v>
      </c>
      <c r="P133" s="2">
        <v>0</v>
      </c>
      <c r="Q133" s="2">
        <v>5.3222764712622356E-7</v>
      </c>
      <c r="R133" s="2">
        <v>4.0146722281664542E-7</v>
      </c>
      <c r="T133" s="60"/>
      <c r="V133" s="2"/>
      <c r="W133" s="2"/>
      <c r="X133" s="2"/>
      <c r="Y133" s="98"/>
      <c r="AA133" s="2"/>
      <c r="AB133" s="2"/>
      <c r="AC133" s="2"/>
      <c r="AD133" s="44"/>
      <c r="AE133" s="44"/>
      <c r="AF133" s="44"/>
      <c r="AI133" s="2"/>
      <c r="AJ133" s="2"/>
      <c r="AK133" s="2"/>
    </row>
    <row r="134" spans="3:37" x14ac:dyDescent="0.2">
      <c r="C134" s="68"/>
      <c r="D134" s="95"/>
      <c r="E134" s="29"/>
      <c r="F134" s="67"/>
      <c r="G134" s="67"/>
      <c r="H134" s="67"/>
      <c r="K134">
        <v>1</v>
      </c>
      <c r="L134" s="44">
        <v>1.5499999999999965</v>
      </c>
      <c r="M134" s="44">
        <v>-10.545348826380923</v>
      </c>
      <c r="N134" s="44">
        <v>-5.7822093035888606</v>
      </c>
      <c r="O134" s="44">
        <v>0</v>
      </c>
      <c r="P134" s="2">
        <v>0</v>
      </c>
      <c r="Q134" s="2">
        <v>5.3722809831876527E-7</v>
      </c>
      <c r="R134" s="2">
        <v>3.9859385882454892E-7</v>
      </c>
      <c r="T134" s="60"/>
      <c r="V134" s="2"/>
      <c r="W134" s="2"/>
      <c r="X134" s="2"/>
      <c r="Y134" s="98"/>
      <c r="AA134" s="2"/>
      <c r="AB134" s="2"/>
      <c r="AC134" s="2"/>
      <c r="AD134" s="44"/>
      <c r="AE134" s="44"/>
      <c r="AF134" s="44"/>
      <c r="AI134" s="2"/>
      <c r="AJ134" s="2"/>
      <c r="AK134" s="2"/>
    </row>
    <row r="135" spans="3:37" x14ac:dyDescent="0.2">
      <c r="C135" s="69"/>
      <c r="D135" s="96"/>
      <c r="E135" s="65"/>
      <c r="F135" s="66"/>
      <c r="G135" s="66"/>
      <c r="H135" s="66"/>
      <c r="K135">
        <v>1</v>
      </c>
      <c r="L135" s="44">
        <v>1.5624999999999964</v>
      </c>
      <c r="M135" s="44">
        <v>-10.420348826380923</v>
      </c>
      <c r="N135" s="44">
        <v>-5.9132449139186214</v>
      </c>
      <c r="O135" s="44">
        <v>0</v>
      </c>
      <c r="P135" s="2">
        <v>0</v>
      </c>
      <c r="Q135" s="2">
        <v>5.4219221750404285E-7</v>
      </c>
      <c r="R135" s="2">
        <v>3.9565423256176218E-7</v>
      </c>
      <c r="T135" s="60"/>
      <c r="V135" s="2"/>
      <c r="W135" s="2"/>
      <c r="X135" s="2"/>
      <c r="Y135" s="98"/>
      <c r="AA135" s="2"/>
      <c r="AB135" s="2"/>
      <c r="AC135" s="2"/>
      <c r="AD135" s="44"/>
      <c r="AE135" s="44"/>
      <c r="AF135" s="44"/>
      <c r="AI135" s="2"/>
      <c r="AJ135" s="2"/>
      <c r="AK135" s="2"/>
    </row>
    <row r="136" spans="3:37" x14ac:dyDescent="0.2">
      <c r="C136" s="70"/>
      <c r="D136" s="97"/>
      <c r="E136" s="29"/>
      <c r="F136" s="67"/>
      <c r="G136" s="67"/>
      <c r="H136" s="67"/>
      <c r="K136">
        <v>1</v>
      </c>
      <c r="L136" s="44">
        <v>1.5749999999999964</v>
      </c>
      <c r="M136" s="44">
        <v>-10.295348826380923</v>
      </c>
      <c r="N136" s="44">
        <v>-6.0427180242483836</v>
      </c>
      <c r="O136" s="44">
        <v>0</v>
      </c>
      <c r="P136" s="2">
        <v>0</v>
      </c>
      <c r="Q136" s="2">
        <v>5.471191813126993E-7</v>
      </c>
      <c r="R136" s="2">
        <v>3.9264912947255733E-7</v>
      </c>
      <c r="T136" s="60"/>
      <c r="V136" s="2"/>
      <c r="W136" s="2"/>
      <c r="X136" s="2"/>
      <c r="Y136" s="98"/>
      <c r="AA136" s="2"/>
      <c r="AB136" s="2"/>
      <c r="AC136" s="2"/>
      <c r="AD136" s="44"/>
      <c r="AE136" s="44"/>
      <c r="AF136" s="44"/>
      <c r="AI136" s="2"/>
      <c r="AJ136" s="2"/>
      <c r="AK136" s="2"/>
    </row>
    <row r="137" spans="3:37" x14ac:dyDescent="0.2">
      <c r="C137" s="68"/>
      <c r="D137" s="95"/>
      <c r="E137" s="65"/>
      <c r="F137" s="66"/>
      <c r="G137" s="66"/>
      <c r="H137" s="66"/>
      <c r="K137">
        <v>1</v>
      </c>
      <c r="L137" s="44">
        <v>1.5874999999999964</v>
      </c>
      <c r="M137" s="44">
        <v>-10.170348826380923</v>
      </c>
      <c r="N137" s="44">
        <v>-6.1706286345781436</v>
      </c>
      <c r="O137" s="44">
        <v>0</v>
      </c>
      <c r="P137" s="2">
        <v>0</v>
      </c>
      <c r="Q137" s="2">
        <v>5.5200817619343118E-7</v>
      </c>
      <c r="R137" s="2">
        <v>3.8957933500120707E-7</v>
      </c>
      <c r="T137" s="60"/>
      <c r="V137" s="2"/>
      <c r="W137" s="2"/>
      <c r="X137" s="2"/>
      <c r="Y137" s="98"/>
      <c r="AA137" s="2"/>
      <c r="AB137" s="2"/>
      <c r="AC137" s="2"/>
      <c r="AD137" s="44"/>
      <c r="AE137" s="44"/>
      <c r="AF137" s="44"/>
      <c r="AI137" s="2"/>
      <c r="AJ137" s="2"/>
      <c r="AK137" s="2"/>
    </row>
    <row r="138" spans="3:37" x14ac:dyDescent="0.2">
      <c r="C138" s="69"/>
      <c r="D138" s="96"/>
      <c r="E138" s="29"/>
      <c r="F138" s="67"/>
      <c r="G138" s="67"/>
      <c r="H138" s="67"/>
      <c r="K138">
        <v>1</v>
      </c>
      <c r="L138" s="44">
        <v>1.5999999999999963</v>
      </c>
      <c r="M138" s="44">
        <v>-10.045348826380925</v>
      </c>
      <c r="N138" s="44">
        <v>-6.296976744907905</v>
      </c>
      <c r="O138" s="44">
        <v>0</v>
      </c>
      <c r="P138" s="2">
        <v>0</v>
      </c>
      <c r="Q138" s="2">
        <v>5.5685839841298826E-7</v>
      </c>
      <c r="R138" s="2">
        <v>3.8644563459198377E-7</v>
      </c>
      <c r="T138" s="60"/>
      <c r="V138" s="2"/>
      <c r="W138" s="2"/>
      <c r="X138" s="2"/>
      <c r="Y138" s="98"/>
      <c r="AA138" s="2"/>
      <c r="AB138" s="2"/>
      <c r="AC138" s="2"/>
      <c r="AD138" s="44"/>
      <c r="AE138" s="44"/>
      <c r="AF138" s="44"/>
      <c r="AI138" s="2"/>
      <c r="AJ138" s="2"/>
      <c r="AK138" s="2"/>
    </row>
    <row r="139" spans="3:37" x14ac:dyDescent="0.2">
      <c r="C139" s="70"/>
      <c r="D139" s="97"/>
      <c r="E139" s="65"/>
      <c r="F139" s="66"/>
      <c r="G139" s="66"/>
      <c r="H139" s="66"/>
      <c r="K139">
        <v>1</v>
      </c>
      <c r="L139" s="44">
        <v>1.6124999999999963</v>
      </c>
      <c r="M139" s="44">
        <v>-9.9203488263809234</v>
      </c>
      <c r="N139" s="44">
        <v>-6.4217623552376679</v>
      </c>
      <c r="O139" s="44">
        <v>0</v>
      </c>
      <c r="P139" s="2">
        <v>0</v>
      </c>
      <c r="Q139" s="2">
        <v>5.6166905405617388E-7</v>
      </c>
      <c r="R139" s="2">
        <v>3.8324881368915959E-7</v>
      </c>
      <c r="T139" s="60"/>
      <c r="V139" s="2"/>
      <c r="W139" s="2"/>
      <c r="X139" s="2"/>
      <c r="Y139" s="98"/>
      <c r="AA139" s="2"/>
      <c r="AB139" s="2"/>
      <c r="AC139" s="2"/>
      <c r="AD139" s="44"/>
      <c r="AE139" s="44"/>
      <c r="AF139" s="44"/>
      <c r="AI139" s="2"/>
      <c r="AJ139" s="2"/>
      <c r="AK139" s="2"/>
    </row>
    <row r="140" spans="3:37" x14ac:dyDescent="0.2">
      <c r="C140" s="68"/>
      <c r="D140" s="95"/>
      <c r="E140" s="29"/>
      <c r="F140" s="67"/>
      <c r="G140" s="67"/>
      <c r="H140" s="67"/>
      <c r="K140">
        <v>1</v>
      </c>
      <c r="L140" s="44">
        <v>1.6249999999999962</v>
      </c>
      <c r="M140" s="44">
        <v>-9.795348826380927</v>
      </c>
      <c r="N140" s="44">
        <v>-6.5449854655674287</v>
      </c>
      <c r="O140" s="44">
        <v>0</v>
      </c>
      <c r="P140" s="2">
        <v>0</v>
      </c>
      <c r="Q140" s="2">
        <v>5.6643935902584503E-7</v>
      </c>
      <c r="R140" s="2">
        <v>3.7998965773700721E-7</v>
      </c>
      <c r="T140" s="60"/>
      <c r="V140" s="2"/>
      <c r="W140" s="2"/>
      <c r="X140" s="2"/>
      <c r="Y140" s="98"/>
      <c r="AA140" s="2"/>
      <c r="AB140" s="2"/>
      <c r="AC140" s="2"/>
      <c r="AD140" s="44"/>
      <c r="AE140" s="44"/>
      <c r="AF140" s="44"/>
      <c r="AI140" s="2"/>
      <c r="AJ140" s="2"/>
      <c r="AK140" s="2"/>
    </row>
    <row r="141" spans="3:37" x14ac:dyDescent="0.2">
      <c r="C141" s="69"/>
      <c r="D141" s="96"/>
      <c r="E141" s="65"/>
      <c r="F141" s="66"/>
      <c r="G141" s="66"/>
      <c r="H141" s="66"/>
      <c r="K141">
        <v>1</v>
      </c>
      <c r="L141" s="44">
        <v>1.6374999999999962</v>
      </c>
      <c r="M141" s="44">
        <v>-9.670348826380927</v>
      </c>
      <c r="N141" s="44">
        <v>-6.6666460758971873</v>
      </c>
      <c r="O141" s="44">
        <v>0</v>
      </c>
      <c r="P141" s="2">
        <v>0</v>
      </c>
      <c r="Q141" s="2">
        <v>5.7116853904291126E-7</v>
      </c>
      <c r="R141" s="2">
        <v>3.766689521797989E-7</v>
      </c>
      <c r="T141" s="60"/>
      <c r="V141" s="2"/>
      <c r="W141" s="2"/>
      <c r="X141" s="2"/>
      <c r="Y141" s="98"/>
      <c r="AA141" s="2"/>
      <c r="AB141" s="2"/>
      <c r="AC141" s="2"/>
      <c r="AD141" s="44"/>
      <c r="AE141" s="44"/>
      <c r="AF141" s="44"/>
      <c r="AI141" s="2"/>
      <c r="AJ141" s="2"/>
      <c r="AK141" s="2"/>
    </row>
    <row r="142" spans="3:37" x14ac:dyDescent="0.2">
      <c r="C142" s="70"/>
      <c r="D142" s="97"/>
      <c r="E142" s="29"/>
      <c r="F142" s="67"/>
      <c r="G142" s="67"/>
      <c r="H142" s="67"/>
      <c r="K142">
        <v>1</v>
      </c>
      <c r="L142" s="44">
        <v>1.6499999999999961</v>
      </c>
      <c r="M142" s="44">
        <v>-9.545348826380927</v>
      </c>
      <c r="N142" s="44">
        <v>-6.7867441862269473</v>
      </c>
      <c r="O142" s="44">
        <v>0</v>
      </c>
      <c r="P142" s="2">
        <v>0</v>
      </c>
      <c r="Q142" s="2">
        <v>5.7585582964633668E-7</v>
      </c>
      <c r="R142" s="2">
        <v>3.7328748246180713E-7</v>
      </c>
      <c r="T142" s="60"/>
      <c r="V142" s="2"/>
      <c r="W142" s="2"/>
      <c r="X142" s="2"/>
      <c r="Y142" s="98"/>
      <c r="AA142" s="2"/>
      <c r="AB142" s="2"/>
      <c r="AC142" s="2"/>
      <c r="AD142" s="44"/>
      <c r="AE142" s="44"/>
      <c r="AF142" s="44"/>
      <c r="AI142" s="2"/>
      <c r="AJ142" s="2"/>
      <c r="AK142" s="2"/>
    </row>
    <row r="143" spans="3:37" x14ac:dyDescent="0.2">
      <c r="C143" s="68"/>
      <c r="D143" s="95"/>
      <c r="E143" s="65"/>
      <c r="F143" s="66"/>
      <c r="G143" s="66"/>
      <c r="H143" s="66"/>
      <c r="K143">
        <v>1</v>
      </c>
      <c r="L143" s="44">
        <v>1.6624999999999961</v>
      </c>
      <c r="M143" s="44">
        <v>-9.420348826380927</v>
      </c>
      <c r="N143" s="44">
        <v>-6.9052797965567123</v>
      </c>
      <c r="O143" s="44">
        <v>0</v>
      </c>
      <c r="P143" s="2">
        <v>0</v>
      </c>
      <c r="Q143" s="2">
        <v>5.8050047619313783E-7</v>
      </c>
      <c r="R143" s="2">
        <v>3.6984603402730422E-7</v>
      </c>
      <c r="T143" s="60"/>
      <c r="V143" s="2"/>
      <c r="W143" s="2"/>
      <c r="X143" s="2"/>
      <c r="Y143" s="98"/>
      <c r="AA143" s="2"/>
      <c r="AB143" s="2"/>
      <c r="AC143" s="2"/>
      <c r="AD143" s="44"/>
      <c r="AE143" s="44"/>
      <c r="AF143" s="44"/>
      <c r="AI143" s="2"/>
      <c r="AJ143" s="2"/>
      <c r="AK143" s="2"/>
    </row>
    <row r="144" spans="3:37" x14ac:dyDescent="0.2">
      <c r="C144" s="69"/>
      <c r="D144" s="96"/>
      <c r="E144" s="29"/>
      <c r="F144" s="67"/>
      <c r="G144" s="67"/>
      <c r="H144" s="67"/>
      <c r="K144">
        <v>1</v>
      </c>
      <c r="L144" s="44">
        <v>1.674999999999996</v>
      </c>
      <c r="M144" s="44">
        <v>-9.295348826380927</v>
      </c>
      <c r="N144" s="44">
        <v>-7.0222529068864716</v>
      </c>
      <c r="O144" s="44">
        <v>0</v>
      </c>
      <c r="P144" s="2">
        <v>0</v>
      </c>
      <c r="Q144" s="2">
        <v>5.8510173385838494E-7</v>
      </c>
      <c r="R144" s="2">
        <v>3.663453923205628E-7</v>
      </c>
      <c r="T144" s="60"/>
      <c r="V144" s="2"/>
      <c r="W144" s="2"/>
      <c r="X144" s="2"/>
      <c r="Y144" s="98"/>
      <c r="AA144" s="2"/>
      <c r="AB144" s="2"/>
      <c r="AC144" s="2"/>
      <c r="AD144" s="44"/>
      <c r="AE144" s="44"/>
      <c r="AF144" s="44"/>
      <c r="AI144" s="2"/>
      <c r="AJ144" s="2"/>
      <c r="AK144" s="2"/>
    </row>
    <row r="145" spans="3:37" x14ac:dyDescent="0.2">
      <c r="C145" s="70"/>
      <c r="D145" s="97"/>
      <c r="E145" s="65"/>
      <c r="F145" s="66"/>
      <c r="G145" s="66"/>
      <c r="H145" s="66"/>
      <c r="K145">
        <v>1</v>
      </c>
      <c r="L145" s="44">
        <v>1.687499999999996</v>
      </c>
      <c r="M145" s="44">
        <v>-9.170348826380927</v>
      </c>
      <c r="N145" s="44">
        <v>-7.1376635172162324</v>
      </c>
      <c r="O145" s="44">
        <v>0</v>
      </c>
      <c r="P145" s="2">
        <v>0</v>
      </c>
      <c r="Q145" s="2">
        <v>5.8965886763520199E-7</v>
      </c>
      <c r="R145" s="2">
        <v>3.6278634278585504E-7</v>
      </c>
      <c r="T145" s="60"/>
      <c r="V145" s="2"/>
      <c r="W145" s="2"/>
      <c r="X145" s="2"/>
      <c r="Y145" s="98"/>
      <c r="AA145" s="2"/>
      <c r="AB145" s="2"/>
      <c r="AC145" s="2"/>
      <c r="AD145" s="44"/>
      <c r="AE145" s="44"/>
      <c r="AF145" s="44"/>
      <c r="AI145" s="2"/>
      <c r="AJ145" s="2"/>
      <c r="AK145" s="2"/>
    </row>
    <row r="146" spans="3:37" x14ac:dyDescent="0.2">
      <c r="C146" s="68"/>
      <c r="D146" s="95"/>
      <c r="E146" s="29"/>
      <c r="F146" s="67"/>
      <c r="G146" s="67"/>
      <c r="H146" s="67"/>
      <c r="K146">
        <v>1</v>
      </c>
      <c r="L146" s="44">
        <v>1.699999999999996</v>
      </c>
      <c r="M146" s="44">
        <v>-9.045348826380927</v>
      </c>
      <c r="N146" s="44">
        <v>-7.2515116275459945</v>
      </c>
      <c r="O146" s="44">
        <v>0</v>
      </c>
      <c r="P146" s="2">
        <v>0</v>
      </c>
      <c r="Q146" s="2">
        <v>5.9417115233476598E-7</v>
      </c>
      <c r="R146" s="2">
        <v>3.5916967086745346E-7</v>
      </c>
      <c r="T146" s="60"/>
      <c r="V146" s="2"/>
      <c r="W146" s="2"/>
      <c r="X146" s="2"/>
      <c r="Y146" s="98"/>
      <c r="AA146" s="2"/>
      <c r="AB146" s="2"/>
      <c r="AC146" s="2"/>
      <c r="AD146" s="44"/>
      <c r="AE146" s="44"/>
      <c r="AF146" s="44"/>
      <c r="AI146" s="2"/>
      <c r="AJ146" s="2"/>
      <c r="AK146" s="2"/>
    </row>
    <row r="147" spans="3:37" x14ac:dyDescent="0.2">
      <c r="C147" s="69"/>
      <c r="D147" s="96"/>
      <c r="E147" s="65"/>
      <c r="F147" s="66"/>
      <c r="G147" s="66"/>
      <c r="H147" s="66"/>
      <c r="K147">
        <v>1</v>
      </c>
      <c r="L147" s="44">
        <v>1.7124999999999959</v>
      </c>
      <c r="M147" s="44">
        <v>-8.9203488263809305</v>
      </c>
      <c r="N147" s="44">
        <v>-7.3637972378757546</v>
      </c>
      <c r="O147" s="44">
        <v>0</v>
      </c>
      <c r="P147" s="2">
        <v>0</v>
      </c>
      <c r="Q147" s="2">
        <v>5.9863787258630745E-7</v>
      </c>
      <c r="R147" s="2">
        <v>3.5549616200963058E-7</v>
      </c>
      <c r="T147" s="60"/>
      <c r="V147" s="2"/>
      <c r="W147" s="2"/>
      <c r="X147" s="2"/>
      <c r="Y147" s="98"/>
      <c r="AA147" s="2"/>
      <c r="AB147" s="2"/>
      <c r="AC147" s="2"/>
      <c r="AD147" s="44"/>
      <c r="AE147" s="44"/>
      <c r="AF147" s="44"/>
      <c r="AI147" s="2"/>
      <c r="AJ147" s="2"/>
      <c r="AK147" s="2"/>
    </row>
    <row r="148" spans="3:37" x14ac:dyDescent="0.2">
      <c r="C148" s="70"/>
      <c r="D148" s="97"/>
      <c r="E148" s="29"/>
      <c r="F148" s="67"/>
      <c r="G148" s="67"/>
      <c r="H148" s="67"/>
      <c r="K148">
        <v>1</v>
      </c>
      <c r="L148" s="44">
        <v>1.7249999999999959</v>
      </c>
      <c r="M148" s="44">
        <v>-8.7953488263809305</v>
      </c>
      <c r="N148" s="44">
        <v>-7.474520348205516</v>
      </c>
      <c r="O148" s="44">
        <v>0</v>
      </c>
      <c r="P148" s="2">
        <v>0</v>
      </c>
      <c r="Q148" s="2">
        <v>6.0305832283711017E-7</v>
      </c>
      <c r="R148" s="2">
        <v>3.5176660165665878E-7</v>
      </c>
      <c r="T148" s="60"/>
      <c r="V148" s="2"/>
      <c r="W148" s="2"/>
      <c r="X148" s="2"/>
      <c r="Y148" s="98"/>
      <c r="AA148" s="2"/>
      <c r="AB148" s="2"/>
      <c r="AC148" s="2"/>
      <c r="AD148" s="44"/>
      <c r="AE148" s="44"/>
      <c r="AF148" s="44"/>
      <c r="AI148" s="2"/>
      <c r="AJ148" s="2"/>
      <c r="AK148" s="2"/>
    </row>
    <row r="149" spans="3:37" x14ac:dyDescent="0.2">
      <c r="C149" s="68"/>
      <c r="D149" s="95"/>
      <c r="E149" s="65"/>
      <c r="F149" s="66"/>
      <c r="G149" s="66"/>
      <c r="H149" s="66"/>
      <c r="K149">
        <v>1</v>
      </c>
      <c r="L149" s="44">
        <v>1.7374999999999958</v>
      </c>
      <c r="M149" s="44">
        <v>-8.6703488263809305</v>
      </c>
      <c r="N149" s="44">
        <v>-7.5836809585352754</v>
      </c>
      <c r="O149" s="44">
        <v>0</v>
      </c>
      <c r="P149" s="2">
        <v>0</v>
      </c>
      <c r="Q149" s="2">
        <v>6.0743180735251179E-7</v>
      </c>
      <c r="R149" s="2">
        <v>3.4798177525281038E-7</v>
      </c>
      <c r="T149" s="60"/>
      <c r="V149" s="2"/>
      <c r="W149" s="2"/>
      <c r="X149" s="2"/>
      <c r="Y149" s="98"/>
      <c r="AA149" s="2"/>
      <c r="AB149" s="2"/>
      <c r="AC149" s="2"/>
      <c r="AD149" s="44"/>
      <c r="AE149" s="44"/>
      <c r="AF149" s="44"/>
      <c r="AI149" s="2"/>
      <c r="AJ149" s="2"/>
      <c r="AK149" s="2"/>
    </row>
    <row r="150" spans="3:37" x14ac:dyDescent="0.2">
      <c r="C150" s="69"/>
      <c r="D150" s="96"/>
      <c r="E150" s="29"/>
      <c r="F150" s="67"/>
      <c r="G150" s="67"/>
      <c r="H150" s="67"/>
      <c r="K150">
        <v>1</v>
      </c>
      <c r="L150" s="44">
        <v>1.7499999999999958</v>
      </c>
      <c r="M150" s="44">
        <v>-8.5453488263809305</v>
      </c>
      <c r="N150" s="44">
        <v>-7.6912790688650396</v>
      </c>
      <c r="O150" s="44">
        <v>0</v>
      </c>
      <c r="P150" s="2">
        <v>0</v>
      </c>
      <c r="Q150" s="2">
        <v>6.1175764021590307E-7</v>
      </c>
      <c r="R150" s="2">
        <v>3.4414246824235785E-7</v>
      </c>
      <c r="T150" s="60"/>
      <c r="V150" s="2"/>
      <c r="W150" s="2"/>
      <c r="X150" s="2"/>
      <c r="Y150" s="98"/>
      <c r="AA150" s="2"/>
      <c r="AB150" s="2"/>
      <c r="AC150" s="2"/>
      <c r="AD150" s="44"/>
      <c r="AE150" s="44"/>
      <c r="AF150" s="44"/>
      <c r="AI150" s="2"/>
      <c r="AJ150" s="2"/>
      <c r="AK150" s="2"/>
    </row>
    <row r="151" spans="3:37" x14ac:dyDescent="0.2">
      <c r="C151" s="70"/>
      <c r="D151" s="97"/>
      <c r="E151" s="65"/>
      <c r="F151" s="66"/>
      <c r="G151" s="66"/>
      <c r="H151" s="66"/>
      <c r="K151">
        <v>1</v>
      </c>
      <c r="L151" s="44">
        <v>1.7624999999999957</v>
      </c>
      <c r="M151" s="44">
        <v>-8.4203488263809305</v>
      </c>
      <c r="N151" s="44">
        <v>-7.7973146791948018</v>
      </c>
      <c r="O151" s="44">
        <v>0</v>
      </c>
      <c r="P151" s="2">
        <v>0</v>
      </c>
      <c r="Q151" s="2">
        <v>6.1603514532872768E-7</v>
      </c>
      <c r="R151" s="2">
        <v>3.4024946606957366E-7</v>
      </c>
      <c r="T151" s="60"/>
      <c r="V151" s="2"/>
      <c r="W151" s="2"/>
      <c r="X151" s="2"/>
      <c r="Y151" s="98"/>
      <c r="AA151" s="2"/>
      <c r="AB151" s="2"/>
      <c r="AC151" s="2"/>
      <c r="AD151" s="44"/>
      <c r="AE151" s="44"/>
      <c r="AF151" s="44"/>
      <c r="AI151" s="2"/>
      <c r="AJ151" s="2"/>
      <c r="AK151" s="2"/>
    </row>
    <row r="152" spans="3:37" x14ac:dyDescent="0.2">
      <c r="C152" s="68"/>
      <c r="D152" s="95"/>
      <c r="E152" s="29"/>
      <c r="F152" s="67"/>
      <c r="G152" s="67"/>
      <c r="H152" s="67"/>
      <c r="K152">
        <v>1</v>
      </c>
      <c r="L152" s="44">
        <v>1.7749999999999957</v>
      </c>
      <c r="M152" s="44">
        <v>-8.2953488263809305</v>
      </c>
      <c r="N152" s="44">
        <v>-7.9017877895245618</v>
      </c>
      <c r="O152" s="44">
        <v>0</v>
      </c>
      <c r="P152" s="2">
        <v>0</v>
      </c>
      <c r="Q152" s="2">
        <v>6.2026365641048349E-7</v>
      </c>
      <c r="R152" s="2">
        <v>3.3630355417872998E-7</v>
      </c>
      <c r="T152" s="60"/>
      <c r="V152" s="2"/>
      <c r="W152" s="2"/>
      <c r="X152" s="2"/>
      <c r="Y152" s="98"/>
      <c r="AA152" s="2"/>
      <c r="AB152" s="2"/>
      <c r="AC152" s="2"/>
      <c r="AD152" s="44"/>
      <c r="AE152" s="44"/>
      <c r="AF152" s="44"/>
      <c r="AI152" s="2"/>
      <c r="AJ152" s="2"/>
      <c r="AK152" s="2"/>
    </row>
    <row r="153" spans="3:37" x14ac:dyDescent="0.2">
      <c r="C153" s="69"/>
      <c r="D153" s="96"/>
      <c r="E153" s="65"/>
      <c r="F153" s="66"/>
      <c r="G153" s="66"/>
      <c r="H153" s="66"/>
      <c r="K153">
        <v>1</v>
      </c>
      <c r="L153" s="44">
        <v>1.7874999999999956</v>
      </c>
      <c r="M153" s="44">
        <v>-8.1703488263809305</v>
      </c>
      <c r="N153" s="44">
        <v>-8.0046983998543233</v>
      </c>
      <c r="O153" s="44">
        <v>0</v>
      </c>
      <c r="P153" s="2">
        <v>0</v>
      </c>
      <c r="Q153" s="2">
        <v>6.2444251699872169E-7</v>
      </c>
      <c r="R153" s="2">
        <v>3.3230551801409943E-7</v>
      </c>
      <c r="T153" s="60"/>
      <c r="V153" s="2"/>
      <c r="W153" s="2"/>
      <c r="X153" s="2"/>
      <c r="Y153" s="98"/>
      <c r="AA153" s="2"/>
      <c r="AB153" s="2"/>
      <c r="AC153" s="2"/>
      <c r="AD153" s="44"/>
      <c r="AE153" s="44"/>
      <c r="AF153" s="44"/>
      <c r="AI153" s="2"/>
      <c r="AJ153" s="2"/>
      <c r="AK153" s="2"/>
    </row>
    <row r="154" spans="3:37" x14ac:dyDescent="0.2">
      <c r="C154" s="70"/>
      <c r="D154" s="97"/>
      <c r="E154" s="29"/>
      <c r="F154" s="67"/>
      <c r="G154" s="67"/>
      <c r="H154" s="67"/>
      <c r="K154">
        <v>1</v>
      </c>
      <c r="L154" s="44">
        <v>1.7999999999999956</v>
      </c>
      <c r="M154" s="44">
        <v>-8.0453488263809305</v>
      </c>
      <c r="N154" s="44">
        <v>-8.1060465101840826</v>
      </c>
      <c r="O154" s="44">
        <v>0</v>
      </c>
      <c r="P154" s="2">
        <v>0</v>
      </c>
      <c r="Q154" s="2">
        <v>6.2857108044904628E-7</v>
      </c>
      <c r="R154" s="2">
        <v>3.282561430199546E-7</v>
      </c>
      <c r="T154" s="60"/>
      <c r="V154" s="2"/>
      <c r="W154" s="2"/>
      <c r="X154" s="2"/>
      <c r="Y154" s="98"/>
      <c r="AA154" s="2"/>
      <c r="AB154" s="2"/>
      <c r="AC154" s="2"/>
      <c r="AD154" s="44"/>
      <c r="AE154" s="44"/>
      <c r="AF154" s="44"/>
      <c r="AI154" s="2"/>
      <c r="AJ154" s="2"/>
      <c r="AK154" s="2"/>
    </row>
    <row r="155" spans="3:37" x14ac:dyDescent="0.2">
      <c r="C155" s="68"/>
      <c r="D155" s="95"/>
      <c r="E155" s="65"/>
      <c r="F155" s="66"/>
      <c r="G155" s="66"/>
      <c r="H155" s="66"/>
      <c r="K155">
        <v>1</v>
      </c>
      <c r="L155" s="44">
        <v>1.8124999999999956</v>
      </c>
      <c r="M155" s="44">
        <v>-7.9203488263809305</v>
      </c>
      <c r="N155" s="44">
        <v>-8.2058321205138434</v>
      </c>
      <c r="O155" s="44">
        <v>0</v>
      </c>
      <c r="P155" s="2">
        <v>0</v>
      </c>
      <c r="Q155" s="2">
        <v>6.3264870993511534E-7</v>
      </c>
      <c r="R155" s="2">
        <v>3.2415621464056754E-7</v>
      </c>
      <c r="T155" s="60"/>
      <c r="V155" s="2"/>
      <c r="W155" s="2"/>
      <c r="X155" s="2"/>
      <c r="Y155" s="98"/>
      <c r="AA155" s="2"/>
      <c r="AB155" s="2"/>
      <c r="AC155" s="2"/>
      <c r="AD155" s="44"/>
      <c r="AE155" s="44"/>
      <c r="AF155" s="44"/>
      <c r="AI155" s="2"/>
      <c r="AJ155" s="2"/>
      <c r="AK155" s="2"/>
    </row>
    <row r="156" spans="3:37" x14ac:dyDescent="0.2">
      <c r="C156" s="69"/>
      <c r="D156" s="96"/>
      <c r="E156" s="29"/>
      <c r="F156" s="67"/>
      <c r="G156" s="67"/>
      <c r="H156" s="67"/>
      <c r="K156">
        <v>1</v>
      </c>
      <c r="L156" s="44">
        <v>1.8249999999999955</v>
      </c>
      <c r="M156" s="44">
        <v>-7.7953488263809341</v>
      </c>
      <c r="N156" s="44">
        <v>-8.3040552308436091</v>
      </c>
      <c r="O156" s="44">
        <v>0</v>
      </c>
      <c r="P156" s="2">
        <v>0</v>
      </c>
      <c r="Q156" s="2">
        <v>6.3667477844863965E-7</v>
      </c>
      <c r="R156" s="2">
        <v>3.2000651832021079E-7</v>
      </c>
      <c r="T156" s="60"/>
      <c r="V156" s="2"/>
      <c r="W156" s="2"/>
      <c r="X156" s="2"/>
      <c r="Y156" s="98"/>
      <c r="AA156" s="2"/>
      <c r="AB156" s="2"/>
      <c r="AC156" s="2"/>
      <c r="AD156" s="44"/>
      <c r="AE156" s="44"/>
      <c r="AF156" s="44"/>
      <c r="AI156" s="2"/>
      <c r="AJ156" s="2"/>
      <c r="AK156" s="2"/>
    </row>
    <row r="157" spans="3:37" x14ac:dyDescent="0.2">
      <c r="C157" s="70"/>
      <c r="D157" s="97"/>
      <c r="E157" s="65"/>
      <c r="F157" s="66"/>
      <c r="G157" s="66"/>
      <c r="H157" s="66"/>
      <c r="K157">
        <v>1</v>
      </c>
      <c r="L157" s="44">
        <v>1.8374999999999955</v>
      </c>
      <c r="M157" s="44">
        <v>-7.6703488263809341</v>
      </c>
      <c r="N157" s="44">
        <v>-8.4007158411733691</v>
      </c>
      <c r="O157" s="44">
        <v>0</v>
      </c>
      <c r="P157" s="2">
        <v>0</v>
      </c>
      <c r="Q157" s="2">
        <v>6.4064866879938427E-7</v>
      </c>
      <c r="R157" s="2">
        <v>3.1580783950315691E-7</v>
      </c>
      <c r="T157" s="60"/>
      <c r="V157" s="2"/>
      <c r="W157" s="2"/>
      <c r="X157" s="2"/>
      <c r="Y157" s="98"/>
      <c r="AA157" s="2"/>
      <c r="AB157" s="2"/>
      <c r="AC157" s="2"/>
      <c r="AD157" s="44"/>
      <c r="AE157" s="44"/>
      <c r="AF157" s="44"/>
      <c r="AI157" s="2"/>
      <c r="AJ157" s="2"/>
      <c r="AK157" s="2"/>
    </row>
    <row r="158" spans="3:37" x14ac:dyDescent="0.2">
      <c r="C158" s="68"/>
      <c r="D158" s="95"/>
      <c r="E158" s="29"/>
      <c r="F158" s="67"/>
      <c r="G158" s="67"/>
      <c r="H158" s="67"/>
      <c r="K158">
        <v>1</v>
      </c>
      <c r="L158" s="44">
        <v>1.8499999999999954</v>
      </c>
      <c r="M158" s="44">
        <v>-7.5453488263809341</v>
      </c>
      <c r="N158" s="44">
        <v>-8.4958139515031306</v>
      </c>
      <c r="O158" s="44">
        <v>0</v>
      </c>
      <c r="P158" s="2">
        <v>0</v>
      </c>
      <c r="Q158" s="2">
        <v>6.4456977361516676E-7</v>
      </c>
      <c r="R158" s="2">
        <v>3.1156096363367797E-7</v>
      </c>
      <c r="T158" s="60"/>
      <c r="V158" s="2"/>
      <c r="W158" s="2"/>
      <c r="X158" s="2"/>
      <c r="Y158" s="98"/>
      <c r="AA158" s="2"/>
      <c r="AB158" s="2"/>
      <c r="AC158" s="2"/>
      <c r="AD158" s="44"/>
      <c r="AE158" s="44"/>
      <c r="AF158" s="44"/>
      <c r="AI158" s="2"/>
      <c r="AJ158" s="2"/>
      <c r="AK158" s="2"/>
    </row>
    <row r="159" spans="3:37" x14ac:dyDescent="0.2">
      <c r="C159" s="69"/>
      <c r="D159" s="96"/>
      <c r="E159" s="65"/>
      <c r="F159" s="66"/>
      <c r="G159" s="66"/>
      <c r="H159" s="66"/>
      <c r="K159">
        <v>1</v>
      </c>
      <c r="L159" s="44">
        <v>1.8624999999999954</v>
      </c>
      <c r="M159" s="44">
        <v>-7.4203488263809341</v>
      </c>
      <c r="N159" s="44">
        <v>-8.5893495618328899</v>
      </c>
      <c r="O159" s="44">
        <v>0</v>
      </c>
      <c r="P159" s="2">
        <v>0</v>
      </c>
      <c r="Q159" s="2">
        <v>6.4843749534185876E-7</v>
      </c>
      <c r="R159" s="2">
        <v>3.0726667615604675E-7</v>
      </c>
      <c r="T159" s="60"/>
      <c r="V159" s="2"/>
      <c r="W159" s="2"/>
      <c r="X159" s="2"/>
      <c r="Y159" s="98"/>
      <c r="AA159" s="2"/>
      <c r="AB159" s="2"/>
      <c r="AC159" s="2"/>
      <c r="AD159" s="44"/>
      <c r="AE159" s="44"/>
      <c r="AF159" s="44"/>
      <c r="AI159" s="2"/>
      <c r="AJ159" s="2"/>
      <c r="AK159" s="2"/>
    </row>
    <row r="160" spans="3:37" x14ac:dyDescent="0.2">
      <c r="C160" s="70"/>
      <c r="D160" s="97"/>
      <c r="E160" s="29"/>
      <c r="F160" s="67"/>
      <c r="G160" s="67"/>
      <c r="H160" s="67"/>
      <c r="K160">
        <v>1</v>
      </c>
      <c r="L160" s="44">
        <v>1.8749999999999953</v>
      </c>
      <c r="M160" s="44">
        <v>-7.2953488263809341</v>
      </c>
      <c r="N160" s="44">
        <v>-8.6813226721626506</v>
      </c>
      <c r="O160" s="44">
        <v>0</v>
      </c>
      <c r="P160" s="2">
        <v>0</v>
      </c>
      <c r="Q160" s="2">
        <v>6.5225124624338512E-7</v>
      </c>
      <c r="R160" s="2">
        <v>3.0292576251453536E-7</v>
      </c>
      <c r="T160" s="60"/>
      <c r="V160" s="2"/>
      <c r="W160" s="2"/>
      <c r="X160" s="2"/>
      <c r="Y160" s="98"/>
      <c r="AA160" s="2"/>
      <c r="AB160" s="2"/>
      <c r="AC160" s="2"/>
      <c r="AD160" s="44"/>
      <c r="AE160" s="44"/>
      <c r="AF160" s="44"/>
      <c r="AI160" s="2"/>
      <c r="AJ160" s="2"/>
      <c r="AK160" s="2"/>
    </row>
    <row r="161" spans="3:37" x14ac:dyDescent="0.2">
      <c r="C161" s="68"/>
      <c r="D161" s="95"/>
      <c r="E161" s="65"/>
      <c r="F161" s="66"/>
      <c r="G161" s="66"/>
      <c r="H161" s="66"/>
      <c r="K161">
        <v>1</v>
      </c>
      <c r="L161" s="44">
        <v>1.8874999999999953</v>
      </c>
      <c r="M161" s="44">
        <v>-7.1703488263809341</v>
      </c>
      <c r="N161" s="44">
        <v>-8.7717332824924128</v>
      </c>
      <c r="O161" s="44">
        <v>0</v>
      </c>
      <c r="P161" s="2">
        <v>0</v>
      </c>
      <c r="Q161" s="2">
        <v>6.5601044840172384E-7</v>
      </c>
      <c r="R161" s="2">
        <v>2.9853900815341686E-7</v>
      </c>
      <c r="T161" s="60"/>
      <c r="V161" s="2"/>
      <c r="W161" s="2"/>
      <c r="X161" s="2"/>
      <c r="Y161" s="98"/>
      <c r="AA161" s="2"/>
      <c r="AB161" s="2"/>
      <c r="AC161" s="2"/>
      <c r="AD161" s="44"/>
      <c r="AE161" s="44"/>
      <c r="AF161" s="44"/>
      <c r="AI161" s="2"/>
      <c r="AJ161" s="2"/>
      <c r="AK161" s="2"/>
    </row>
    <row r="162" spans="3:37" x14ac:dyDescent="0.2">
      <c r="C162" s="69"/>
      <c r="D162" s="96"/>
      <c r="E162" s="29"/>
      <c r="F162" s="67"/>
      <c r="G162" s="67"/>
      <c r="H162" s="67"/>
      <c r="K162">
        <v>1</v>
      </c>
      <c r="L162" s="44">
        <v>1.8999999999999952</v>
      </c>
      <c r="M162" s="44">
        <v>-7.0453488263809341</v>
      </c>
      <c r="N162" s="44">
        <v>-8.8605813928221728</v>
      </c>
      <c r="O162" s="44">
        <v>0</v>
      </c>
      <c r="P162" s="2">
        <v>0</v>
      </c>
      <c r="Q162" s="2">
        <v>6.5971453371690677E-7</v>
      </c>
      <c r="R162" s="2">
        <v>2.9410719851696271E-7</v>
      </c>
      <c r="T162" s="60"/>
      <c r="V162" s="2"/>
      <c r="W162" s="2"/>
      <c r="X162" s="2"/>
      <c r="Y162" s="98"/>
      <c r="AA162" s="2"/>
      <c r="AB162" s="2"/>
      <c r="AC162" s="2"/>
      <c r="AD162" s="44"/>
      <c r="AE162" s="44"/>
      <c r="AF162" s="44"/>
      <c r="AI162" s="2"/>
      <c r="AJ162" s="2"/>
      <c r="AK162" s="2"/>
    </row>
    <row r="163" spans="3:37" x14ac:dyDescent="0.2">
      <c r="C163" s="70"/>
      <c r="D163" s="97"/>
      <c r="E163" s="65"/>
      <c r="F163" s="66"/>
      <c r="G163" s="66"/>
      <c r="H163" s="66"/>
      <c r="K163">
        <v>1</v>
      </c>
      <c r="L163" s="44">
        <v>1.9124999999999952</v>
      </c>
      <c r="M163" s="44">
        <v>-6.9203488263809376</v>
      </c>
      <c r="N163" s="44">
        <v>-8.9478670031519378</v>
      </c>
      <c r="O163" s="44">
        <v>0</v>
      </c>
      <c r="P163" s="2">
        <v>0</v>
      </c>
      <c r="Q163" s="2">
        <v>6.6336294390701856E-7</v>
      </c>
      <c r="R163" s="2">
        <v>2.8963111904944609E-7</v>
      </c>
      <c r="T163" s="60"/>
      <c r="V163" s="2"/>
      <c r="W163" s="2"/>
      <c r="X163" s="2"/>
      <c r="Y163" s="98"/>
      <c r="AA163" s="2"/>
      <c r="AB163" s="2"/>
      <c r="AC163" s="2"/>
      <c r="AD163" s="44"/>
      <c r="AE163" s="44"/>
      <c r="AF163" s="44"/>
      <c r="AI163" s="2"/>
      <c r="AJ163" s="2"/>
      <c r="AK163" s="2"/>
    </row>
    <row r="164" spans="3:37" x14ac:dyDescent="0.2">
      <c r="C164" s="68"/>
      <c r="D164" s="95"/>
      <c r="E164" s="29"/>
      <c r="F164" s="67"/>
      <c r="G164" s="67"/>
      <c r="H164" s="67"/>
      <c r="K164">
        <v>1</v>
      </c>
      <c r="L164" s="44">
        <v>1.9249999999999952</v>
      </c>
      <c r="M164" s="44">
        <v>-6.7953488263809376</v>
      </c>
      <c r="N164" s="44">
        <v>-9.0335901134816972</v>
      </c>
      <c r="O164" s="44">
        <v>0</v>
      </c>
      <c r="P164" s="2">
        <v>0</v>
      </c>
      <c r="Q164" s="2">
        <v>6.6695513050819785E-7</v>
      </c>
      <c r="R164" s="2">
        <v>2.851115551951392E-7</v>
      </c>
      <c r="T164" s="60"/>
      <c r="V164" s="2"/>
      <c r="W164" s="2"/>
      <c r="X164" s="2"/>
      <c r="Y164" s="98"/>
      <c r="AA164" s="2"/>
      <c r="AB164" s="2"/>
      <c r="AC164" s="2"/>
      <c r="AD164" s="44"/>
      <c r="AE164" s="44"/>
      <c r="AF164" s="44"/>
      <c r="AI164" s="2"/>
      <c r="AJ164" s="2"/>
      <c r="AK164" s="2"/>
    </row>
    <row r="165" spans="3:37" x14ac:dyDescent="0.2">
      <c r="C165" s="69"/>
      <c r="D165" s="96"/>
      <c r="E165" s="65"/>
      <c r="F165" s="66"/>
      <c r="G165" s="66"/>
      <c r="H165" s="66"/>
      <c r="K165">
        <v>1</v>
      </c>
      <c r="L165" s="44">
        <v>1.9374999999999951</v>
      </c>
      <c r="M165" s="44">
        <v>-6.6703488263809376</v>
      </c>
      <c r="N165" s="44">
        <v>-9.1177507238114615</v>
      </c>
      <c r="O165" s="44">
        <v>0</v>
      </c>
      <c r="P165" s="2">
        <v>0</v>
      </c>
      <c r="Q165" s="2">
        <v>6.7049055487463639E-7</v>
      </c>
      <c r="R165" s="2">
        <v>2.8054929239831415E-7</v>
      </c>
      <c r="T165" s="60"/>
      <c r="V165" s="2"/>
      <c r="W165" s="2"/>
      <c r="X165" s="2"/>
      <c r="Y165" s="98"/>
      <c r="AA165" s="2"/>
      <c r="AB165" s="2"/>
      <c r="AC165" s="2"/>
      <c r="AD165" s="44"/>
      <c r="AE165" s="44"/>
      <c r="AF165" s="44"/>
      <c r="AI165" s="2"/>
      <c r="AJ165" s="2"/>
      <c r="AK165" s="2"/>
    </row>
    <row r="166" spans="3:37" x14ac:dyDescent="0.2">
      <c r="C166" s="70"/>
      <c r="D166" s="97"/>
      <c r="E166" s="29"/>
      <c r="F166" s="67"/>
      <c r="G166" s="67"/>
      <c r="H166" s="67"/>
      <c r="K166">
        <v>1</v>
      </c>
      <c r="L166" s="44">
        <v>1.9499999999999951</v>
      </c>
      <c r="M166" s="44">
        <v>-6.5453488263809376</v>
      </c>
      <c r="N166" s="44">
        <v>-9.2003488341412201</v>
      </c>
      <c r="O166" s="44">
        <v>0</v>
      </c>
      <c r="P166" s="2">
        <v>0</v>
      </c>
      <c r="Q166" s="2">
        <v>6.7396868817857969E-7</v>
      </c>
      <c r="R166" s="2">
        <v>2.7594511610324341E-7</v>
      </c>
      <c r="T166" s="60"/>
      <c r="V166" s="2"/>
      <c r="W166" s="2"/>
      <c r="X166" s="2"/>
      <c r="Y166" s="98"/>
      <c r="AA166" s="2"/>
      <c r="AB166" s="2"/>
      <c r="AC166" s="2"/>
      <c r="AD166" s="44"/>
      <c r="AE166" s="44"/>
      <c r="AF166" s="44"/>
      <c r="AI166" s="2"/>
      <c r="AJ166" s="2"/>
      <c r="AK166" s="2"/>
    </row>
    <row r="167" spans="3:37" x14ac:dyDescent="0.2">
      <c r="C167" s="68"/>
      <c r="D167" s="95"/>
      <c r="E167" s="65"/>
      <c r="F167" s="66"/>
      <c r="G167" s="66"/>
      <c r="H167" s="66"/>
      <c r="K167">
        <v>1</v>
      </c>
      <c r="L167" s="44">
        <v>1.962499999999995</v>
      </c>
      <c r="M167" s="44">
        <v>-6.4203488263809376</v>
      </c>
      <c r="N167" s="44">
        <v>-9.2813844444709801</v>
      </c>
      <c r="O167" s="44">
        <v>0</v>
      </c>
      <c r="P167" s="2">
        <v>0</v>
      </c>
      <c r="Q167" s="2">
        <v>6.7738901141032618E-7</v>
      </c>
      <c r="R167" s="2">
        <v>2.7129981175419994E-7</v>
      </c>
      <c r="T167" s="60"/>
      <c r="V167" s="2"/>
      <c r="W167" s="2"/>
      <c r="X167" s="2"/>
      <c r="Y167" s="98"/>
      <c r="AA167" s="2"/>
      <c r="AB167" s="2"/>
      <c r="AC167" s="2"/>
      <c r="AD167" s="44"/>
      <c r="AE167" s="44"/>
      <c r="AF167" s="44"/>
      <c r="AI167" s="2"/>
      <c r="AJ167" s="2"/>
      <c r="AK167" s="2"/>
    </row>
    <row r="168" spans="3:37" x14ac:dyDescent="0.2">
      <c r="C168" s="69"/>
      <c r="D168" s="96"/>
      <c r="E168" s="29"/>
      <c r="F168" s="67"/>
      <c r="G168" s="67"/>
      <c r="H168" s="67"/>
      <c r="K168">
        <v>1</v>
      </c>
      <c r="L168" s="44">
        <v>1.974999999999995</v>
      </c>
      <c r="M168" s="44">
        <v>-6.2953488263809376</v>
      </c>
      <c r="N168" s="44">
        <v>-9.3608575548007416</v>
      </c>
      <c r="O168" s="44">
        <v>0</v>
      </c>
      <c r="P168" s="2">
        <v>0</v>
      </c>
      <c r="Q168" s="2">
        <v>6.8075101537822761E-7</v>
      </c>
      <c r="R168" s="2">
        <v>2.6661416479545568E-7</v>
      </c>
      <c r="T168" s="60"/>
      <c r="V168" s="2"/>
      <c r="W168" s="2"/>
      <c r="X168" s="2"/>
      <c r="Y168" s="98"/>
      <c r="AA168" s="2"/>
      <c r="AB168" s="2"/>
      <c r="AC168" s="2"/>
      <c r="AD168" s="44"/>
      <c r="AE168" s="44"/>
      <c r="AF168" s="44"/>
      <c r="AI168" s="2"/>
      <c r="AJ168" s="2"/>
      <c r="AK168" s="2"/>
    </row>
    <row r="169" spans="3:37" x14ac:dyDescent="0.2">
      <c r="C169" s="70"/>
      <c r="D169" s="97"/>
      <c r="E169" s="65"/>
      <c r="F169" s="66"/>
      <c r="G169" s="66"/>
      <c r="H169" s="66"/>
      <c r="K169">
        <v>1</v>
      </c>
      <c r="L169" s="44">
        <v>1.9874999999999949</v>
      </c>
      <c r="M169" s="44">
        <v>-6.1703488263809376</v>
      </c>
      <c r="N169" s="44">
        <v>-9.4387681651305009</v>
      </c>
      <c r="O169" s="44">
        <v>0</v>
      </c>
      <c r="P169" s="2">
        <v>0</v>
      </c>
      <c r="Q169" s="2">
        <v>6.8405420070868984E-7</v>
      </c>
      <c r="R169" s="2">
        <v>2.6188896067128294E-7</v>
      </c>
      <c r="T169" s="60"/>
      <c r="V169" s="2"/>
      <c r="W169" s="2"/>
      <c r="X169" s="2"/>
      <c r="Y169" s="98"/>
      <c r="AA169" s="2"/>
      <c r="AB169" s="2"/>
      <c r="AC169" s="2"/>
      <c r="AD169" s="44"/>
      <c r="AE169" s="44"/>
      <c r="AF169" s="44"/>
      <c r="AI169" s="2"/>
      <c r="AJ169" s="2"/>
      <c r="AK169" s="2"/>
    </row>
    <row r="170" spans="3:37" x14ac:dyDescent="0.2">
      <c r="C170" s="68"/>
      <c r="D170" s="95"/>
      <c r="E170" s="29"/>
      <c r="F170" s="67"/>
      <c r="G170" s="67"/>
      <c r="H170" s="67"/>
      <c r="K170">
        <v>1</v>
      </c>
      <c r="L170" s="44">
        <v>1.9999999999999949</v>
      </c>
      <c r="M170" s="44">
        <v>-6.0453488263809376</v>
      </c>
      <c r="N170" s="44">
        <v>-9.5151162754602687</v>
      </c>
      <c r="O170" s="44">
        <v>0</v>
      </c>
      <c r="P170" s="2">
        <v>0</v>
      </c>
      <c r="Q170" s="2">
        <v>6.8729807784617149E-7</v>
      </c>
      <c r="R170" s="2">
        <v>2.5712498482595484E-7</v>
      </c>
      <c r="T170" s="60"/>
      <c r="V170" s="2"/>
      <c r="W170" s="2"/>
      <c r="X170" s="2"/>
      <c r="Y170" s="98"/>
      <c r="AA170" s="2"/>
      <c r="AB170" s="2"/>
      <c r="AC170" s="2"/>
      <c r="AD170" s="44"/>
      <c r="AE170" s="44"/>
      <c r="AF170" s="44"/>
      <c r="AI170" s="2"/>
      <c r="AJ170" s="2"/>
      <c r="AK170" s="2"/>
    </row>
    <row r="171" spans="3:37" x14ac:dyDescent="0.2">
      <c r="C171" s="69"/>
      <c r="D171" s="96"/>
      <c r="E171" s="65"/>
      <c r="F171" s="66"/>
      <c r="G171" s="66"/>
      <c r="H171" s="66"/>
      <c r="K171">
        <v>1</v>
      </c>
      <c r="L171" s="44">
        <v>2.0124999999999948</v>
      </c>
      <c r="M171" s="44">
        <v>-5.9203488263809376</v>
      </c>
      <c r="N171" s="44">
        <v>-9.5899018857900309</v>
      </c>
      <c r="O171" s="44">
        <v>0</v>
      </c>
      <c r="P171" s="2">
        <v>0</v>
      </c>
      <c r="Q171" s="2">
        <v>6.9048216705318488E-7</v>
      </c>
      <c r="R171" s="2">
        <v>2.5232302270374285E-7</v>
      </c>
      <c r="T171" s="60"/>
      <c r="V171" s="2"/>
      <c r="W171" s="2"/>
      <c r="X171" s="2"/>
      <c r="Y171" s="98"/>
      <c r="AI171" s="2"/>
      <c r="AJ171" s="2"/>
      <c r="AK171" s="2"/>
    </row>
    <row r="172" spans="3:37" x14ac:dyDescent="0.2">
      <c r="C172" s="70"/>
      <c r="D172" s="97"/>
      <c r="E172" s="29"/>
      <c r="F172" s="67"/>
      <c r="G172" s="67"/>
      <c r="H172" s="67"/>
      <c r="K172">
        <v>1</v>
      </c>
      <c r="L172" s="44">
        <v>2.024999999999995</v>
      </c>
      <c r="M172" s="44">
        <v>-5.7953488263809376</v>
      </c>
      <c r="N172" s="44">
        <v>-9.6631249961197945</v>
      </c>
      <c r="O172" s="44">
        <v>0</v>
      </c>
      <c r="P172" s="2">
        <v>0</v>
      </c>
      <c r="Q172" s="2">
        <v>6.9360599841029584E-7</v>
      </c>
      <c r="R172" s="2">
        <v>2.4748385974891997E-7</v>
      </c>
      <c r="T172" s="60"/>
      <c r="V172" s="2"/>
      <c r="W172" s="2"/>
      <c r="X172" s="2"/>
      <c r="Y172" s="98"/>
      <c r="AA172" s="2"/>
      <c r="AB172" s="2"/>
      <c r="AC172" s="2"/>
      <c r="AD172" s="44"/>
      <c r="AE172" s="44"/>
      <c r="AF172" s="44"/>
      <c r="AI172" s="2"/>
      <c r="AJ172" s="2"/>
      <c r="AK172" s="2"/>
    </row>
    <row r="173" spans="3:37" x14ac:dyDescent="0.2">
      <c r="C173" s="68"/>
      <c r="D173" s="95"/>
      <c r="E173" s="65"/>
      <c r="F173" s="66"/>
      <c r="G173" s="66"/>
      <c r="H173" s="66"/>
      <c r="K173">
        <v>1</v>
      </c>
      <c r="L173" s="44">
        <v>2.0374999999999952</v>
      </c>
      <c r="M173" s="44">
        <v>-5.6703488263809376</v>
      </c>
      <c r="N173" s="44">
        <v>-9.7347856064495524</v>
      </c>
      <c r="O173" s="44">
        <v>0</v>
      </c>
      <c r="P173" s="2">
        <v>0</v>
      </c>
      <c r="Q173" s="2">
        <v>6.9666911181612335E-7</v>
      </c>
      <c r="R173" s="2">
        <v>2.4260828140575836E-7</v>
      </c>
      <c r="T173" s="60"/>
      <c r="V173" s="2"/>
      <c r="W173" s="2"/>
      <c r="X173" s="2"/>
      <c r="Y173" s="98"/>
    </row>
    <row r="174" spans="3:37" x14ac:dyDescent="0.2">
      <c r="C174" s="69"/>
      <c r="D174" s="96"/>
      <c r="E174" s="29"/>
      <c r="F174" s="67"/>
      <c r="G174" s="67"/>
      <c r="H174" s="67"/>
      <c r="K174">
        <v>1</v>
      </c>
      <c r="L174" s="44">
        <v>2.0499999999999954</v>
      </c>
      <c r="M174" s="44">
        <v>-5.5453488263809341</v>
      </c>
      <c r="N174" s="44">
        <v>-9.8048837167793188</v>
      </c>
      <c r="O174" s="44">
        <v>0</v>
      </c>
      <c r="P174" s="2">
        <v>0</v>
      </c>
      <c r="Q174" s="2">
        <v>6.996710569873396E-7</v>
      </c>
      <c r="R174" s="2">
        <v>2.3769707311853055E-7</v>
      </c>
      <c r="T174" s="60"/>
      <c r="V174" s="2"/>
      <c r="W174" s="2"/>
      <c r="X174" s="2"/>
      <c r="Y174" s="98"/>
    </row>
    <row r="175" spans="3:37" x14ac:dyDescent="0.2">
      <c r="C175" s="70"/>
      <c r="D175" s="97"/>
      <c r="E175" s="65"/>
      <c r="F175" s="66"/>
      <c r="G175" s="66"/>
      <c r="H175" s="66"/>
      <c r="K175">
        <v>1</v>
      </c>
      <c r="L175" s="44">
        <v>2.0624999999999956</v>
      </c>
      <c r="M175" s="44">
        <v>-5.4203488263809305</v>
      </c>
      <c r="N175" s="44">
        <v>-9.8734193271090795</v>
      </c>
      <c r="O175" s="44">
        <v>0</v>
      </c>
      <c r="P175" s="2">
        <v>0</v>
      </c>
      <c r="Q175" s="2">
        <v>7.0261139345867087E-7</v>
      </c>
      <c r="R175" s="2">
        <v>2.3275102033150914E-7</v>
      </c>
      <c r="T175" s="60"/>
      <c r="V175" s="2"/>
      <c r="W175" s="2"/>
      <c r="X175" s="2"/>
      <c r="Y175" s="98"/>
    </row>
    <row r="176" spans="3:37" x14ac:dyDescent="0.2">
      <c r="C176" s="68"/>
      <c r="D176" s="95"/>
      <c r="E176" s="29"/>
      <c r="F176" s="67"/>
      <c r="G176" s="67"/>
      <c r="H176" s="67"/>
      <c r="K176">
        <v>1</v>
      </c>
      <c r="L176" s="44">
        <v>2.0749999999999957</v>
      </c>
      <c r="M176" s="44">
        <v>-5.2953488263809305</v>
      </c>
      <c r="N176" s="44">
        <v>-9.9403924374388417</v>
      </c>
      <c r="O176" s="44">
        <v>0</v>
      </c>
      <c r="P176" s="2">
        <v>0</v>
      </c>
      <c r="Q176" s="2">
        <v>7.0548969058289603E-7</v>
      </c>
      <c r="R176" s="2">
        <v>2.2777090848896617E-7</v>
      </c>
      <c r="T176" s="60"/>
      <c r="V176" s="2"/>
      <c r="W176" s="2"/>
      <c r="X176" s="2"/>
      <c r="Y176" s="98"/>
    </row>
    <row r="177" spans="3:25" x14ac:dyDescent="0.2">
      <c r="C177" s="69"/>
      <c r="D177" s="96"/>
      <c r="E177" s="65"/>
      <c r="F177" s="66"/>
      <c r="G177" s="66"/>
      <c r="H177" s="66"/>
      <c r="K177">
        <v>1</v>
      </c>
      <c r="L177" s="44">
        <v>2.0874999999999959</v>
      </c>
      <c r="M177" s="44">
        <v>-5.1703488263809305</v>
      </c>
      <c r="N177" s="44">
        <v>-10.005803047768605</v>
      </c>
      <c r="O177" s="44">
        <v>0</v>
      </c>
      <c r="P177" s="2">
        <v>0</v>
      </c>
      <c r="Q177" s="2">
        <v>7.0830552753084814E-7</v>
      </c>
      <c r="R177" s="2">
        <v>2.2275752303517442E-7</v>
      </c>
      <c r="T177" s="60"/>
      <c r="V177" s="2"/>
      <c r="W177" s="2"/>
      <c r="X177" s="2"/>
      <c r="Y177" s="98"/>
    </row>
    <row r="178" spans="3:25" x14ac:dyDescent="0.2">
      <c r="C178" s="70"/>
      <c r="D178" s="97"/>
      <c r="E178" s="29"/>
      <c r="F178" s="67"/>
      <c r="G178" s="67"/>
      <c r="H178" s="67"/>
      <c r="K178">
        <v>1</v>
      </c>
      <c r="L178" s="44">
        <v>2.0999999999999961</v>
      </c>
      <c r="M178" s="44">
        <v>-5.045348826380927</v>
      </c>
      <c r="N178" s="44">
        <v>-10.06965115809837</v>
      </c>
      <c r="O178" s="44">
        <v>0</v>
      </c>
      <c r="P178" s="2">
        <v>0</v>
      </c>
      <c r="Q178" s="2">
        <v>7.1105849329141316E-7</v>
      </c>
      <c r="R178" s="2">
        <v>2.1771164941440622E-7</v>
      </c>
      <c r="T178" s="60"/>
      <c r="V178" s="2"/>
      <c r="W178" s="2"/>
      <c r="X178" s="2"/>
      <c r="Y178" s="98"/>
    </row>
    <row r="179" spans="3:25" x14ac:dyDescent="0.2">
      <c r="C179" s="68"/>
      <c r="D179" s="95"/>
      <c r="E179" s="65"/>
      <c r="F179" s="66"/>
      <c r="G179" s="66"/>
      <c r="H179" s="66"/>
      <c r="K179">
        <v>1</v>
      </c>
      <c r="L179" s="44">
        <v>2.1124999999999963</v>
      </c>
      <c r="M179" s="44">
        <v>-4.9203488263809234</v>
      </c>
      <c r="N179" s="44">
        <v>-10.13193676842813</v>
      </c>
      <c r="O179" s="44">
        <v>0</v>
      </c>
      <c r="P179" s="2">
        <v>0</v>
      </c>
      <c r="Q179" s="2">
        <v>7.137481866715304E-7</v>
      </c>
      <c r="R179" s="2">
        <v>2.1263407307093355E-7</v>
      </c>
      <c r="T179" s="60"/>
      <c r="V179" s="2"/>
      <c r="W179" s="2"/>
      <c r="X179" s="2"/>
      <c r="Y179" s="98"/>
    </row>
    <row r="180" spans="3:25" x14ac:dyDescent="0.2">
      <c r="C180" s="69"/>
      <c r="D180" s="96"/>
      <c r="E180" s="29"/>
      <c r="F180" s="67"/>
      <c r="G180" s="67"/>
      <c r="H180" s="67"/>
      <c r="K180">
        <v>1</v>
      </c>
      <c r="L180" s="44">
        <v>2.1249999999999964</v>
      </c>
      <c r="M180" s="44">
        <v>-4.7953488263809234</v>
      </c>
      <c r="N180" s="44">
        <v>-10.19265987875789</v>
      </c>
      <c r="O180" s="44">
        <v>0</v>
      </c>
      <c r="P180" s="2">
        <v>0</v>
      </c>
      <c r="Q180" s="2">
        <v>7.1637421629619323E-7</v>
      </c>
      <c r="R180" s="2">
        <v>2.075255794490293E-7</v>
      </c>
      <c r="T180" s="60"/>
      <c r="V180" s="2"/>
      <c r="W180" s="2"/>
      <c r="X180" s="2"/>
      <c r="Y180" s="98"/>
    </row>
    <row r="181" spans="3:25" x14ac:dyDescent="0.2">
      <c r="C181" s="70"/>
      <c r="D181" s="97"/>
      <c r="E181" s="65"/>
      <c r="F181" s="66"/>
      <c r="G181" s="66"/>
      <c r="H181" s="66"/>
      <c r="K181">
        <v>1</v>
      </c>
      <c r="L181" s="44">
        <v>2.1374999999999966</v>
      </c>
      <c r="M181" s="44">
        <v>-4.6703488263809234</v>
      </c>
      <c r="N181" s="44">
        <v>-10.25182048908766</v>
      </c>
      <c r="O181" s="44">
        <v>0</v>
      </c>
      <c r="P181" s="2">
        <v>0</v>
      </c>
      <c r="Q181" s="2">
        <v>7.1893620060844699E-7</v>
      </c>
      <c r="R181" s="2">
        <v>2.0238695399296602E-7</v>
      </c>
      <c r="T181" s="60"/>
      <c r="V181" s="2"/>
      <c r="W181" s="2"/>
      <c r="X181" s="2"/>
      <c r="Y181" s="98"/>
    </row>
    <row r="182" spans="3:25" x14ac:dyDescent="0.2">
      <c r="C182" s="68"/>
      <c r="D182" s="95"/>
      <c r="E182" s="29"/>
      <c r="F182" s="67"/>
      <c r="G182" s="67"/>
      <c r="H182" s="67"/>
      <c r="K182">
        <v>1</v>
      </c>
      <c r="L182" s="44">
        <v>2.1499999999999968</v>
      </c>
      <c r="M182" s="44">
        <v>-4.5453488263809199</v>
      </c>
      <c r="N182" s="44">
        <v>-10.309418599417416</v>
      </c>
      <c r="O182" s="44">
        <v>0</v>
      </c>
      <c r="P182" s="2">
        <v>0</v>
      </c>
      <c r="Q182" s="2">
        <v>7.2143376786939258E-7</v>
      </c>
      <c r="R182" s="2">
        <v>1.9721898214701549E-7</v>
      </c>
      <c r="T182" s="60"/>
      <c r="V182" s="2"/>
      <c r="W182" s="2"/>
      <c r="X182" s="2"/>
      <c r="Y182" s="98"/>
    </row>
    <row r="183" spans="3:25" x14ac:dyDescent="0.2">
      <c r="C183" s="69"/>
      <c r="D183" s="96"/>
      <c r="E183" s="65"/>
      <c r="F183" s="66"/>
      <c r="G183" s="66"/>
      <c r="H183" s="66"/>
      <c r="K183">
        <v>1</v>
      </c>
      <c r="L183" s="44">
        <v>2.162499999999997</v>
      </c>
      <c r="M183" s="44">
        <v>-4.4203488263809163</v>
      </c>
      <c r="N183" s="44">
        <v>-10.365454209747181</v>
      </c>
      <c r="O183" s="44">
        <v>0</v>
      </c>
      <c r="P183" s="2">
        <v>0</v>
      </c>
      <c r="Q183" s="2">
        <v>7.2386655615818233E-7</v>
      </c>
      <c r="R183" s="2">
        <v>1.9202244935545048E-7</v>
      </c>
      <c r="T183" s="60"/>
      <c r="V183" s="2"/>
      <c r="W183" s="2"/>
      <c r="X183" s="2"/>
      <c r="Y183" s="98"/>
    </row>
    <row r="184" spans="3:25" x14ac:dyDescent="0.2">
      <c r="C184" s="70"/>
      <c r="D184" s="97"/>
      <c r="E184" s="29"/>
      <c r="F184" s="67"/>
      <c r="G184" s="67"/>
      <c r="H184" s="67"/>
      <c r="K184">
        <v>1</v>
      </c>
      <c r="L184" s="44">
        <v>2.1749999999999972</v>
      </c>
      <c r="M184" s="44">
        <v>-4.2953488263809163</v>
      </c>
      <c r="N184" s="44">
        <v>-10.41992732007694</v>
      </c>
      <c r="O184" s="44">
        <v>0</v>
      </c>
      <c r="P184" s="2">
        <v>0</v>
      </c>
      <c r="Q184" s="2">
        <v>7.2623421337202306E-7</v>
      </c>
      <c r="R184" s="2">
        <v>1.8679814106254389E-7</v>
      </c>
      <c r="T184" s="60"/>
      <c r="V184" s="2"/>
      <c r="W184" s="2"/>
      <c r="X184" s="2"/>
      <c r="Y184" s="98"/>
    </row>
    <row r="185" spans="3:25" x14ac:dyDescent="0.2">
      <c r="C185" s="68"/>
      <c r="D185" s="95"/>
      <c r="E185" s="65"/>
      <c r="F185" s="66"/>
      <c r="G185" s="66"/>
      <c r="H185" s="66"/>
      <c r="K185">
        <v>1</v>
      </c>
      <c r="L185" s="44">
        <v>2.1874999999999973</v>
      </c>
      <c r="M185" s="44">
        <v>-4.1703488263809163</v>
      </c>
      <c r="N185" s="44">
        <v>-10.472837930406701</v>
      </c>
      <c r="O185" s="44">
        <v>0</v>
      </c>
      <c r="P185" s="2">
        <v>0</v>
      </c>
      <c r="Q185" s="2">
        <v>7.2853639722617558E-7</v>
      </c>
      <c r="R185" s="2">
        <v>1.8154684271256714E-7</v>
      </c>
      <c r="T185" s="60"/>
      <c r="V185" s="2"/>
      <c r="W185" s="2"/>
      <c r="X185" s="2"/>
      <c r="Y185" s="98"/>
    </row>
    <row r="186" spans="3:25" x14ac:dyDescent="0.2">
      <c r="C186" s="69"/>
      <c r="D186" s="96"/>
      <c r="E186" s="29"/>
      <c r="F186" s="67"/>
      <c r="G186" s="67"/>
      <c r="H186" s="67"/>
      <c r="K186">
        <v>1</v>
      </c>
      <c r="L186" s="44">
        <v>2.1999999999999975</v>
      </c>
      <c r="M186" s="44">
        <v>-4.0453488263809128</v>
      </c>
      <c r="N186" s="44">
        <v>-10.524186040736463</v>
      </c>
      <c r="O186" s="44">
        <v>0</v>
      </c>
      <c r="P186" s="2">
        <v>0</v>
      </c>
      <c r="Q186" s="2">
        <v>7.3077277525395115E-7</v>
      </c>
      <c r="R186" s="2">
        <v>1.7626933974979339E-7</v>
      </c>
      <c r="T186" s="60"/>
      <c r="V186" s="2"/>
      <c r="W186" s="2"/>
      <c r="X186" s="2"/>
      <c r="Y186" s="98"/>
    </row>
    <row r="187" spans="3:25" x14ac:dyDescent="0.2">
      <c r="C187" s="70"/>
      <c r="D187" s="97"/>
      <c r="E187" s="65"/>
      <c r="F187" s="66"/>
      <c r="G187" s="66"/>
      <c r="H187" s="66"/>
      <c r="K187">
        <v>1</v>
      </c>
      <c r="L187" s="44">
        <v>2.2124999999999977</v>
      </c>
      <c r="M187" s="44">
        <v>-3.9203488263809092</v>
      </c>
      <c r="N187" s="44">
        <v>-10.573971651066227</v>
      </c>
      <c r="O187" s="44">
        <v>0</v>
      </c>
      <c r="P187" s="2">
        <v>0</v>
      </c>
      <c r="Q187" s="2">
        <v>7.3294302480671768E-7</v>
      </c>
      <c r="R187" s="2">
        <v>1.7096641761849494E-7</v>
      </c>
      <c r="T187" s="60"/>
      <c r="V187" s="2"/>
      <c r="W187" s="2"/>
      <c r="X187" s="2"/>
      <c r="Y187" s="98"/>
    </row>
    <row r="188" spans="3:25" x14ac:dyDescent="0.2">
      <c r="C188" s="68"/>
      <c r="D188" s="95"/>
      <c r="E188" s="29"/>
      <c r="F188" s="67"/>
      <c r="G188" s="67"/>
      <c r="H188" s="67"/>
      <c r="K188">
        <v>1</v>
      </c>
      <c r="L188" s="44">
        <v>2.2249999999999979</v>
      </c>
      <c r="M188" s="44">
        <v>-3.7953488263809092</v>
      </c>
      <c r="N188" s="44">
        <v>-10.622194761395985</v>
      </c>
      <c r="O188" s="44">
        <v>0</v>
      </c>
      <c r="P188" s="2">
        <v>0</v>
      </c>
      <c r="Q188" s="2">
        <v>7.3504683305389587E-7</v>
      </c>
      <c r="R188" s="2">
        <v>1.6563886176294379E-7</v>
      </c>
      <c r="T188" s="60"/>
      <c r="V188" s="2"/>
      <c r="W188" s="2"/>
      <c r="X188" s="2"/>
      <c r="Y188" s="98"/>
    </row>
    <row r="189" spans="3:25" x14ac:dyDescent="0.2">
      <c r="C189" s="69"/>
      <c r="D189" s="96"/>
      <c r="E189" s="65"/>
      <c r="F189" s="66"/>
      <c r="G189" s="66"/>
      <c r="H189" s="66"/>
      <c r="K189">
        <v>1</v>
      </c>
      <c r="L189" s="44">
        <v>2.237499999999998</v>
      </c>
      <c r="M189" s="44">
        <v>-3.6703488263809092</v>
      </c>
      <c r="N189" s="44">
        <v>-10.668855371725751</v>
      </c>
      <c r="O189" s="44">
        <v>0</v>
      </c>
      <c r="P189" s="2">
        <v>0</v>
      </c>
      <c r="Q189" s="2">
        <v>7.3708389698295816E-7</v>
      </c>
      <c r="R189" s="2">
        <v>1.6028745762741305E-7</v>
      </c>
      <c r="T189" s="60"/>
      <c r="V189" s="2"/>
      <c r="W189" s="2"/>
      <c r="X189" s="2"/>
      <c r="Y189" s="98"/>
    </row>
    <row r="190" spans="3:25" x14ac:dyDescent="0.2">
      <c r="C190" s="70"/>
      <c r="D190" s="97"/>
      <c r="E190" s="29"/>
      <c r="F190" s="67"/>
      <c r="G190" s="67"/>
      <c r="H190" s="67"/>
      <c r="K190">
        <v>1</v>
      </c>
      <c r="L190" s="44">
        <v>2.2499999999999982</v>
      </c>
      <c r="M190" s="44">
        <v>-3.5453488263809056</v>
      </c>
      <c r="N190" s="44">
        <v>-10.713953482055512</v>
      </c>
      <c r="O190" s="44">
        <v>0</v>
      </c>
      <c r="P190" s="2">
        <v>0</v>
      </c>
      <c r="Q190" s="2">
        <v>7.3905392339943266E-7</v>
      </c>
      <c r="R190" s="2">
        <v>1.5491299065617477E-7</v>
      </c>
      <c r="T190" s="60"/>
      <c r="V190" s="2"/>
      <c r="W190" s="2"/>
      <c r="X190" s="2"/>
      <c r="Y190" s="98"/>
    </row>
    <row r="191" spans="3:25" x14ac:dyDescent="0.2">
      <c r="C191" s="68"/>
      <c r="D191" s="95"/>
      <c r="E191" s="65"/>
      <c r="F191" s="66"/>
      <c r="G191" s="66"/>
      <c r="H191" s="66"/>
      <c r="K191">
        <v>1</v>
      </c>
      <c r="L191" s="44">
        <v>2.2624999999999984</v>
      </c>
      <c r="M191" s="44">
        <v>-3.4203488263809021</v>
      </c>
      <c r="N191" s="44">
        <v>-10.757489092385274</v>
      </c>
      <c r="O191" s="44">
        <v>0</v>
      </c>
      <c r="P191" s="2">
        <v>0</v>
      </c>
      <c r="Q191" s="2">
        <v>7.4095662892689861E-7</v>
      </c>
      <c r="R191" s="2">
        <v>1.4951624629350064E-7</v>
      </c>
      <c r="T191" s="60"/>
      <c r="V191" s="2"/>
      <c r="W191" s="2"/>
      <c r="X191" s="2"/>
      <c r="Y191" s="98"/>
    </row>
    <row r="192" spans="3:25" x14ac:dyDescent="0.2">
      <c r="C192" s="69"/>
      <c r="D192" s="96"/>
      <c r="E192" s="29"/>
      <c r="F192" s="67"/>
      <c r="G192" s="67"/>
      <c r="H192" s="67"/>
      <c r="K192">
        <v>1</v>
      </c>
      <c r="L192" s="44">
        <v>2.2749999999999986</v>
      </c>
      <c r="M192" s="44">
        <v>-3.2953488263809021</v>
      </c>
      <c r="N192" s="44">
        <v>-10.799462202715038</v>
      </c>
      <c r="O192" s="44">
        <v>0</v>
      </c>
      <c r="P192" s="2">
        <v>0</v>
      </c>
      <c r="Q192" s="2">
        <v>7.4279174000699047E-7</v>
      </c>
      <c r="R192" s="2">
        <v>1.4409800998366437E-7</v>
      </c>
      <c r="T192" s="60"/>
      <c r="V192" s="2"/>
      <c r="W192" s="2"/>
      <c r="X192" s="2"/>
      <c r="Y192" s="98"/>
    </row>
    <row r="193" spans="3:25" x14ac:dyDescent="0.2">
      <c r="C193" s="70"/>
      <c r="D193" s="97"/>
      <c r="E193" s="65"/>
      <c r="F193" s="66"/>
      <c r="G193" s="66"/>
      <c r="H193" s="66"/>
      <c r="K193">
        <v>1</v>
      </c>
      <c r="L193" s="44">
        <v>2.2874999999999988</v>
      </c>
      <c r="M193" s="44">
        <v>-3.1703488263809021</v>
      </c>
      <c r="N193" s="44">
        <v>-10.839872813044796</v>
      </c>
      <c r="O193" s="44">
        <v>0</v>
      </c>
      <c r="P193" s="2">
        <v>0</v>
      </c>
      <c r="Q193" s="2">
        <v>7.4455899289939498E-7</v>
      </c>
      <c r="R193" s="2">
        <v>1.38659067170938E-7</v>
      </c>
      <c r="T193" s="60"/>
      <c r="V193" s="2"/>
      <c r="W193" s="2"/>
      <c r="X193" s="2"/>
      <c r="Y193" s="98"/>
    </row>
    <row r="194" spans="3:25" x14ac:dyDescent="0.2">
      <c r="C194" s="68"/>
      <c r="D194" s="95"/>
      <c r="E194" s="29"/>
      <c r="F194" s="67"/>
      <c r="G194" s="67"/>
      <c r="H194" s="67"/>
      <c r="K194">
        <v>1</v>
      </c>
      <c r="L194" s="44">
        <v>2.2999999999999989</v>
      </c>
      <c r="M194" s="44">
        <v>-3.0453488263808985</v>
      </c>
      <c r="N194" s="44">
        <v>-10.878720923374562</v>
      </c>
      <c r="O194" s="44">
        <v>0</v>
      </c>
      <c r="P194" s="2">
        <v>0</v>
      </c>
      <c r="Q194" s="2">
        <v>7.4625813368185243E-7</v>
      </c>
      <c r="R194" s="2">
        <v>1.3320020329959351E-7</v>
      </c>
      <c r="T194" s="60"/>
      <c r="V194" s="2"/>
      <c r="W194" s="2"/>
      <c r="X194" s="2"/>
      <c r="Y194" s="98"/>
    </row>
    <row r="195" spans="3:25" x14ac:dyDescent="0.2">
      <c r="C195" s="69"/>
      <c r="D195" s="96"/>
      <c r="E195" s="65"/>
      <c r="F195" s="66"/>
      <c r="G195" s="66"/>
      <c r="H195" s="66"/>
      <c r="K195">
        <v>1</v>
      </c>
      <c r="L195" s="44">
        <v>2.3124999999999991</v>
      </c>
      <c r="M195" s="44">
        <v>-2.920348826380895</v>
      </c>
      <c r="N195" s="44">
        <v>-10.916006533704323</v>
      </c>
      <c r="O195" s="44">
        <v>0</v>
      </c>
      <c r="P195" s="2">
        <v>0</v>
      </c>
      <c r="Q195" s="2">
        <v>7.4788891825015816E-7</v>
      </c>
      <c r="R195" s="2">
        <v>1.2772220381390346E-7</v>
      </c>
      <c r="T195" s="60"/>
      <c r="V195" s="2"/>
      <c r="W195" s="2"/>
      <c r="X195" s="2"/>
      <c r="Y195" s="98"/>
    </row>
    <row r="196" spans="3:25" x14ac:dyDescent="0.2">
      <c r="C196" s="70"/>
      <c r="D196" s="97"/>
      <c r="E196" s="29"/>
      <c r="F196" s="67"/>
      <c r="G196" s="67"/>
      <c r="H196" s="67"/>
      <c r="K196">
        <v>1</v>
      </c>
      <c r="L196" s="44">
        <v>2.3249999999999993</v>
      </c>
      <c r="M196" s="44">
        <v>-2.795348826380895</v>
      </c>
      <c r="N196" s="44">
        <v>-10.951729644034085</v>
      </c>
      <c r="O196" s="44">
        <v>0</v>
      </c>
      <c r="P196" s="2">
        <v>0</v>
      </c>
      <c r="Q196" s="2">
        <v>7.4945111231815848E-7</v>
      </c>
      <c r="R196" s="2">
        <v>1.2222585415814018E-7</v>
      </c>
      <c r="T196" s="60"/>
      <c r="V196" s="2"/>
      <c r="W196" s="2"/>
      <c r="X196" s="2"/>
      <c r="Y196" s="98"/>
    </row>
    <row r="197" spans="3:25" x14ac:dyDescent="0.2">
      <c r="C197" s="68"/>
      <c r="D197" s="95"/>
      <c r="E197" s="65"/>
      <c r="F197" s="66"/>
      <c r="G197" s="66"/>
      <c r="H197" s="66"/>
      <c r="K197">
        <v>1</v>
      </c>
      <c r="L197" s="44">
        <v>2.3374999999999995</v>
      </c>
      <c r="M197" s="44">
        <v>-2.670348826380895</v>
      </c>
      <c r="N197" s="44">
        <v>-10.985890254363849</v>
      </c>
      <c r="O197" s="44">
        <v>0</v>
      </c>
      <c r="P197" s="2">
        <v>0</v>
      </c>
      <c r="Q197" s="2">
        <v>7.5094449141775412E-7</v>
      </c>
      <c r="R197" s="2">
        <v>1.1671193977657648E-7</v>
      </c>
      <c r="T197" s="60"/>
      <c r="V197" s="2"/>
      <c r="W197" s="2"/>
      <c r="X197" s="2"/>
      <c r="Y197" s="98"/>
    </row>
    <row r="198" spans="3:25" x14ac:dyDescent="0.2">
      <c r="C198" s="69"/>
      <c r="D198" s="96"/>
      <c r="E198" s="29"/>
      <c r="F198" s="67"/>
      <c r="G198" s="67"/>
      <c r="H198" s="67"/>
      <c r="K198">
        <v>1</v>
      </c>
      <c r="L198" s="44">
        <v>2.3499999999999996</v>
      </c>
      <c r="M198" s="44">
        <v>-2.5453488263808914</v>
      </c>
      <c r="N198" s="44">
        <v>-11.018488364693606</v>
      </c>
      <c r="O198" s="44">
        <v>0</v>
      </c>
      <c r="P198" s="2">
        <v>0</v>
      </c>
      <c r="Q198" s="2">
        <v>7.5236884089889967E-7</v>
      </c>
      <c r="R198" s="2">
        <v>1.1118124611348439E-7</v>
      </c>
      <c r="T198" s="60"/>
      <c r="V198" s="2"/>
      <c r="W198" s="2"/>
      <c r="X198" s="2"/>
      <c r="Y198" s="98"/>
    </row>
    <row r="199" spans="3:25" x14ac:dyDescent="0.2">
      <c r="C199" s="70"/>
      <c r="D199" s="97"/>
      <c r="E199" s="65"/>
      <c r="F199" s="66"/>
      <c r="G199" s="66"/>
      <c r="H199" s="66"/>
      <c r="K199">
        <v>1</v>
      </c>
      <c r="L199" s="44">
        <v>2.3624999999999998</v>
      </c>
      <c r="M199" s="44">
        <v>-2.4203488263808879</v>
      </c>
      <c r="N199" s="44">
        <v>-11.049523975023366</v>
      </c>
      <c r="O199" s="44">
        <v>0</v>
      </c>
      <c r="P199" s="2">
        <v>0</v>
      </c>
      <c r="Q199" s="2">
        <v>7.5372395592960252E-7</v>
      </c>
      <c r="R199" s="2">
        <v>1.0563455861313679E-7</v>
      </c>
      <c r="T199" s="60"/>
      <c r="V199" s="2"/>
      <c r="W199" s="2"/>
      <c r="X199" s="2"/>
      <c r="Y199" s="98"/>
    </row>
    <row r="200" spans="3:25" x14ac:dyDescent="0.2">
      <c r="C200" s="68"/>
      <c r="D200" s="95"/>
      <c r="E200" s="29"/>
      <c r="F200" s="67"/>
      <c r="G200" s="67"/>
      <c r="H200" s="67"/>
      <c r="K200">
        <v>1</v>
      </c>
      <c r="L200" s="44">
        <v>2.375</v>
      </c>
      <c r="M200" s="44">
        <v>-2.2953488263808879</v>
      </c>
      <c r="N200" s="44">
        <v>-11.078997085353134</v>
      </c>
      <c r="O200" s="44">
        <v>0</v>
      </c>
      <c r="P200" s="2">
        <v>0</v>
      </c>
      <c r="Q200" s="2">
        <v>7.5500964149592424E-7</v>
      </c>
      <c r="R200" s="2">
        <v>1.0007266271980508E-7</v>
      </c>
      <c r="T200" s="60"/>
      <c r="V200" s="2"/>
      <c r="W200" s="2"/>
      <c r="X200" s="2"/>
      <c r="Y200" s="98"/>
    </row>
    <row r="201" spans="3:25" x14ac:dyDescent="0.2">
      <c r="C201" s="69"/>
      <c r="D201" s="96"/>
      <c r="E201" s="65"/>
      <c r="F201" s="66"/>
      <c r="G201" s="66"/>
      <c r="H201" s="66"/>
      <c r="K201">
        <v>1</v>
      </c>
      <c r="L201" s="44">
        <v>2.3875000000000002</v>
      </c>
      <c r="M201" s="44">
        <v>-2.1703488263808879</v>
      </c>
      <c r="N201" s="44">
        <v>-11.106907695682896</v>
      </c>
      <c r="O201" s="44">
        <v>0</v>
      </c>
      <c r="P201" s="2">
        <v>0</v>
      </c>
      <c r="Q201" s="2">
        <v>7.5622571240197828E-7</v>
      </c>
      <c r="R201" s="2">
        <v>9.4496343877762986E-8</v>
      </c>
      <c r="T201" s="60"/>
      <c r="V201" s="2"/>
      <c r="W201" s="2"/>
      <c r="X201" s="2"/>
      <c r="Y201" s="98"/>
    </row>
    <row r="202" spans="3:25" x14ac:dyDescent="0.2">
      <c r="C202" s="70"/>
      <c r="D202" s="97"/>
      <c r="E202" s="29"/>
      <c r="F202" s="67"/>
      <c r="G202" s="67"/>
      <c r="H202" s="67"/>
      <c r="K202">
        <v>1</v>
      </c>
      <c r="L202" s="44">
        <v>2.4000000000000004</v>
      </c>
      <c r="M202" s="44">
        <v>-2.0453488263808843</v>
      </c>
      <c r="N202" s="44">
        <v>-11.133255806012652</v>
      </c>
      <c r="O202" s="44">
        <v>0</v>
      </c>
      <c r="P202" s="2">
        <v>0</v>
      </c>
      <c r="Q202" s="2">
        <v>7.5737199326993319E-7</v>
      </c>
      <c r="R202" s="2">
        <v>8.8906387531282242E-8</v>
      </c>
      <c r="T202" s="60"/>
      <c r="V202" s="2"/>
      <c r="W202" s="2"/>
      <c r="X202" s="2"/>
      <c r="Y202" s="98"/>
    </row>
    <row r="203" spans="3:25" x14ac:dyDescent="0.2">
      <c r="C203" s="68"/>
      <c r="D203" s="95"/>
      <c r="E203" s="65"/>
      <c r="F203" s="66"/>
      <c r="G203" s="66"/>
      <c r="H203" s="66"/>
      <c r="K203">
        <v>1</v>
      </c>
      <c r="L203" s="44">
        <v>2.4125000000000005</v>
      </c>
      <c r="M203" s="44">
        <v>-1.9203488263808808</v>
      </c>
      <c r="N203" s="44">
        <v>-11.15804141634241</v>
      </c>
      <c r="O203" s="44">
        <v>0</v>
      </c>
      <c r="P203" s="2">
        <v>0</v>
      </c>
      <c r="Q203" s="2">
        <v>7.5844831854000993E-7</v>
      </c>
      <c r="R203" s="2">
        <v>8.3303579124635112E-8</v>
      </c>
      <c r="T203" s="60"/>
      <c r="V203" s="2"/>
      <c r="W203" s="2"/>
      <c r="X203" s="2"/>
      <c r="Y203" s="98"/>
    </row>
    <row r="204" spans="3:25" x14ac:dyDescent="0.2">
      <c r="C204" s="69"/>
      <c r="D204" s="96"/>
      <c r="E204" s="29"/>
      <c r="F204" s="67"/>
      <c r="G204" s="67"/>
      <c r="H204" s="67"/>
      <c r="K204">
        <v>1</v>
      </c>
      <c r="L204" s="44">
        <v>2.4250000000000007</v>
      </c>
      <c r="M204" s="44">
        <v>-1.7953488263808808</v>
      </c>
      <c r="N204" s="44">
        <v>-11.181264526672177</v>
      </c>
      <c r="O204" s="44">
        <v>0</v>
      </c>
      <c r="P204" s="2">
        <v>0</v>
      </c>
      <c r="Q204" s="2">
        <v>7.5945453247048298E-7</v>
      </c>
      <c r="R204" s="2">
        <v>7.7688704102094191E-8</v>
      </c>
      <c r="T204" s="60"/>
      <c r="V204" s="2"/>
      <c r="W204" s="2"/>
      <c r="X204" s="2"/>
      <c r="Y204" s="98"/>
    </row>
    <row r="205" spans="3:25" x14ac:dyDescent="0.2">
      <c r="C205" s="70"/>
      <c r="D205" s="97"/>
      <c r="E205" s="65"/>
      <c r="F205" s="66"/>
      <c r="G205" s="66"/>
      <c r="H205" s="66"/>
      <c r="K205">
        <v>1</v>
      </c>
      <c r="L205" s="44">
        <v>2.4375000000000009</v>
      </c>
      <c r="M205" s="44">
        <v>-1.6703488263808808</v>
      </c>
      <c r="N205" s="44">
        <v>-11.202925137001937</v>
      </c>
      <c r="O205" s="44">
        <v>0</v>
      </c>
      <c r="P205" s="2">
        <v>0</v>
      </c>
      <c r="Q205" s="2">
        <v>7.603904891376803E-7</v>
      </c>
      <c r="R205" s="2">
        <v>7.2062547907932313E-8</v>
      </c>
      <c r="T205" s="60"/>
      <c r="V205" s="2"/>
      <c r="W205" s="2"/>
      <c r="X205" s="2"/>
      <c r="Y205" s="98"/>
    </row>
    <row r="206" spans="3:25" x14ac:dyDescent="0.2">
      <c r="C206" s="68"/>
      <c r="D206" s="95"/>
      <c r="E206" s="29"/>
      <c r="F206" s="67"/>
      <c r="G206" s="67"/>
      <c r="H206" s="67"/>
      <c r="K206">
        <v>1</v>
      </c>
      <c r="L206" s="44">
        <v>2.4500000000000011</v>
      </c>
      <c r="M206" s="44">
        <v>-1.5453488263808772</v>
      </c>
      <c r="N206" s="44">
        <v>-11.2230232473317</v>
      </c>
      <c r="O206" s="44">
        <v>0</v>
      </c>
      <c r="P206" s="2">
        <v>0</v>
      </c>
      <c r="Q206" s="2">
        <v>7.6125605243598348E-7</v>
      </c>
      <c r="R206" s="2">
        <v>6.6425895986421515E-8</v>
      </c>
      <c r="T206" s="60"/>
      <c r="V206" s="2"/>
      <c r="W206" s="2"/>
      <c r="X206" s="2"/>
      <c r="Y206" s="98"/>
    </row>
    <row r="207" spans="3:25" x14ac:dyDescent="0.2">
      <c r="C207" s="69"/>
      <c r="D207" s="96"/>
      <c r="E207" s="65"/>
      <c r="F207" s="66"/>
      <c r="G207" s="66"/>
      <c r="H207" s="66"/>
      <c r="K207">
        <v>1</v>
      </c>
      <c r="L207" s="44">
        <v>2.4625000000000012</v>
      </c>
      <c r="M207" s="44">
        <v>-1.4203488263808737</v>
      </c>
      <c r="N207" s="44">
        <v>-11.241558857661463</v>
      </c>
      <c r="O207" s="44">
        <v>0</v>
      </c>
      <c r="P207" s="2">
        <v>0</v>
      </c>
      <c r="Q207" s="2">
        <v>7.6205109607782785E-7</v>
      </c>
      <c r="R207" s="2">
        <v>6.0779533781833783E-8</v>
      </c>
      <c r="T207" s="60"/>
      <c r="V207" s="2"/>
      <c r="W207" s="2"/>
      <c r="X207" s="2"/>
      <c r="Y207" s="98"/>
    </row>
    <row r="208" spans="3:25" x14ac:dyDescent="0.2">
      <c r="C208" s="70"/>
      <c r="D208" s="97"/>
      <c r="E208" s="29"/>
      <c r="F208" s="67"/>
      <c r="G208" s="67"/>
      <c r="H208" s="67"/>
      <c r="K208">
        <v>1</v>
      </c>
      <c r="L208" s="44">
        <v>2.4750000000000014</v>
      </c>
      <c r="M208" s="44">
        <v>-1.2953488263808737</v>
      </c>
      <c r="N208" s="44">
        <v>-11.258531967991221</v>
      </c>
      <c r="O208" s="44">
        <v>0</v>
      </c>
      <c r="P208" s="2">
        <v>0</v>
      </c>
      <c r="Q208" s="2">
        <v>7.6277550359370148E-7</v>
      </c>
      <c r="R208" s="2">
        <v>5.512424673844197E-8</v>
      </c>
      <c r="T208" s="60"/>
      <c r="V208" s="2"/>
      <c r="W208" s="2"/>
      <c r="X208" s="2"/>
      <c r="Y208" s="98"/>
    </row>
    <row r="209" spans="3:25" x14ac:dyDescent="0.2">
      <c r="C209" s="68"/>
      <c r="D209" s="95"/>
      <c r="E209" s="65"/>
      <c r="F209" s="66"/>
      <c r="G209" s="66"/>
      <c r="H209" s="66"/>
      <c r="K209">
        <v>1</v>
      </c>
      <c r="L209" s="44">
        <v>2.4875000000000016</v>
      </c>
      <c r="M209" s="44">
        <v>-1.1703488263808737</v>
      </c>
      <c r="N209" s="44">
        <v>-11.27394257832098</v>
      </c>
      <c r="O209" s="44">
        <v>0</v>
      </c>
      <c r="P209" s="2">
        <v>0</v>
      </c>
      <c r="Q209" s="2">
        <v>7.6342916833214502E-7</v>
      </c>
      <c r="R209" s="2">
        <v>4.9460820300518949E-8</v>
      </c>
      <c r="T209" s="60"/>
      <c r="V209" s="2"/>
      <c r="W209" s="2"/>
      <c r="X209" s="2"/>
      <c r="Y209" s="98"/>
    </row>
    <row r="210" spans="3:25" x14ac:dyDescent="0.2">
      <c r="C210" s="69"/>
      <c r="D210" s="96"/>
      <c r="E210" s="29"/>
      <c r="F210" s="67"/>
      <c r="G210" s="67"/>
      <c r="H210" s="67"/>
      <c r="K210">
        <v>1</v>
      </c>
      <c r="L210" s="44">
        <v>2.5000000000000018</v>
      </c>
      <c r="M210" s="44">
        <v>-1.0453488263808701</v>
      </c>
      <c r="N210" s="44">
        <v>-11.287790688650748</v>
      </c>
      <c r="O210" s="44">
        <v>0</v>
      </c>
      <c r="P210" s="2">
        <v>0</v>
      </c>
      <c r="Q210" s="2">
        <v>7.6401199345975466E-7</v>
      </c>
      <c r="R210" s="2">
        <v>4.379003991233615E-8</v>
      </c>
      <c r="T210" s="60"/>
      <c r="V210" s="2"/>
      <c r="W210" s="2"/>
      <c r="X210" s="2"/>
      <c r="Y210" s="98"/>
    </row>
    <row r="211" spans="3:25" x14ac:dyDescent="0.2">
      <c r="C211" s="70"/>
      <c r="D211" s="97"/>
      <c r="E211" s="65"/>
      <c r="F211" s="66"/>
      <c r="G211" s="66"/>
      <c r="H211" s="66"/>
      <c r="K211">
        <v>1</v>
      </c>
      <c r="L211" s="44">
        <v>2.512500000000002</v>
      </c>
      <c r="M211" s="44">
        <v>-0.92034882638086657</v>
      </c>
      <c r="N211" s="44">
        <v>-11.300076298980503</v>
      </c>
      <c r="O211" s="44">
        <v>0</v>
      </c>
      <c r="P211" s="2">
        <v>0</v>
      </c>
      <c r="Q211" s="2">
        <v>7.6452389196117879E-7</v>
      </c>
      <c r="R211" s="2">
        <v>3.8112691018166993E-8</v>
      </c>
      <c r="T211" s="60"/>
      <c r="V211" s="2"/>
      <c r="W211" s="2"/>
      <c r="X211" s="2"/>
      <c r="Y211" s="98"/>
    </row>
    <row r="212" spans="3:25" x14ac:dyDescent="0.2">
      <c r="C212" s="68"/>
      <c r="D212" s="95"/>
      <c r="E212" s="29"/>
      <c r="F212" s="67"/>
      <c r="G212" s="67"/>
      <c r="H212" s="67"/>
      <c r="K212">
        <v>1</v>
      </c>
      <c r="L212" s="44">
        <v>2.5250000000000021</v>
      </c>
      <c r="M212" s="44">
        <v>-0.79534882638086657</v>
      </c>
      <c r="N212" s="44">
        <v>-11.310799409310267</v>
      </c>
      <c r="O212" s="44">
        <v>0</v>
      </c>
      <c r="P212" s="2">
        <v>0</v>
      </c>
      <c r="Q212" s="2">
        <v>7.6496478663911848E-7</v>
      </c>
      <c r="R212" s="2">
        <v>3.2429559062282923E-8</v>
      </c>
      <c r="T212" s="60"/>
      <c r="V212" s="2"/>
      <c r="W212" s="2"/>
      <c r="X212" s="2"/>
      <c r="Y212" s="98"/>
    </row>
    <row r="213" spans="3:25" x14ac:dyDescent="0.2">
      <c r="C213" s="69"/>
      <c r="D213" s="96"/>
      <c r="E213" s="65"/>
      <c r="F213" s="66"/>
      <c r="G213" s="66"/>
      <c r="H213" s="66"/>
      <c r="K213">
        <v>1</v>
      </c>
      <c r="L213" s="44">
        <v>2.5375000000000023</v>
      </c>
      <c r="M213" s="44">
        <v>-0.67034882638086657</v>
      </c>
      <c r="N213" s="44">
        <v>-11.319960019640025</v>
      </c>
      <c r="O213" s="44">
        <v>0</v>
      </c>
      <c r="P213" s="2">
        <v>0</v>
      </c>
      <c r="Q213" s="2">
        <v>7.6533461011432984E-7</v>
      </c>
      <c r="R213" s="2">
        <v>2.6741429488957077E-8</v>
      </c>
      <c r="T213" s="60"/>
      <c r="V213" s="2"/>
      <c r="W213" s="2"/>
      <c r="X213" s="2"/>
      <c r="Y213" s="98"/>
    </row>
    <row r="214" spans="3:25" x14ac:dyDescent="0.2">
      <c r="C214" s="70"/>
      <c r="D214" s="97"/>
      <c r="E214" s="29"/>
      <c r="F214" s="67"/>
      <c r="G214" s="67"/>
      <c r="H214" s="67"/>
      <c r="K214">
        <v>1</v>
      </c>
      <c r="L214" s="44">
        <v>2.5500000000000025</v>
      </c>
      <c r="M214" s="44">
        <v>-0.54534882638086302</v>
      </c>
      <c r="N214" s="44">
        <v>-11.327558129969784</v>
      </c>
      <c r="O214" s="44">
        <v>0</v>
      </c>
      <c r="P214" s="2">
        <v>0</v>
      </c>
      <c r="Q214" s="2">
        <v>7.6563330482562136E-7</v>
      </c>
      <c r="R214" s="2">
        <v>2.1049087742461466E-8</v>
      </c>
      <c r="T214" s="60"/>
      <c r="V214" s="2"/>
      <c r="W214" s="2"/>
      <c r="X214" s="2"/>
      <c r="Y214" s="98"/>
    </row>
    <row r="215" spans="3:25" x14ac:dyDescent="0.2">
      <c r="C215" s="68"/>
      <c r="D215" s="95"/>
      <c r="E215" s="65"/>
      <c r="F215" s="66"/>
      <c r="G215" s="66"/>
      <c r="H215" s="66"/>
      <c r="K215">
        <v>1</v>
      </c>
      <c r="L215" s="44">
        <v>2.5625000000000027</v>
      </c>
      <c r="M215" s="44">
        <v>-0.42034882638085946</v>
      </c>
      <c r="N215" s="44">
        <v>-11.333593740299552</v>
      </c>
      <c r="O215" s="44">
        <v>0</v>
      </c>
      <c r="P215" s="2">
        <v>0</v>
      </c>
      <c r="Q215" s="2">
        <v>7.6586082302985381E-7</v>
      </c>
      <c r="R215" s="2">
        <v>1.5353319267069238E-8</v>
      </c>
      <c r="T215" s="60"/>
      <c r="V215" s="2"/>
      <c r="W215" s="2"/>
      <c r="X215" s="2"/>
      <c r="Y215" s="98"/>
    </row>
    <row r="216" spans="3:25" x14ac:dyDescent="0.2">
      <c r="C216" s="69"/>
      <c r="D216" s="96"/>
      <c r="E216" s="29"/>
      <c r="F216" s="67"/>
      <c r="G216" s="67"/>
      <c r="H216" s="67"/>
      <c r="K216">
        <v>1</v>
      </c>
      <c r="L216" s="44">
        <v>2.5750000000000028</v>
      </c>
      <c r="M216" s="44">
        <v>-0.29534882638085946</v>
      </c>
      <c r="N216" s="44">
        <v>-11.338066850629307</v>
      </c>
      <c r="O216" s="44">
        <v>0</v>
      </c>
      <c r="P216" s="2">
        <v>0</v>
      </c>
      <c r="Q216" s="2">
        <v>7.6601712680194457E-7</v>
      </c>
      <c r="R216" s="2">
        <v>9.6549095070518193E-9</v>
      </c>
      <c r="T216" s="60"/>
      <c r="V216" s="2"/>
      <c r="W216" s="2"/>
      <c r="X216" s="2"/>
      <c r="Y216" s="98"/>
    </row>
    <row r="217" spans="3:25" x14ac:dyDescent="0.2">
      <c r="C217" s="70"/>
      <c r="D217" s="97"/>
      <c r="E217" s="65"/>
      <c r="F217" s="66"/>
      <c r="G217" s="66"/>
      <c r="H217" s="66"/>
      <c r="K217">
        <v>1</v>
      </c>
      <c r="L217" s="44">
        <v>2.587500000000003</v>
      </c>
      <c r="M217" s="44">
        <v>-0.17034882638085946</v>
      </c>
      <c r="N217" s="44">
        <v>-11.340977460959071</v>
      </c>
      <c r="O217" s="44">
        <v>0</v>
      </c>
      <c r="P217" s="2">
        <v>0</v>
      </c>
      <c r="Q217" s="2">
        <v>7.6610218803486214E-7</v>
      </c>
      <c r="R217" s="2">
        <v>3.9546439066817858E-9</v>
      </c>
      <c r="T217" s="60"/>
      <c r="V217" s="2"/>
      <c r="W217" s="2"/>
      <c r="X217" s="2"/>
      <c r="Y217" s="98"/>
    </row>
    <row r="218" spans="3:25" x14ac:dyDescent="0.2">
      <c r="C218" s="68"/>
      <c r="D218" s="95"/>
      <c r="E218" s="29"/>
      <c r="F218" s="67"/>
      <c r="G218" s="67"/>
      <c r="H218" s="67"/>
      <c r="K218">
        <v>1</v>
      </c>
      <c r="L218" s="44">
        <v>2.6000000000000032</v>
      </c>
      <c r="M218" s="44">
        <v>-4.5348826380855911E-2</v>
      </c>
      <c r="N218" s="44">
        <v>-11.342325571288828</v>
      </c>
      <c r="O218" s="44">
        <v>0</v>
      </c>
      <c r="P218" s="2">
        <v>0</v>
      </c>
      <c r="Q218" s="2">
        <v>7.6611598843962835E-7</v>
      </c>
      <c r="R218" s="2">
        <v>-1.7466920897682886E-9</v>
      </c>
      <c r="T218" s="60"/>
      <c r="V218" s="2"/>
      <c r="W218" s="2"/>
      <c r="X218" s="2"/>
      <c r="Y218" s="98"/>
    </row>
    <row r="219" spans="3:25" x14ac:dyDescent="0.2">
      <c r="C219" s="69"/>
      <c r="D219" s="96"/>
      <c r="E219" s="65"/>
      <c r="F219" s="66"/>
      <c r="G219" s="66"/>
      <c r="H219" s="66"/>
      <c r="K219">
        <v>1</v>
      </c>
      <c r="L219" s="44">
        <v>2.6125000000000034</v>
      </c>
      <c r="M219" s="44">
        <v>7.9651173619147642E-2</v>
      </c>
      <c r="N219" s="44">
        <v>-11.342111181618588</v>
      </c>
      <c r="O219" s="44">
        <v>0</v>
      </c>
      <c r="P219" s="2">
        <v>0</v>
      </c>
      <c r="Q219" s="2">
        <v>7.660585195453188E-7</v>
      </c>
      <c r="R219" s="2">
        <v>-7.4483130380252566E-9</v>
      </c>
      <c r="T219" s="60"/>
      <c r="V219" s="2"/>
      <c r="W219" s="2"/>
      <c r="X219" s="2"/>
      <c r="Y219" s="98"/>
    </row>
    <row r="220" spans="3:25" x14ac:dyDescent="0.2">
      <c r="C220" s="70"/>
      <c r="D220" s="97"/>
      <c r="E220" s="29"/>
      <c r="F220" s="67"/>
      <c r="G220" s="67"/>
      <c r="H220" s="67"/>
      <c r="K220">
        <v>1</v>
      </c>
      <c r="L220" s="44">
        <v>2.6250000000000036</v>
      </c>
      <c r="M220" s="44">
        <v>0.20465117361914764</v>
      </c>
      <c r="N220" s="44">
        <v>-11.340334291948356</v>
      </c>
      <c r="O220" s="44">
        <v>0</v>
      </c>
      <c r="P220" s="2">
        <v>0</v>
      </c>
      <c r="Q220" s="2">
        <v>7.6592978269906294E-7</v>
      </c>
      <c r="R220" s="2">
        <v>-1.3149433493817687E-8</v>
      </c>
      <c r="T220" s="60"/>
      <c r="V220" s="2"/>
      <c r="W220" s="2"/>
      <c r="X220" s="2"/>
      <c r="Y220" s="98"/>
    </row>
    <row r="221" spans="3:25" x14ac:dyDescent="0.2">
      <c r="C221" s="68"/>
      <c r="D221" s="95"/>
      <c r="E221" s="65"/>
      <c r="F221" s="66"/>
      <c r="G221" s="66"/>
      <c r="H221" s="66"/>
      <c r="K221">
        <v>1</v>
      </c>
      <c r="L221" s="44">
        <v>2.6375000000000037</v>
      </c>
      <c r="M221" s="44">
        <v>0.32965117361914764</v>
      </c>
      <c r="N221" s="44">
        <v>-11.336994902278111</v>
      </c>
      <c r="O221" s="44">
        <v>0</v>
      </c>
      <c r="P221" s="2">
        <v>0</v>
      </c>
      <c r="Q221" s="2">
        <v>7.6572978906604336E-7</v>
      </c>
      <c r="R221" s="2">
        <v>-1.8849268012873007E-8</v>
      </c>
      <c r="T221" s="60"/>
      <c r="V221" s="2"/>
      <c r="W221" s="2"/>
      <c r="X221" s="2"/>
      <c r="Y221" s="98"/>
    </row>
    <row r="222" spans="3:25" x14ac:dyDescent="0.2">
      <c r="C222" s="69"/>
      <c r="D222" s="96"/>
      <c r="E222" s="29"/>
      <c r="F222" s="67"/>
      <c r="G222" s="67"/>
      <c r="H222" s="67"/>
      <c r="K222">
        <v>1</v>
      </c>
      <c r="L222" s="44">
        <v>2.6500000000000039</v>
      </c>
      <c r="M222" s="44">
        <v>0.45465117361915119</v>
      </c>
      <c r="N222" s="44">
        <v>-11.332093012607874</v>
      </c>
      <c r="O222" s="44">
        <v>0</v>
      </c>
      <c r="P222" s="2">
        <v>0</v>
      </c>
      <c r="Q222" s="2">
        <v>7.6545855962949534E-7</v>
      </c>
      <c r="R222" s="2">
        <v>-2.4547031150918068E-8</v>
      </c>
      <c r="T222" s="60"/>
      <c r="V222" s="2"/>
      <c r="W222" s="2"/>
      <c r="X222" s="2"/>
      <c r="Y222" s="98"/>
    </row>
    <row r="223" spans="3:25" x14ac:dyDescent="0.2">
      <c r="C223" s="70"/>
      <c r="D223" s="97"/>
      <c r="E223" s="65"/>
      <c r="F223" s="66"/>
      <c r="G223" s="66"/>
      <c r="H223" s="66"/>
      <c r="K223">
        <v>1</v>
      </c>
      <c r="L223" s="44">
        <v>2.6625000000000041</v>
      </c>
      <c r="M223" s="44">
        <v>0.57965117361915475</v>
      </c>
      <c r="N223" s="44">
        <v>-11.325628622937632</v>
      </c>
      <c r="O223" s="44">
        <v>0</v>
      </c>
      <c r="P223" s="2">
        <v>0</v>
      </c>
      <c r="Q223" s="2">
        <v>7.6511612519070898E-7</v>
      </c>
      <c r="R223" s="2">
        <v>-3.0241937463681721E-8</v>
      </c>
      <c r="T223" s="60"/>
      <c r="V223" s="2"/>
      <c r="W223" s="2"/>
      <c r="X223" s="2"/>
      <c r="Y223" s="98"/>
    </row>
    <row r="224" spans="3:25" x14ac:dyDescent="0.2">
      <c r="C224" s="68"/>
      <c r="D224" s="95"/>
      <c r="E224" s="29"/>
      <c r="F224" s="67"/>
      <c r="G224" s="67"/>
      <c r="H224" s="67"/>
      <c r="K224">
        <v>1</v>
      </c>
      <c r="L224" s="44">
        <v>2.6750000000000043</v>
      </c>
      <c r="M224" s="44">
        <v>0.70465117361915475</v>
      </c>
      <c r="N224" s="44">
        <v>-11.317601733267391</v>
      </c>
      <c r="O224" s="44">
        <v>0</v>
      </c>
      <c r="P224" s="2">
        <v>0</v>
      </c>
      <c r="Q224" s="2">
        <v>7.6470252636902654E-7</v>
      </c>
      <c r="R224" s="2">
        <v>-3.5933201506890538E-8</v>
      </c>
      <c r="T224" s="60"/>
      <c r="V224" s="2"/>
      <c r="W224" s="2"/>
      <c r="X224" s="2"/>
      <c r="Y224" s="98"/>
    </row>
    <row r="225" spans="3:25" x14ac:dyDescent="0.2">
      <c r="C225" s="69"/>
      <c r="D225" s="96"/>
      <c r="E225" s="65"/>
      <c r="F225" s="66"/>
      <c r="G225" s="66"/>
      <c r="H225" s="66"/>
      <c r="K225">
        <v>1</v>
      </c>
      <c r="L225" s="44">
        <v>2.6875000000000044</v>
      </c>
      <c r="M225" s="44">
        <v>0.82965117361915475</v>
      </c>
      <c r="N225" s="44">
        <v>-11.308012343597152</v>
      </c>
      <c r="O225" s="44">
        <v>0</v>
      </c>
      <c r="P225" s="2">
        <v>0</v>
      </c>
      <c r="Q225" s="2">
        <v>7.6421781360184449E-7</v>
      </c>
      <c r="R225" s="2">
        <v>-4.1620037836272227E-8</v>
      </c>
      <c r="T225" s="60"/>
      <c r="V225" s="2"/>
      <c r="W225" s="2"/>
      <c r="X225" s="2"/>
      <c r="Y225" s="98"/>
    </row>
    <row r="226" spans="3:25" x14ac:dyDescent="0.2">
      <c r="C226" s="70"/>
      <c r="D226" s="97"/>
      <c r="E226" s="29"/>
      <c r="F226" s="67"/>
      <c r="G226" s="67"/>
      <c r="H226" s="67"/>
      <c r="K226">
        <v>1</v>
      </c>
      <c r="L226" s="44">
        <v>2.7000000000000046</v>
      </c>
      <c r="M226" s="44">
        <v>0.9546511736191583</v>
      </c>
      <c r="N226" s="44">
        <v>-11.296860453926914</v>
      </c>
      <c r="O226" s="44">
        <v>0</v>
      </c>
      <c r="P226" s="2">
        <v>0</v>
      </c>
      <c r="Q226" s="2">
        <v>7.6366204714461209E-7</v>
      </c>
      <c r="R226" s="2">
        <v>-4.7301661007554796E-8</v>
      </c>
      <c r="T226" s="60"/>
      <c r="V226" s="2"/>
      <c r="W226" s="2"/>
      <c r="X226" s="2"/>
      <c r="Y226" s="98"/>
    </row>
    <row r="227" spans="3:25" x14ac:dyDescent="0.2">
      <c r="C227" s="68"/>
      <c r="D227" s="95"/>
      <c r="E227" s="65"/>
      <c r="F227" s="66"/>
      <c r="G227" s="66"/>
      <c r="H227" s="66"/>
      <c r="K227">
        <v>1</v>
      </c>
      <c r="L227" s="44">
        <v>2.7125000000000048</v>
      </c>
      <c r="M227" s="44">
        <v>1.0796511736191619</v>
      </c>
      <c r="N227" s="44">
        <v>-11.284146064256671</v>
      </c>
      <c r="O227" s="44">
        <v>0</v>
      </c>
      <c r="P227" s="2">
        <v>0</v>
      </c>
      <c r="Q227" s="2">
        <v>7.6303529707083193E-7</v>
      </c>
      <c r="R227" s="2">
        <v>-5.2977285576465365E-8</v>
      </c>
      <c r="T227" s="60"/>
      <c r="V227" s="2"/>
      <c r="W227" s="2"/>
      <c r="X227" s="2"/>
      <c r="Y227" s="98"/>
    </row>
    <row r="228" spans="3:25" x14ac:dyDescent="0.2">
      <c r="C228" s="69"/>
      <c r="D228" s="96"/>
      <c r="E228" s="29"/>
      <c r="F228" s="67"/>
      <c r="G228" s="67"/>
      <c r="H228" s="67"/>
      <c r="K228">
        <v>1</v>
      </c>
      <c r="L228" s="44">
        <v>2.725000000000005</v>
      </c>
      <c r="M228" s="44">
        <v>1.2046511736191619</v>
      </c>
      <c r="N228" s="44">
        <v>-11.269869174586436</v>
      </c>
      <c r="O228" s="44">
        <v>0</v>
      </c>
      <c r="P228" s="2">
        <v>0</v>
      </c>
      <c r="Q228" s="2">
        <v>7.6233764327206101E-7</v>
      </c>
      <c r="R228" s="2">
        <v>-5.864612609873138E-8</v>
      </c>
      <c r="T228" s="60"/>
      <c r="V228" s="2"/>
      <c r="W228" s="2"/>
      <c r="X228" s="2"/>
      <c r="Y228" s="98"/>
    </row>
    <row r="229" spans="3:25" x14ac:dyDescent="0.2">
      <c r="C229" s="70"/>
      <c r="D229" s="97"/>
      <c r="E229" s="65"/>
      <c r="F229" s="66"/>
      <c r="G229" s="66"/>
      <c r="H229" s="66"/>
      <c r="K229">
        <v>1</v>
      </c>
      <c r="L229" s="44">
        <v>2.7375000000000052</v>
      </c>
      <c r="M229" s="44">
        <v>1.3296511736191619</v>
      </c>
      <c r="N229" s="44">
        <v>-11.254029784916188</v>
      </c>
      <c r="O229" s="44">
        <v>0</v>
      </c>
      <c r="P229" s="2">
        <v>0</v>
      </c>
      <c r="Q229" s="2">
        <v>7.6156917545790986E-7</v>
      </c>
      <c r="R229" s="2">
        <v>-6.4307397130081687E-8</v>
      </c>
      <c r="T229" s="60"/>
      <c r="V229" s="2"/>
      <c r="W229" s="2"/>
      <c r="X229" s="2"/>
      <c r="Y229" s="98"/>
    </row>
    <row r="230" spans="3:25" x14ac:dyDescent="0.2">
      <c r="C230" s="68"/>
      <c r="D230" s="95"/>
      <c r="E230" s="29"/>
      <c r="F230" s="67"/>
      <c r="G230" s="67"/>
      <c r="H230" s="67"/>
      <c r="K230">
        <v>1</v>
      </c>
      <c r="L230" s="44">
        <v>2.7500000000000053</v>
      </c>
      <c r="M230" s="44">
        <v>1.4546511736191654</v>
      </c>
      <c r="N230" s="44">
        <v>-11.236627895245956</v>
      </c>
      <c r="O230" s="44">
        <v>0</v>
      </c>
      <c r="P230" s="2">
        <v>0</v>
      </c>
      <c r="Q230" s="2">
        <v>7.6072999315603896E-7</v>
      </c>
      <c r="R230" s="2">
        <v>-6.9960313226242272E-8</v>
      </c>
      <c r="T230" s="60"/>
      <c r="V230" s="2"/>
      <c r="W230" s="2"/>
      <c r="X230" s="2"/>
      <c r="Y230" s="98"/>
    </row>
    <row r="231" spans="3:25" x14ac:dyDescent="0.2">
      <c r="C231" s="69"/>
      <c r="D231" s="96"/>
      <c r="E231" s="65"/>
      <c r="F231" s="66"/>
      <c r="G231" s="66"/>
      <c r="H231" s="66"/>
      <c r="K231">
        <v>1</v>
      </c>
      <c r="L231" s="44">
        <v>2.7625000000000055</v>
      </c>
      <c r="M231" s="44">
        <v>1.579651173619169</v>
      </c>
      <c r="N231" s="44">
        <v>-11.217663505575718</v>
      </c>
      <c r="O231" s="44">
        <v>0</v>
      </c>
      <c r="P231" s="2">
        <v>0</v>
      </c>
      <c r="Q231" s="2">
        <v>7.5982020571216755E-7</v>
      </c>
      <c r="R231" s="2">
        <v>-7.5604088942941715E-8</v>
      </c>
      <c r="T231" s="60"/>
      <c r="V231" s="2"/>
      <c r="W231" s="2"/>
      <c r="X231" s="2"/>
      <c r="Y231" s="98"/>
    </row>
    <row r="232" spans="3:25" x14ac:dyDescent="0.2">
      <c r="C232" s="70"/>
      <c r="D232" s="97"/>
      <c r="E232" s="29"/>
      <c r="F232" s="67"/>
      <c r="G232" s="67"/>
      <c r="H232" s="67"/>
      <c r="K232">
        <v>1</v>
      </c>
      <c r="L232" s="44">
        <v>2.7750000000000057</v>
      </c>
      <c r="M232" s="44">
        <v>1.704651173619169</v>
      </c>
      <c r="N232" s="44">
        <v>-11.197136615905475</v>
      </c>
      <c r="O232" s="44">
        <v>0</v>
      </c>
      <c r="P232" s="2">
        <v>0</v>
      </c>
      <c r="Q232" s="2">
        <v>7.5883993229006448E-7</v>
      </c>
      <c r="R232" s="2">
        <v>-8.1237938835906563E-8</v>
      </c>
      <c r="T232" s="60"/>
      <c r="V232" s="2"/>
      <c r="W232" s="2"/>
      <c r="X232" s="2"/>
      <c r="Y232" s="98"/>
    </row>
    <row r="233" spans="3:25" x14ac:dyDescent="0.2">
      <c r="C233" s="68"/>
      <c r="D233" s="95"/>
      <c r="E233" s="65"/>
      <c r="F233" s="66"/>
      <c r="G233" s="66"/>
      <c r="H233" s="66"/>
      <c r="K233">
        <v>1</v>
      </c>
      <c r="L233" s="44">
        <v>2.7875000000000059</v>
      </c>
      <c r="M233" s="44">
        <v>1.829651173619169</v>
      </c>
      <c r="N233" s="44">
        <v>-11.17504722623524</v>
      </c>
      <c r="O233" s="44">
        <v>0</v>
      </c>
      <c r="P233" s="2">
        <v>0</v>
      </c>
      <c r="Q233" s="2">
        <v>7.5778930187155287E-7</v>
      </c>
      <c r="R233" s="2">
        <v>-8.6861077460865717E-8</v>
      </c>
      <c r="T233" s="60"/>
      <c r="V233" s="2"/>
      <c r="W233" s="2"/>
      <c r="X233" s="2"/>
      <c r="Y233" s="98"/>
    </row>
    <row r="234" spans="3:25" x14ac:dyDescent="0.2">
      <c r="C234" s="69"/>
      <c r="D234" s="96"/>
      <c r="E234" s="29"/>
      <c r="F234" s="67"/>
      <c r="G234" s="67"/>
      <c r="H234" s="67"/>
      <c r="K234">
        <v>1</v>
      </c>
      <c r="L234" s="44">
        <v>2.800000000000006</v>
      </c>
      <c r="M234" s="44">
        <v>1.9546511736191725</v>
      </c>
      <c r="N234" s="44">
        <v>-11.151395336564999</v>
      </c>
      <c r="O234" s="44">
        <v>0</v>
      </c>
      <c r="P234" s="2">
        <v>0</v>
      </c>
      <c r="Q234" s="2">
        <v>7.566684532565107E-7</v>
      </c>
      <c r="R234" s="2">
        <v>-9.2472719373546569E-8</v>
      </c>
      <c r="T234" s="60"/>
      <c r="V234" s="2"/>
      <c r="W234" s="2"/>
      <c r="X234" s="2"/>
      <c r="Y234" s="98"/>
    </row>
    <row r="235" spans="3:25" x14ac:dyDescent="0.2">
      <c r="C235" s="70"/>
      <c r="D235" s="97"/>
      <c r="E235" s="65"/>
      <c r="F235" s="66"/>
      <c r="G235" s="66"/>
      <c r="H235" s="66"/>
      <c r="K235">
        <v>1</v>
      </c>
      <c r="L235" s="44">
        <v>2.8125000000000062</v>
      </c>
      <c r="M235" s="44">
        <v>2.0796511736191761</v>
      </c>
      <c r="N235" s="44">
        <v>-11.12618094689476</v>
      </c>
      <c r="O235" s="44">
        <v>0</v>
      </c>
      <c r="P235" s="2">
        <v>0</v>
      </c>
      <c r="Q235" s="2">
        <v>7.5547753506286683E-7</v>
      </c>
      <c r="R235" s="2">
        <v>-9.8072079129675955E-8</v>
      </c>
      <c r="T235" s="60"/>
      <c r="V235" s="2"/>
      <c r="W235" s="2"/>
      <c r="X235" s="2"/>
      <c r="Y235" s="98"/>
    </row>
    <row r="236" spans="3:25" x14ac:dyDescent="0.2">
      <c r="C236" s="68"/>
      <c r="D236" s="95"/>
      <c r="E236" s="29"/>
      <c r="F236" s="67"/>
      <c r="G236" s="67"/>
      <c r="H236" s="67"/>
      <c r="K236">
        <v>1</v>
      </c>
      <c r="L236" s="44">
        <v>2.8250000000000064</v>
      </c>
      <c r="M236" s="44">
        <v>2.2046511736191761</v>
      </c>
      <c r="N236" s="44">
        <v>-11.099404057224515</v>
      </c>
      <c r="O236" s="44">
        <v>0</v>
      </c>
      <c r="P236" s="2">
        <v>0</v>
      </c>
      <c r="Q236" s="2">
        <v>7.5421670572660567E-7</v>
      </c>
      <c r="R236" s="2">
        <v>-1.0365837128498248E-7</v>
      </c>
      <c r="T236" s="60"/>
      <c r="V236" s="2"/>
      <c r="W236" s="2"/>
      <c r="X236" s="2"/>
      <c r="Y236" s="98"/>
    </row>
    <row r="237" spans="3:25" x14ac:dyDescent="0.2">
      <c r="C237" s="69"/>
      <c r="D237" s="96"/>
      <c r="E237" s="65"/>
      <c r="F237" s="66"/>
      <c r="G237" s="66"/>
      <c r="H237" s="66"/>
      <c r="K237">
        <v>1</v>
      </c>
      <c r="L237" s="44">
        <v>2.8375000000000066</v>
      </c>
      <c r="M237" s="44">
        <v>2.3296511736191761</v>
      </c>
      <c r="N237" s="44">
        <v>-11.071064667554278</v>
      </c>
      <c r="O237" s="44">
        <v>0</v>
      </c>
      <c r="P237" s="2">
        <v>0</v>
      </c>
      <c r="Q237" s="2">
        <v>7.5288613350176327E-7</v>
      </c>
      <c r="R237" s="2">
        <v>-1.0923081039519184E-7</v>
      </c>
      <c r="T237" s="60"/>
      <c r="V237" s="2"/>
      <c r="W237" s="2"/>
      <c r="X237" s="2"/>
      <c r="Y237" s="98"/>
    </row>
    <row r="238" spans="3:25" x14ac:dyDescent="0.2">
      <c r="C238" s="70"/>
      <c r="D238" s="97"/>
      <c r="E238" s="29"/>
      <c r="F238" s="67"/>
      <c r="G238" s="67"/>
      <c r="H238" s="67"/>
      <c r="K238">
        <v>1</v>
      </c>
      <c r="L238" s="44">
        <v>2.8500000000000068</v>
      </c>
      <c r="M238" s="44">
        <v>2.4546511736191796</v>
      </c>
      <c r="N238" s="44">
        <v>-11.041162777884036</v>
      </c>
      <c r="O238" s="44">
        <v>0</v>
      </c>
      <c r="P238" s="2">
        <v>0</v>
      </c>
      <c r="Q238" s="2">
        <v>7.5148599646043106E-7</v>
      </c>
      <c r="R238" s="2">
        <v>-1.1478861101603317E-7</v>
      </c>
      <c r="T238" s="60"/>
      <c r="V238" s="2"/>
      <c r="W238" s="2"/>
      <c r="X238" s="2"/>
      <c r="Y238" s="98"/>
    </row>
    <row r="239" spans="3:25" x14ac:dyDescent="0.2">
      <c r="C239" s="68"/>
      <c r="D239" s="95"/>
      <c r="E239" s="65"/>
      <c r="F239" s="66"/>
      <c r="G239" s="66"/>
      <c r="H239" s="66"/>
      <c r="K239">
        <v>1</v>
      </c>
      <c r="L239" s="44">
        <v>2.8625000000000069</v>
      </c>
      <c r="M239" s="44">
        <v>2.5796511736191832</v>
      </c>
      <c r="N239" s="44">
        <v>-11.009698388213788</v>
      </c>
      <c r="O239" s="44">
        <v>0</v>
      </c>
      <c r="P239" s="2">
        <v>0</v>
      </c>
      <c r="Q239" s="2">
        <v>7.5001648249275314E-7</v>
      </c>
      <c r="R239" s="2">
        <v>-1.2033098770323505E-7</v>
      </c>
      <c r="T239" s="60"/>
      <c r="V239" s="2"/>
      <c r="W239" s="2"/>
      <c r="X239" s="2"/>
      <c r="Y239" s="98"/>
    </row>
    <row r="240" spans="3:25" x14ac:dyDescent="0.2">
      <c r="C240" s="69"/>
      <c r="D240" s="96"/>
      <c r="E240" s="29"/>
      <c r="F240" s="67"/>
      <c r="G240" s="67"/>
      <c r="H240" s="67"/>
      <c r="K240">
        <v>1</v>
      </c>
      <c r="L240" s="44">
        <v>2.8750000000000071</v>
      </c>
      <c r="M240" s="44">
        <v>2.7046511736191832</v>
      </c>
      <c r="N240" s="44">
        <v>-10.976671498543556</v>
      </c>
      <c r="O240" s="44">
        <v>0</v>
      </c>
      <c r="P240" s="2">
        <v>0</v>
      </c>
      <c r="Q240" s="2">
        <v>7.4847778930692473E-7</v>
      </c>
      <c r="R240" s="2">
        <v>-1.2585715501252205E-7</v>
      </c>
      <c r="T240" s="60"/>
      <c r="V240" s="2"/>
      <c r="W240" s="2"/>
      <c r="X240" s="2"/>
      <c r="Y240" s="98"/>
    </row>
    <row r="241" spans="3:25" x14ac:dyDescent="0.2">
      <c r="C241" s="70"/>
      <c r="D241" s="97"/>
      <c r="E241" s="65"/>
      <c r="F241" s="66"/>
      <c r="G241" s="66"/>
      <c r="H241" s="66"/>
      <c r="K241">
        <v>1</v>
      </c>
      <c r="L241" s="44">
        <v>2.8875000000000073</v>
      </c>
      <c r="M241" s="44">
        <v>2.8296511736191832</v>
      </c>
      <c r="N241" s="44">
        <v>-10.942082108873311</v>
      </c>
      <c r="O241" s="44">
        <v>0</v>
      </c>
      <c r="P241" s="2">
        <v>0</v>
      </c>
      <c r="Q241" s="2">
        <v>7.4687012442919958E-7</v>
      </c>
      <c r="R241" s="2">
        <v>-1.3136632749962499E-7</v>
      </c>
      <c r="T241" s="60"/>
      <c r="V241" s="2"/>
      <c r="W241" s="2"/>
      <c r="X241" s="2"/>
      <c r="Y241" s="98"/>
    </row>
    <row r="242" spans="3:25" x14ac:dyDescent="0.2">
      <c r="C242" s="68"/>
      <c r="D242" s="95"/>
      <c r="E242" s="29"/>
      <c r="F242" s="67"/>
      <c r="G242" s="67"/>
      <c r="H242" s="67"/>
      <c r="K242">
        <v>1</v>
      </c>
      <c r="L242" s="44">
        <v>2.9000000000000075</v>
      </c>
      <c r="M242" s="44">
        <v>2.9546511736191867</v>
      </c>
      <c r="N242" s="44">
        <v>-10.905930219203082</v>
      </c>
      <c r="O242" s="44">
        <v>0</v>
      </c>
      <c r="P242" s="2">
        <v>0</v>
      </c>
      <c r="Q242" s="2">
        <v>7.4519370520387819E-7</v>
      </c>
      <c r="R242" s="2">
        <v>-1.3685771972026791E-7</v>
      </c>
      <c r="T242" s="60"/>
      <c r="V242" s="2"/>
      <c r="W242" s="2"/>
      <c r="X242" s="2"/>
      <c r="Y242" s="98"/>
    </row>
    <row r="243" spans="3:25" x14ac:dyDescent="0.2">
      <c r="C243" s="69"/>
      <c r="D243" s="96"/>
      <c r="E243" s="65"/>
      <c r="F243" s="66"/>
      <c r="G243" s="66"/>
      <c r="H243" s="66"/>
      <c r="K243">
        <v>1</v>
      </c>
      <c r="L243" s="44">
        <v>2.9125000000000076</v>
      </c>
      <c r="M243" s="44">
        <v>3.0796511736191903</v>
      </c>
      <c r="N243" s="44">
        <v>-10.868215829532833</v>
      </c>
      <c r="O243" s="44">
        <v>0</v>
      </c>
      <c r="P243" s="2">
        <v>0</v>
      </c>
      <c r="Q243" s="2">
        <v>7.4344875879332026E-7</v>
      </c>
      <c r="R243" s="2">
        <v>-1.4233054623018165E-7</v>
      </c>
      <c r="T243" s="60"/>
      <c r="V243" s="2"/>
      <c r="W243" s="2"/>
      <c r="X243" s="2"/>
      <c r="Y243" s="98"/>
    </row>
    <row r="244" spans="3:25" x14ac:dyDescent="0.2">
      <c r="C244" s="70"/>
      <c r="D244" s="97"/>
      <c r="E244" s="29"/>
      <c r="F244" s="67"/>
      <c r="G244" s="67"/>
      <c r="H244" s="67"/>
      <c r="K244">
        <v>1</v>
      </c>
      <c r="L244" s="44">
        <v>2.9250000000000078</v>
      </c>
      <c r="M244" s="44">
        <v>3.2046511736191903</v>
      </c>
      <c r="N244" s="44">
        <v>-10.828938939862592</v>
      </c>
      <c r="O244" s="44">
        <v>0</v>
      </c>
      <c r="P244" s="2">
        <v>0</v>
      </c>
      <c r="Q244" s="2">
        <v>7.4163552217793602E-7</v>
      </c>
      <c r="R244" s="2">
        <v>-1.4778402158509247E-7</v>
      </c>
      <c r="T244" s="60"/>
      <c r="V244" s="2"/>
      <c r="W244" s="2"/>
      <c r="X244" s="2"/>
      <c r="Y244" s="98"/>
    </row>
    <row r="245" spans="3:25" x14ac:dyDescent="0.2">
      <c r="C245" s="68"/>
      <c r="D245" s="95"/>
      <c r="E245" s="65"/>
      <c r="F245" s="66"/>
      <c r="G245" s="66"/>
      <c r="H245" s="66"/>
      <c r="K245">
        <v>1</v>
      </c>
      <c r="L245" s="44">
        <v>2.937500000000008</v>
      </c>
      <c r="M245" s="44">
        <v>3.3296511736191903</v>
      </c>
      <c r="N245" s="44">
        <v>-10.78809955019236</v>
      </c>
      <c r="O245" s="44">
        <v>0</v>
      </c>
      <c r="P245" s="2">
        <v>0</v>
      </c>
      <c r="Q245" s="2">
        <v>7.3975424215618983E-7</v>
      </c>
      <c r="R245" s="2">
        <v>-1.5321736034072784E-7</v>
      </c>
      <c r="T245" s="60"/>
      <c r="V245" s="2"/>
      <c r="W245" s="2"/>
      <c r="X245" s="2"/>
      <c r="Y245" s="98"/>
    </row>
    <row r="246" spans="3:25" x14ac:dyDescent="0.2">
      <c r="C246" s="69"/>
      <c r="D246" s="96"/>
      <c r="E246" s="29"/>
      <c r="F246" s="67"/>
      <c r="G246" s="67"/>
      <c r="H246" s="67"/>
      <c r="K246">
        <v>1</v>
      </c>
      <c r="L246" s="44">
        <v>2.9500000000000082</v>
      </c>
      <c r="M246" s="44">
        <v>3.4546511736191938</v>
      </c>
      <c r="N246" s="44">
        <v>-10.745697660522108</v>
      </c>
      <c r="O246" s="44">
        <v>0</v>
      </c>
      <c r="P246" s="2">
        <v>0</v>
      </c>
      <c r="Q246" s="2">
        <v>7.3780517534459956E-7</v>
      </c>
      <c r="R246" s="2">
        <v>-1.5862977705281687E-7</v>
      </c>
      <c r="T246" s="60"/>
      <c r="V246" s="2"/>
      <c r="W246" s="2"/>
      <c r="X246" s="2"/>
      <c r="Y246" s="98"/>
    </row>
    <row r="247" spans="3:25" x14ac:dyDescent="0.2">
      <c r="C247" s="70"/>
      <c r="D247" s="97"/>
      <c r="E247" s="65"/>
      <c r="F247" s="66"/>
      <c r="G247" s="66"/>
      <c r="H247" s="66"/>
      <c r="K247">
        <v>1</v>
      </c>
      <c r="L247" s="44">
        <v>2.9625000000000083</v>
      </c>
      <c r="M247" s="44">
        <v>3.5796511736191974</v>
      </c>
      <c r="N247" s="44">
        <v>-10.701733270851872</v>
      </c>
      <c r="O247" s="44">
        <v>0</v>
      </c>
      <c r="P247" s="2">
        <v>0</v>
      </c>
      <c r="Q247" s="2">
        <v>7.3578858817773516E-7</v>
      </c>
      <c r="R247" s="2">
        <v>-1.6402048627708412E-7</v>
      </c>
      <c r="T247" s="60"/>
      <c r="V247" s="2"/>
      <c r="W247" s="2"/>
      <c r="X247" s="2"/>
      <c r="Y247" s="98"/>
    </row>
    <row r="248" spans="3:25" x14ac:dyDescent="0.2">
      <c r="C248" s="68"/>
      <c r="D248" s="95"/>
      <c r="E248" s="29"/>
      <c r="F248" s="67"/>
      <c r="G248" s="67"/>
      <c r="H248" s="67"/>
      <c r="K248">
        <v>1</v>
      </c>
      <c r="L248" s="44">
        <v>2.9750000000000085</v>
      </c>
      <c r="M248" s="44">
        <v>3.7046511736191974</v>
      </c>
      <c r="N248" s="44">
        <v>-10.656206381181629</v>
      </c>
      <c r="O248" s="44">
        <v>0</v>
      </c>
      <c r="P248" s="2">
        <v>0</v>
      </c>
      <c r="Q248" s="2">
        <v>7.3370475690822235E-7</v>
      </c>
      <c r="R248" s="2">
        <v>-1.6938870256925931E-7</v>
      </c>
      <c r="T248" s="60"/>
      <c r="V248" s="2"/>
      <c r="W248" s="2"/>
      <c r="X248" s="2"/>
      <c r="Y248" s="98"/>
    </row>
    <row r="249" spans="3:25" x14ac:dyDescent="0.2">
      <c r="C249" s="69"/>
      <c r="D249" s="96"/>
      <c r="E249" s="65"/>
      <c r="F249" s="66"/>
      <c r="G249" s="66"/>
      <c r="H249" s="66"/>
      <c r="K249">
        <v>1</v>
      </c>
      <c r="L249" s="44">
        <v>2.9875000000000087</v>
      </c>
      <c r="M249" s="44">
        <v>3.8296511736191974</v>
      </c>
      <c r="N249" s="44">
        <v>-10.609116991511389</v>
      </c>
      <c r="O249" s="44">
        <v>0</v>
      </c>
      <c r="P249" s="2">
        <v>0</v>
      </c>
      <c r="Q249" s="2">
        <v>7.3155396760673806E-7</v>
      </c>
      <c r="R249" s="2">
        <v>-1.7473364048506983E-7</v>
      </c>
      <c r="T249" s="60"/>
      <c r="V249" s="2"/>
      <c r="W249" s="2"/>
      <c r="X249" s="2"/>
      <c r="Y249" s="98"/>
    </row>
    <row r="250" spans="3:25" x14ac:dyDescent="0.2">
      <c r="C250" s="70"/>
      <c r="D250" s="97"/>
      <c r="E250" s="29"/>
      <c r="F250" s="67"/>
      <c r="G250" s="67"/>
      <c r="H250" s="67"/>
      <c r="K250">
        <v>1</v>
      </c>
      <c r="L250" s="44">
        <v>3.0000000000000089</v>
      </c>
      <c r="M250" s="44">
        <v>3.9546511736192009</v>
      </c>
      <c r="N250" s="44">
        <v>-10.56046510184115</v>
      </c>
      <c r="O250" s="44">
        <v>0</v>
      </c>
      <c r="P250" s="2">
        <v>0</v>
      </c>
      <c r="Q250" s="2">
        <v>7.2933651616201502E-7</v>
      </c>
      <c r="R250" s="2">
        <v>-1.8005451458024318E-7</v>
      </c>
      <c r="T250" s="60"/>
      <c r="V250" s="2"/>
      <c r="W250" s="2"/>
      <c r="X250" s="2"/>
      <c r="Y250" s="98"/>
    </row>
    <row r="251" spans="3:25" x14ac:dyDescent="0.2">
      <c r="C251" s="68"/>
      <c r="D251" s="95"/>
      <c r="E251" s="65"/>
      <c r="F251" s="66"/>
      <c r="G251" s="66"/>
      <c r="H251" s="66"/>
      <c r="K251">
        <v>1</v>
      </c>
      <c r="L251" s="44">
        <v>3.0125000000000091</v>
      </c>
      <c r="M251" s="44">
        <v>4.0796511736192045</v>
      </c>
      <c r="N251" s="44">
        <v>-10.510250712170912</v>
      </c>
      <c r="O251" s="44">
        <v>0</v>
      </c>
      <c r="P251" s="2">
        <v>0</v>
      </c>
      <c r="Q251" s="2">
        <v>7.2705270828083596E-7</v>
      </c>
      <c r="R251" s="2">
        <v>-1.8535053941050618E-7</v>
      </c>
      <c r="T251" s="60"/>
      <c r="V251" s="2"/>
      <c r="W251" s="2"/>
      <c r="X251" s="2"/>
      <c r="Y251" s="98"/>
    </row>
    <row r="252" spans="3:25" x14ac:dyDescent="0.2">
      <c r="C252" s="69"/>
      <c r="D252" s="96"/>
      <c r="E252" s="29"/>
      <c r="F252" s="67"/>
      <c r="G252" s="67"/>
      <c r="H252" s="67"/>
      <c r="K252">
        <v>1</v>
      </c>
      <c r="L252" s="44">
        <v>3.0250000000000092</v>
      </c>
      <c r="M252" s="44">
        <v>4.2046511736192045</v>
      </c>
      <c r="N252" s="44">
        <v>-10.458473822500668</v>
      </c>
      <c r="O252" s="44">
        <v>0</v>
      </c>
      <c r="P252" s="2">
        <v>0</v>
      </c>
      <c r="Q252" s="2">
        <v>7.2470285948804071E-7</v>
      </c>
      <c r="R252" s="2">
        <v>-1.9062092953158796E-7</v>
      </c>
      <c r="T252" s="60"/>
      <c r="V252" s="2"/>
      <c r="W252" s="2"/>
      <c r="X252" s="2"/>
      <c r="Y252" s="98"/>
    </row>
    <row r="253" spans="3:25" x14ac:dyDescent="0.2">
      <c r="C253" s="70"/>
      <c r="D253" s="97"/>
      <c r="E253" s="65"/>
      <c r="F253" s="66"/>
      <c r="G253" s="66"/>
      <c r="H253" s="66"/>
      <c r="K253">
        <v>1</v>
      </c>
      <c r="L253" s="44">
        <v>3.0375000000000094</v>
      </c>
      <c r="M253" s="44">
        <v>4.3296511736192045</v>
      </c>
      <c r="N253" s="44">
        <v>-10.405134432830433</v>
      </c>
      <c r="O253" s="44">
        <v>0</v>
      </c>
      <c r="P253" s="2">
        <v>0</v>
      </c>
      <c r="Q253" s="2">
        <v>7.222872951265189E-7</v>
      </c>
      <c r="R253" s="2">
        <v>-1.9586489949921424E-7</v>
      </c>
      <c r="T253" s="60"/>
      <c r="V253" s="2"/>
      <c r="W253" s="2"/>
      <c r="X253" s="2"/>
      <c r="Y253" s="98"/>
    </row>
    <row r="254" spans="3:25" x14ac:dyDescent="0.2">
      <c r="C254" s="68"/>
      <c r="D254" s="95"/>
      <c r="E254" s="29"/>
      <c r="F254" s="67"/>
      <c r="G254" s="67"/>
      <c r="H254" s="67"/>
      <c r="K254">
        <v>1</v>
      </c>
      <c r="L254" s="44">
        <v>3.0500000000000096</v>
      </c>
      <c r="M254" s="44">
        <v>4.454651173619208</v>
      </c>
      <c r="N254" s="44">
        <v>-10.350232543160185</v>
      </c>
      <c r="O254" s="44">
        <v>0</v>
      </c>
      <c r="P254" s="2">
        <v>0</v>
      </c>
      <c r="Q254" s="2">
        <v>7.1980635035721691E-7</v>
      </c>
      <c r="R254" s="2">
        <v>-2.0108166386911417E-7</v>
      </c>
      <c r="T254" s="60"/>
      <c r="V254" s="2"/>
      <c r="W254" s="2"/>
      <c r="X254" s="2"/>
      <c r="Y254" s="98"/>
    </row>
    <row r="255" spans="3:25" x14ac:dyDescent="0.2">
      <c r="C255" s="69"/>
      <c r="D255" s="96"/>
      <c r="E255" s="65"/>
      <c r="F255" s="66"/>
      <c r="G255" s="66"/>
      <c r="H255" s="66"/>
      <c r="K255">
        <v>1</v>
      </c>
      <c r="L255" s="44">
        <v>3.0625000000000098</v>
      </c>
      <c r="M255" s="44">
        <v>4.5796511736192116</v>
      </c>
      <c r="N255" s="44">
        <v>-10.293768153489946</v>
      </c>
      <c r="O255" s="44">
        <v>0</v>
      </c>
      <c r="P255" s="2">
        <v>0</v>
      </c>
      <c r="Q255" s="2">
        <v>7.1726037015913327E-7</v>
      </c>
      <c r="R255" s="2">
        <v>-2.0627043719701455E-7</v>
      </c>
      <c r="T255" s="60"/>
      <c r="V255" s="2"/>
      <c r="W255" s="2"/>
      <c r="X255" s="2"/>
      <c r="Y255" s="98"/>
    </row>
    <row r="256" spans="3:25" x14ac:dyDescent="0.2">
      <c r="C256" s="70"/>
      <c r="D256" s="97"/>
      <c r="E256" s="29"/>
      <c r="F256" s="67"/>
      <c r="G256" s="67"/>
      <c r="H256" s="67"/>
      <c r="K256">
        <v>1</v>
      </c>
      <c r="L256" s="44">
        <v>3.0750000000000099</v>
      </c>
      <c r="M256" s="44">
        <v>4.7046511736192116</v>
      </c>
      <c r="N256" s="44">
        <v>-10.235741263819701</v>
      </c>
      <c r="O256" s="44">
        <v>0</v>
      </c>
      <c r="P256" s="2">
        <v>0</v>
      </c>
      <c r="Q256" s="2">
        <v>7.1464970932931764E-7</v>
      </c>
      <c r="R256" s="2">
        <v>-2.1143043403864288E-7</v>
      </c>
      <c r="T256" s="60"/>
      <c r="V256" s="2"/>
      <c r="W256" s="2"/>
      <c r="X256" s="2"/>
      <c r="Y256" s="98"/>
    </row>
    <row r="257" spans="3:25" x14ac:dyDescent="0.2">
      <c r="C257" s="68"/>
      <c r="D257" s="95"/>
      <c r="E257" s="65"/>
      <c r="F257" s="66"/>
      <c r="G257" s="66"/>
      <c r="H257" s="66"/>
      <c r="K257">
        <v>1</v>
      </c>
      <c r="L257" s="44">
        <v>3.0875000000000101</v>
      </c>
      <c r="M257" s="44">
        <v>4.8296511736192116</v>
      </c>
      <c r="N257" s="44">
        <v>-10.176151874149465</v>
      </c>
      <c r="O257" s="44">
        <v>0</v>
      </c>
      <c r="P257" s="2">
        <v>0</v>
      </c>
      <c r="Q257" s="2">
        <v>7.1197473248287691E-7</v>
      </c>
      <c r="R257" s="2">
        <v>-2.1656086894972712E-7</v>
      </c>
      <c r="T257" s="60"/>
      <c r="V257" s="2"/>
      <c r="W257" s="2"/>
      <c r="X257" s="2"/>
      <c r="Y257" s="98"/>
    </row>
    <row r="258" spans="3:25" x14ac:dyDescent="0.2">
      <c r="C258" s="69"/>
      <c r="D258" s="96"/>
      <c r="E258" s="29"/>
      <c r="F258" s="67"/>
      <c r="G258" s="67"/>
      <c r="H258" s="67"/>
      <c r="K258">
        <v>1</v>
      </c>
      <c r="L258" s="44">
        <v>3.1000000000000103</v>
      </c>
      <c r="M258" s="44">
        <v>4.9546511736192151</v>
      </c>
      <c r="N258" s="44">
        <v>-10.114999984479223</v>
      </c>
      <c r="O258" s="44">
        <v>0</v>
      </c>
      <c r="P258" s="2">
        <v>0</v>
      </c>
      <c r="Q258" s="2">
        <v>7.0923581405296923E-7</v>
      </c>
      <c r="R258" s="2">
        <v>-2.2166095648599411E-7</v>
      </c>
      <c r="T258" s="60"/>
      <c r="V258" s="2"/>
      <c r="W258" s="2"/>
      <c r="X258" s="2"/>
      <c r="Y258" s="98"/>
    </row>
    <row r="259" spans="3:25" x14ac:dyDescent="0.2">
      <c r="C259" s="70"/>
      <c r="D259" s="97"/>
      <c r="E259" s="65"/>
      <c r="F259" s="66"/>
      <c r="G259" s="66"/>
      <c r="H259" s="66"/>
      <c r="K259">
        <v>1</v>
      </c>
      <c r="L259" s="44">
        <v>3.1125000000000105</v>
      </c>
      <c r="M259" s="44">
        <v>5.0796511736192187</v>
      </c>
      <c r="N259" s="44">
        <v>-10.052285594808975</v>
      </c>
      <c r="O259" s="44">
        <v>0</v>
      </c>
      <c r="P259" s="2">
        <v>0</v>
      </c>
      <c r="Q259" s="2">
        <v>7.0643333829080668E-7</v>
      </c>
      <c r="R259" s="2">
        <v>-2.2672991120317302E-7</v>
      </c>
      <c r="T259" s="60"/>
      <c r="V259" s="2"/>
      <c r="W259" s="2"/>
      <c r="X259" s="2"/>
      <c r="Y259" s="98"/>
    </row>
    <row r="260" spans="3:25" x14ac:dyDescent="0.2">
      <c r="C260" s="68"/>
      <c r="D260" s="95"/>
      <c r="E260" s="29"/>
      <c r="F260" s="67"/>
      <c r="G260" s="67"/>
      <c r="H260" s="67"/>
      <c r="K260">
        <v>1</v>
      </c>
      <c r="L260" s="44">
        <v>3.1250000000000107</v>
      </c>
      <c r="M260" s="44">
        <v>5.2046511736192187</v>
      </c>
      <c r="N260" s="44">
        <v>-9.9880087051387498</v>
      </c>
      <c r="O260" s="44">
        <v>0</v>
      </c>
      <c r="P260" s="2">
        <v>0</v>
      </c>
      <c r="Q260" s="2">
        <v>7.0356769926565395E-7</v>
      </c>
      <c r="R260" s="2">
        <v>-2.3176694765698954E-7</v>
      </c>
      <c r="T260" s="60"/>
      <c r="V260" s="2"/>
      <c r="W260" s="2"/>
      <c r="X260" s="2"/>
      <c r="Y260" s="98"/>
    </row>
    <row r="261" spans="3:25" x14ac:dyDescent="0.2">
      <c r="C261" s="69"/>
      <c r="D261" s="96"/>
      <c r="E261" s="65"/>
      <c r="F261" s="66"/>
      <c r="G261" s="66"/>
      <c r="H261" s="66"/>
      <c r="K261">
        <v>1</v>
      </c>
      <c r="L261" s="44">
        <v>3.1375000000000108</v>
      </c>
      <c r="M261" s="44">
        <v>5.3296511736192187</v>
      </c>
      <c r="N261" s="44">
        <v>-9.9221693154685049</v>
      </c>
      <c r="O261" s="44">
        <v>0</v>
      </c>
      <c r="P261" s="2">
        <v>0</v>
      </c>
      <c r="Q261" s="2">
        <v>7.0063930086483076E-7</v>
      </c>
      <c r="R261" s="2">
        <v>-2.3677128040317279E-7</v>
      </c>
      <c r="T261" s="60"/>
      <c r="V261" s="2"/>
      <c r="W261" s="2"/>
      <c r="X261" s="2"/>
      <c r="Y261" s="98"/>
    </row>
    <row r="262" spans="3:25" x14ac:dyDescent="0.2">
      <c r="C262" s="70"/>
      <c r="D262" s="97"/>
      <c r="E262" s="29"/>
      <c r="F262" s="67"/>
      <c r="G262" s="67"/>
      <c r="H262" s="67"/>
      <c r="K262">
        <v>1</v>
      </c>
      <c r="L262" s="44">
        <v>3.150000000000011</v>
      </c>
      <c r="M262" s="44">
        <v>5.4546511736192222</v>
      </c>
      <c r="N262" s="44">
        <v>-9.8547674257982614</v>
      </c>
      <c r="O262" s="44">
        <v>0</v>
      </c>
      <c r="P262" s="2">
        <v>0</v>
      </c>
      <c r="Q262" s="2">
        <v>6.9764855679370773E-7</v>
      </c>
      <c r="R262" s="2">
        <v>-2.4174212399744966E-7</v>
      </c>
      <c r="T262" s="60"/>
      <c r="V262" s="2"/>
      <c r="W262" s="2"/>
      <c r="X262" s="2"/>
      <c r="Y262" s="98"/>
    </row>
    <row r="263" spans="3:25" x14ac:dyDescent="0.2">
      <c r="C263" s="68"/>
      <c r="D263" s="95"/>
      <c r="E263" s="65"/>
      <c r="F263" s="66"/>
      <c r="G263" s="66"/>
      <c r="H263" s="66"/>
      <c r="K263">
        <v>1</v>
      </c>
      <c r="L263" s="44">
        <v>3.1625000000000112</v>
      </c>
      <c r="M263" s="44">
        <v>5.5796511736192258</v>
      </c>
      <c r="N263" s="44">
        <v>-9.7858030361280122</v>
      </c>
      <c r="O263" s="44">
        <v>0</v>
      </c>
      <c r="P263" s="2">
        <v>0</v>
      </c>
      <c r="Q263" s="2">
        <v>6.9459589057571242E-7</v>
      </c>
      <c r="R263" s="2">
        <v>-2.4667869299554874E-7</v>
      </c>
      <c r="T263" s="60"/>
      <c r="V263" s="2"/>
      <c r="W263" s="2"/>
      <c r="X263" s="2"/>
      <c r="Y263" s="98"/>
    </row>
    <row r="264" spans="3:25" x14ac:dyDescent="0.2">
      <c r="C264" s="69"/>
      <c r="D264" s="96"/>
      <c r="E264" s="29"/>
      <c r="F264" s="67"/>
      <c r="G264" s="67"/>
      <c r="H264" s="67"/>
      <c r="K264">
        <v>1</v>
      </c>
      <c r="L264" s="44">
        <v>3.1750000000000114</v>
      </c>
      <c r="M264" s="44">
        <v>5.7046511736192258</v>
      </c>
      <c r="N264" s="44">
        <v>-9.7152761464577786</v>
      </c>
      <c r="O264" s="44">
        <v>0</v>
      </c>
      <c r="P264" s="2">
        <v>0</v>
      </c>
      <c r="Q264" s="2">
        <v>6.9148173555232053E-7</v>
      </c>
      <c r="R264" s="2">
        <v>-2.5158020195319515E-7</v>
      </c>
      <c r="T264" s="60"/>
      <c r="V264" s="2"/>
      <c r="W264" s="2"/>
      <c r="X264" s="2"/>
      <c r="Y264" s="98"/>
    </row>
    <row r="265" spans="3:25" x14ac:dyDescent="0.2">
      <c r="C265" s="70"/>
      <c r="D265" s="97"/>
      <c r="E265" s="65"/>
      <c r="F265" s="66"/>
      <c r="G265" s="66"/>
      <c r="H265" s="66"/>
      <c r="K265">
        <v>1</v>
      </c>
      <c r="L265" s="44">
        <v>3.1875000000000115</v>
      </c>
      <c r="M265" s="44">
        <v>5.8296511736192258</v>
      </c>
      <c r="N265" s="44">
        <v>-9.6431867567875393</v>
      </c>
      <c r="O265" s="44">
        <v>0</v>
      </c>
      <c r="P265" s="2">
        <v>0</v>
      </c>
      <c r="Q265" s="2">
        <v>6.8830653488306724E-7</v>
      </c>
      <c r="R265" s="2">
        <v>-2.5644586542611801E-7</v>
      </c>
      <c r="T265" s="60"/>
      <c r="V265" s="2"/>
      <c r="W265" s="2"/>
      <c r="X265" s="2"/>
      <c r="Y265" s="98"/>
    </row>
    <row r="266" spans="3:25" x14ac:dyDescent="0.2">
      <c r="C266" s="68"/>
      <c r="D266" s="95"/>
      <c r="E266" s="29"/>
      <c r="F266" s="67"/>
      <c r="G266" s="67"/>
      <c r="H266" s="67"/>
      <c r="K266">
        <v>1</v>
      </c>
      <c r="L266" s="44">
        <v>3.2000000000000117</v>
      </c>
      <c r="M266" s="44">
        <v>5.9546511736192258</v>
      </c>
      <c r="N266" s="44">
        <v>-9.5695348671172944</v>
      </c>
      <c r="O266" s="44">
        <v>0</v>
      </c>
      <c r="P266" s="2">
        <v>0</v>
      </c>
      <c r="Q266" s="2">
        <v>6.8507074154553863E-7</v>
      </c>
      <c r="R266" s="2">
        <v>-2.6127489797004589E-7</v>
      </c>
      <c r="T266" s="60"/>
      <c r="V266" s="2"/>
      <c r="W266" s="2"/>
      <c r="X266" s="2"/>
      <c r="Y266" s="98"/>
    </row>
    <row r="267" spans="3:25" x14ac:dyDescent="0.2">
      <c r="C267" s="69"/>
      <c r="D267" s="96"/>
      <c r="E267" s="65"/>
      <c r="F267" s="66"/>
      <c r="G267" s="66"/>
      <c r="H267" s="66"/>
      <c r="K267">
        <v>1</v>
      </c>
      <c r="L267" s="44">
        <v>3.2125000000000119</v>
      </c>
      <c r="M267" s="44">
        <v>6.0796511736192329</v>
      </c>
      <c r="N267" s="44">
        <v>-9.4943204774470509</v>
      </c>
      <c r="O267" s="44">
        <v>0</v>
      </c>
      <c r="P267" s="2">
        <v>0</v>
      </c>
      <c r="Q267" s="2">
        <v>6.817748183353719E-7</v>
      </c>
      <c r="R267" s="2">
        <v>-2.6606651414070504E-7</v>
      </c>
      <c r="T267" s="60"/>
      <c r="V267" s="2"/>
      <c r="W267" s="2"/>
      <c r="X267" s="2"/>
      <c r="Y267" s="98"/>
    </row>
    <row r="268" spans="3:25" x14ac:dyDescent="0.2">
      <c r="C268" s="70"/>
      <c r="D268" s="97"/>
      <c r="E268" s="29"/>
      <c r="F268" s="67"/>
      <c r="G268" s="67"/>
      <c r="H268" s="67"/>
      <c r="K268">
        <v>1</v>
      </c>
      <c r="L268" s="44">
        <v>3.2250000000000121</v>
      </c>
      <c r="M268" s="44">
        <v>6.2046511736192329</v>
      </c>
      <c r="N268" s="44">
        <v>-9.4175435877768123</v>
      </c>
      <c r="O268" s="44">
        <v>0</v>
      </c>
      <c r="P268" s="2">
        <v>0</v>
      </c>
      <c r="Q268" s="2">
        <v>6.784192378662616E-7</v>
      </c>
      <c r="R268" s="2">
        <v>-2.7081992849382353E-7</v>
      </c>
      <c r="T268" s="60"/>
      <c r="V268" s="2"/>
      <c r="W268" s="2"/>
      <c r="X268" s="2"/>
      <c r="Y268" s="98"/>
    </row>
    <row r="269" spans="3:25" x14ac:dyDescent="0.2">
      <c r="C269" s="68"/>
      <c r="D269" s="95"/>
      <c r="E269" s="65"/>
      <c r="F269" s="66"/>
      <c r="G269" s="66"/>
      <c r="H269" s="66"/>
      <c r="K269">
        <v>1</v>
      </c>
      <c r="L269" s="44">
        <v>3.2375000000000123</v>
      </c>
      <c r="M269" s="44">
        <v>6.3296511736192329</v>
      </c>
      <c r="N269" s="44">
        <v>-9.3392041981065717</v>
      </c>
      <c r="O269" s="44">
        <v>0</v>
      </c>
      <c r="P269" s="2">
        <v>0</v>
      </c>
      <c r="Q269" s="2">
        <v>6.7500448256995084E-7</v>
      </c>
      <c r="R269" s="2">
        <v>-2.7553435558512877E-7</v>
      </c>
      <c r="T269" s="60"/>
      <c r="V269" s="2"/>
      <c r="W269" s="2"/>
      <c r="X269" s="2"/>
      <c r="Y269" s="98"/>
    </row>
    <row r="270" spans="3:25" x14ac:dyDescent="0.2">
      <c r="C270" s="69"/>
      <c r="D270" s="96"/>
      <c r="E270" s="29"/>
      <c r="F270" s="67"/>
      <c r="G270" s="67"/>
      <c r="H270" s="67"/>
      <c r="K270">
        <v>1</v>
      </c>
      <c r="L270" s="44">
        <v>3.2500000000000124</v>
      </c>
      <c r="M270" s="44">
        <v>6.45465117361924</v>
      </c>
      <c r="N270" s="44">
        <v>-9.2593023084363182</v>
      </c>
      <c r="O270" s="44">
        <v>0</v>
      </c>
      <c r="P270" s="2">
        <v>0</v>
      </c>
      <c r="Q270" s="2">
        <v>6.7153104469624182E-7</v>
      </c>
      <c r="R270" s="2">
        <v>-2.8020900997034871E-7</v>
      </c>
      <c r="T270" s="60"/>
      <c r="V270" s="2"/>
      <c r="W270" s="2"/>
      <c r="X270" s="2"/>
      <c r="Y270" s="98"/>
    </row>
    <row r="271" spans="3:25" x14ac:dyDescent="0.2">
      <c r="C271" s="70"/>
      <c r="D271" s="97"/>
      <c r="E271" s="65"/>
      <c r="F271" s="66"/>
      <c r="G271" s="66"/>
      <c r="H271" s="66"/>
      <c r="K271">
        <v>1</v>
      </c>
      <c r="L271" s="44">
        <v>3.2625000000000126</v>
      </c>
      <c r="M271" s="44">
        <v>6.57965117361924</v>
      </c>
      <c r="N271" s="44">
        <v>-9.1778379187660803</v>
      </c>
      <c r="O271" s="44">
        <v>0</v>
      </c>
      <c r="P271" s="2">
        <v>0</v>
      </c>
      <c r="Q271" s="2">
        <v>6.6799942631298538E-7</v>
      </c>
      <c r="R271" s="2">
        <v>-2.8484310620520966E-7</v>
      </c>
      <c r="T271" s="60"/>
      <c r="V271" s="2"/>
      <c r="W271" s="2"/>
      <c r="X271" s="2"/>
      <c r="Y271" s="98"/>
    </row>
    <row r="272" spans="3:25" x14ac:dyDescent="0.2">
      <c r="C272" s="68"/>
      <c r="D272" s="95"/>
      <c r="E272" s="29"/>
      <c r="F272" s="67"/>
      <c r="G272" s="67"/>
      <c r="H272" s="67"/>
      <c r="K272">
        <v>1</v>
      </c>
      <c r="L272" s="44">
        <v>3.2750000000000128</v>
      </c>
      <c r="M272" s="44">
        <v>6.70465117361924</v>
      </c>
      <c r="N272" s="44">
        <v>-9.0948110290958404</v>
      </c>
      <c r="O272" s="44">
        <v>0</v>
      </c>
      <c r="P272" s="2">
        <v>0</v>
      </c>
      <c r="Q272" s="2">
        <v>6.6441013930608878E-7</v>
      </c>
      <c r="R272" s="2">
        <v>-2.8943585884544136E-7</v>
      </c>
      <c r="T272" s="60"/>
      <c r="V272" s="2"/>
      <c r="W272" s="2"/>
      <c r="X272" s="2"/>
      <c r="Y272" s="98"/>
    </row>
    <row r="273" spans="3:25" x14ac:dyDescent="0.2">
      <c r="C273" s="69"/>
      <c r="D273" s="96"/>
      <c r="E273" s="65"/>
      <c r="F273" s="66"/>
      <c r="G273" s="66"/>
      <c r="H273" s="66"/>
      <c r="K273">
        <v>1</v>
      </c>
      <c r="L273" s="44">
        <v>3.287500000000013</v>
      </c>
      <c r="M273" s="44">
        <v>6.82965117361924</v>
      </c>
      <c r="N273" s="44">
        <v>-9.0102216394255983</v>
      </c>
      <c r="O273" s="44">
        <v>0</v>
      </c>
      <c r="P273" s="2">
        <v>0</v>
      </c>
      <c r="Q273" s="2">
        <v>6.6076370537951188E-7</v>
      </c>
      <c r="R273" s="2">
        <v>-2.9398648244676943E-7</v>
      </c>
      <c r="T273" s="60"/>
      <c r="V273" s="2"/>
      <c r="W273" s="2"/>
      <c r="X273" s="2"/>
      <c r="Y273" s="98"/>
    </row>
    <row r="274" spans="3:25" x14ac:dyDescent="0.2">
      <c r="C274" s="70"/>
      <c r="D274" s="97"/>
      <c r="E274" s="29"/>
      <c r="F274" s="67"/>
      <c r="G274" s="67"/>
      <c r="H274" s="67"/>
      <c r="K274">
        <v>1</v>
      </c>
      <c r="L274" s="44">
        <v>3.3000000000000131</v>
      </c>
      <c r="M274" s="44">
        <v>6.95465117361924</v>
      </c>
      <c r="N274" s="44">
        <v>-8.9240697497553576</v>
      </c>
      <c r="O274" s="44">
        <v>0</v>
      </c>
      <c r="P274" s="2">
        <v>0</v>
      </c>
      <c r="Q274" s="2">
        <v>6.5706065605526618E-7</v>
      </c>
      <c r="R274" s="2">
        <v>-2.9849419156492198E-7</v>
      </c>
      <c r="T274" s="60"/>
      <c r="V274" s="2"/>
      <c r="W274" s="2"/>
      <c r="X274" s="2"/>
      <c r="Y274" s="98"/>
    </row>
    <row r="275" spans="3:25" x14ac:dyDescent="0.2">
      <c r="C275" s="68"/>
      <c r="D275" s="95"/>
      <c r="E275" s="65"/>
      <c r="F275" s="66"/>
      <c r="G275" s="66"/>
      <c r="H275" s="66"/>
      <c r="K275">
        <v>1</v>
      </c>
      <c r="L275" s="44">
        <v>3.3125000000000133</v>
      </c>
      <c r="M275" s="44">
        <v>7.0796511736192471</v>
      </c>
      <c r="N275" s="44">
        <v>-8.8363553600851183</v>
      </c>
      <c r="O275" s="44">
        <v>0</v>
      </c>
      <c r="P275" s="2">
        <v>0</v>
      </c>
      <c r="Q275" s="2">
        <v>6.5330153267341883E-7</v>
      </c>
      <c r="R275" s="2">
        <v>-3.0295820075562755E-7</v>
      </c>
      <c r="T275" s="60"/>
      <c r="V275" s="2"/>
      <c r="W275" s="2"/>
      <c r="X275" s="2"/>
      <c r="Y275" s="98"/>
    </row>
    <row r="276" spans="3:25" x14ac:dyDescent="0.2">
      <c r="C276" s="69"/>
      <c r="D276" s="96"/>
      <c r="E276" s="29"/>
      <c r="F276" s="67"/>
      <c r="G276" s="67"/>
      <c r="H276" s="67"/>
      <c r="K276">
        <v>1</v>
      </c>
      <c r="L276" s="44">
        <v>3.3250000000000135</v>
      </c>
      <c r="M276" s="44">
        <v>7.2046511736192471</v>
      </c>
      <c r="N276" s="44">
        <v>-8.7470784704148734</v>
      </c>
      <c r="O276" s="44">
        <v>0</v>
      </c>
      <c r="P276" s="2">
        <v>0</v>
      </c>
      <c r="Q276" s="2">
        <v>6.4948688639208992E-7</v>
      </c>
      <c r="R276" s="2">
        <v>-3.0737772457461179E-7</v>
      </c>
      <c r="T276" s="60"/>
      <c r="V276" s="2"/>
      <c r="W276" s="2"/>
      <c r="X276" s="2"/>
      <c r="Y276" s="98"/>
    </row>
    <row r="277" spans="3:25" x14ac:dyDescent="0.2">
      <c r="C277" s="70"/>
      <c r="D277" s="97"/>
      <c r="E277" s="65"/>
      <c r="F277" s="66"/>
      <c r="G277" s="66"/>
      <c r="H277" s="66"/>
      <c r="K277">
        <v>1</v>
      </c>
      <c r="L277" s="44">
        <v>3.3375000000000137</v>
      </c>
      <c r="M277" s="44">
        <v>7.3296511736192471</v>
      </c>
      <c r="N277" s="44">
        <v>-8.6562390807446334</v>
      </c>
      <c r="O277" s="44">
        <v>0</v>
      </c>
      <c r="P277" s="2">
        <v>0</v>
      </c>
      <c r="Q277" s="2">
        <v>6.4561727818745422E-7</v>
      </c>
      <c r="R277" s="2">
        <v>-3.1175197757760558E-7</v>
      </c>
      <c r="T277" s="60"/>
      <c r="V277" s="2"/>
      <c r="W277" s="2"/>
      <c r="X277" s="2"/>
      <c r="Y277" s="98"/>
    </row>
    <row r="278" spans="3:25" x14ac:dyDescent="0.2">
      <c r="C278" s="68"/>
      <c r="D278" s="95"/>
      <c r="E278" s="29"/>
      <c r="F278" s="67"/>
      <c r="G278" s="67"/>
      <c r="H278" s="67"/>
      <c r="K278">
        <v>1</v>
      </c>
      <c r="L278" s="44">
        <v>3.3500000000000139</v>
      </c>
      <c r="M278" s="44">
        <v>7.4546511736192542</v>
      </c>
      <c r="N278" s="44">
        <v>-8.5638371910743913</v>
      </c>
      <c r="O278" s="44">
        <v>0</v>
      </c>
      <c r="P278" s="2">
        <v>0</v>
      </c>
      <c r="Q278" s="2">
        <v>6.4169327885373478E-7</v>
      </c>
      <c r="R278" s="2">
        <v>-3.1608017432033235E-7</v>
      </c>
      <c r="T278" s="60"/>
      <c r="V278" s="2"/>
      <c r="W278" s="2"/>
      <c r="X278" s="2"/>
      <c r="Y278" s="98"/>
    </row>
    <row r="279" spans="3:25" x14ac:dyDescent="0.2">
      <c r="C279" s="69"/>
      <c r="D279" s="96"/>
      <c r="E279" s="65"/>
      <c r="F279" s="66"/>
      <c r="G279" s="66"/>
      <c r="H279" s="66"/>
      <c r="K279">
        <v>1</v>
      </c>
      <c r="L279" s="44">
        <v>3.362500000000014</v>
      </c>
      <c r="M279" s="44">
        <v>7.5796511736192542</v>
      </c>
      <c r="N279" s="44">
        <v>-8.4698728014041507</v>
      </c>
      <c r="O279" s="44">
        <v>0</v>
      </c>
      <c r="P279" s="2">
        <v>0</v>
      </c>
      <c r="Q279" s="2">
        <v>6.377154690032138E-7</v>
      </c>
      <c r="R279" s="2">
        <v>-3.2036152935852298E-7</v>
      </c>
      <c r="T279" s="60"/>
      <c r="V279" s="2"/>
      <c r="W279" s="2"/>
      <c r="X279" s="2"/>
      <c r="Y279" s="98"/>
    </row>
    <row r="280" spans="3:25" x14ac:dyDescent="0.2">
      <c r="C280" s="70"/>
      <c r="D280" s="97"/>
      <c r="E280" s="29"/>
      <c r="F280" s="67"/>
      <c r="G280" s="67"/>
      <c r="H280" s="67"/>
      <c r="K280">
        <v>1</v>
      </c>
      <c r="L280" s="44">
        <v>3.3750000000000142</v>
      </c>
      <c r="M280" s="44">
        <v>7.7046511736192542</v>
      </c>
      <c r="N280" s="44">
        <v>-8.3743459117339043</v>
      </c>
      <c r="O280" s="44">
        <v>0</v>
      </c>
      <c r="P280" s="2">
        <v>0</v>
      </c>
      <c r="Q280" s="2">
        <v>6.3368443906622543E-7</v>
      </c>
      <c r="R280" s="2">
        <v>-3.2459525724790323E-7</v>
      </c>
      <c r="T280" s="60"/>
      <c r="V280" s="2"/>
      <c r="W280" s="2"/>
      <c r="X280" s="2"/>
      <c r="Y280" s="98"/>
    </row>
    <row r="281" spans="3:25" x14ac:dyDescent="0.2">
      <c r="C281" s="68"/>
      <c r="D281" s="95"/>
      <c r="E281" s="65"/>
      <c r="F281" s="66"/>
      <c r="G281" s="66"/>
      <c r="H281" s="66"/>
      <c r="K281">
        <v>1</v>
      </c>
      <c r="L281" s="44">
        <v>3.3875000000000144</v>
      </c>
      <c r="M281" s="44">
        <v>7.8296511736192542</v>
      </c>
      <c r="N281" s="44">
        <v>-8.2772565220636665</v>
      </c>
      <c r="O281" s="44">
        <v>0</v>
      </c>
      <c r="P281" s="2">
        <v>0</v>
      </c>
      <c r="Q281" s="2">
        <v>6.2960078929115453E-7</v>
      </c>
      <c r="R281" s="2">
        <v>-3.2878057254420148E-7</v>
      </c>
      <c r="T281" s="60"/>
      <c r="V281" s="2"/>
      <c r="W281" s="2"/>
      <c r="X281" s="2"/>
      <c r="Y281" s="98"/>
    </row>
    <row r="282" spans="3:25" x14ac:dyDescent="0.2">
      <c r="C282" s="69"/>
      <c r="D282" s="96"/>
      <c r="E282" s="29"/>
      <c r="F282" s="67"/>
      <c r="G282" s="67"/>
      <c r="H282" s="67"/>
      <c r="K282">
        <v>1</v>
      </c>
      <c r="L282" s="44">
        <v>3.4000000000000146</v>
      </c>
      <c r="M282" s="44">
        <v>7.9546511736192542</v>
      </c>
      <c r="N282" s="44">
        <v>-8.1786046323934265</v>
      </c>
      <c r="O282" s="44">
        <v>0</v>
      </c>
      <c r="P282" s="2">
        <v>0</v>
      </c>
      <c r="Q282" s="2">
        <v>6.2546512974444181E-7</v>
      </c>
      <c r="R282" s="2">
        <v>-3.3291668980314473E-7</v>
      </c>
      <c r="T282" s="60"/>
      <c r="V282" s="2"/>
      <c r="W282" s="2"/>
      <c r="X282" s="2"/>
      <c r="Y282" s="98"/>
    </row>
    <row r="283" spans="3:25" x14ac:dyDescent="0.2">
      <c r="C283" s="70"/>
      <c r="D283" s="97"/>
      <c r="E283" s="65"/>
      <c r="F283" s="66"/>
      <c r="G283" s="66"/>
      <c r="H283" s="66"/>
      <c r="K283">
        <v>1</v>
      </c>
      <c r="L283" s="44">
        <v>3.4125000000000147</v>
      </c>
      <c r="M283" s="44">
        <v>8.0796511736192613</v>
      </c>
      <c r="N283" s="44">
        <v>-8.0783902427231844</v>
      </c>
      <c r="O283" s="44">
        <v>0</v>
      </c>
      <c r="P283" s="2">
        <v>0</v>
      </c>
      <c r="Q283" s="2">
        <v>6.212780803105824E-7</v>
      </c>
      <c r="R283" s="2">
        <v>-3.3700282358046272E-7</v>
      </c>
      <c r="T283" s="60"/>
      <c r="V283" s="2"/>
      <c r="W283" s="2"/>
      <c r="X283" s="2"/>
      <c r="Y283" s="98"/>
    </row>
    <row r="284" spans="3:25" x14ac:dyDescent="0.2">
      <c r="C284" s="68"/>
      <c r="D284" s="95"/>
      <c r="E284" s="29"/>
      <c r="F284" s="67"/>
      <c r="G284" s="67"/>
      <c r="H284" s="67"/>
      <c r="K284">
        <v>1</v>
      </c>
      <c r="L284" s="44">
        <v>3.4250000000000149</v>
      </c>
      <c r="M284" s="44">
        <v>8.2046511736192613</v>
      </c>
      <c r="N284" s="44">
        <v>-7.9766133530529366</v>
      </c>
      <c r="O284" s="44">
        <v>0</v>
      </c>
      <c r="P284" s="2">
        <v>0</v>
      </c>
      <c r="Q284" s="2">
        <v>6.170402706921219E-7</v>
      </c>
      <c r="R284" s="2">
        <v>-3.410381884318799E-7</v>
      </c>
      <c r="T284" s="60"/>
      <c r="V284" s="2"/>
      <c r="W284" s="2"/>
      <c r="X284" s="2"/>
      <c r="Y284" s="98"/>
    </row>
    <row r="285" spans="3:25" x14ac:dyDescent="0.2">
      <c r="C285" s="69"/>
      <c r="D285" s="96"/>
      <c r="E285" s="65"/>
      <c r="F285" s="66"/>
      <c r="G285" s="66"/>
      <c r="H285" s="66"/>
      <c r="K285">
        <v>1</v>
      </c>
      <c r="L285" s="44">
        <v>3.4375000000000151</v>
      </c>
      <c r="M285" s="44">
        <v>8.3296511736192613</v>
      </c>
      <c r="N285" s="44">
        <v>-7.8732739633827045</v>
      </c>
      <c r="O285" s="44">
        <v>0</v>
      </c>
      <c r="P285" s="2">
        <v>0</v>
      </c>
      <c r="Q285" s="2">
        <v>6.1275234040966092E-7</v>
      </c>
      <c r="R285" s="2">
        <v>-3.4502199891312497E-7</v>
      </c>
      <c r="T285" s="60"/>
      <c r="V285" s="2"/>
      <c r="W285" s="2"/>
      <c r="X285" s="2"/>
      <c r="Y285" s="98"/>
    </row>
    <row r="286" spans="3:25" x14ac:dyDescent="0.2">
      <c r="C286" s="70"/>
      <c r="D286" s="97"/>
      <c r="E286" s="29"/>
      <c r="F286" s="67"/>
      <c r="G286" s="67"/>
      <c r="H286" s="67"/>
      <c r="K286">
        <v>1</v>
      </c>
      <c r="L286" s="44">
        <v>3.4500000000000153</v>
      </c>
      <c r="M286" s="44">
        <v>8.4546511736192684</v>
      </c>
      <c r="N286" s="44">
        <v>-7.7683720737124595</v>
      </c>
      <c r="O286" s="44">
        <v>0</v>
      </c>
      <c r="P286" s="2">
        <v>0</v>
      </c>
      <c r="Q286" s="2">
        <v>6.084149388018529E-7</v>
      </c>
      <c r="R286" s="2">
        <v>-3.4895346957992523E-7</v>
      </c>
      <c r="T286" s="60"/>
      <c r="V286" s="2"/>
      <c r="W286" s="2"/>
      <c r="X286" s="2"/>
      <c r="Y286" s="98"/>
    </row>
    <row r="287" spans="3:25" x14ac:dyDescent="0.2">
      <c r="C287" s="68"/>
      <c r="D287" s="95"/>
      <c r="E287" s="65"/>
      <c r="F287" s="66"/>
      <c r="G287" s="66"/>
      <c r="H287" s="66"/>
      <c r="K287">
        <v>1</v>
      </c>
      <c r="L287" s="44">
        <v>3.4625000000000155</v>
      </c>
      <c r="M287" s="44">
        <v>8.5796511736192684</v>
      </c>
      <c r="N287" s="44">
        <v>-7.6619076840422125</v>
      </c>
      <c r="O287" s="44">
        <v>0</v>
      </c>
      <c r="P287" s="2">
        <v>0</v>
      </c>
      <c r="Q287" s="2">
        <v>6.0402872502540768E-7</v>
      </c>
      <c r="R287" s="2">
        <v>-3.5283181498801108E-7</v>
      </c>
      <c r="T287" s="60"/>
      <c r="V287" s="2"/>
      <c r="W287" s="2"/>
      <c r="X287" s="2"/>
      <c r="Y287" s="98"/>
    </row>
    <row r="288" spans="3:25" x14ac:dyDescent="0.2">
      <c r="C288" s="69"/>
      <c r="D288" s="96"/>
      <c r="E288" s="29"/>
      <c r="F288" s="67"/>
      <c r="G288" s="67"/>
      <c r="H288" s="67"/>
      <c r="K288">
        <v>1</v>
      </c>
      <c r="L288" s="44">
        <v>3.4750000000000156</v>
      </c>
      <c r="M288" s="44">
        <v>8.7046511736192684</v>
      </c>
      <c r="N288" s="44">
        <v>-7.5538807943719704</v>
      </c>
      <c r="O288" s="44">
        <v>0</v>
      </c>
      <c r="P288" s="2">
        <v>0</v>
      </c>
      <c r="Q288" s="2">
        <v>5.9959436805508314E-7</v>
      </c>
      <c r="R288" s="2">
        <v>-3.5665624969310638E-7</v>
      </c>
      <c r="T288" s="60"/>
      <c r="V288" s="2"/>
      <c r="W288" s="2"/>
      <c r="X288" s="2"/>
      <c r="Y288" s="98"/>
    </row>
    <row r="289" spans="3:25" x14ac:dyDescent="0.2">
      <c r="C289" s="70"/>
      <c r="D289" s="97"/>
      <c r="E289" s="65"/>
      <c r="F289" s="66"/>
      <c r="G289" s="66"/>
      <c r="H289" s="66"/>
      <c r="K289">
        <v>1</v>
      </c>
      <c r="L289" s="44">
        <v>3.4875000000000158</v>
      </c>
      <c r="M289" s="44">
        <v>8.8296511736192684</v>
      </c>
      <c r="N289" s="44">
        <v>-7.4442914047017297</v>
      </c>
      <c r="O289" s="44">
        <v>0</v>
      </c>
      <c r="P289" s="2">
        <v>0</v>
      </c>
      <c r="Q289" s="2">
        <v>5.9511254668369356E-7</v>
      </c>
      <c r="R289" s="2">
        <v>-3.6042598825093977E-7</v>
      </c>
      <c r="T289" s="60"/>
      <c r="V289" s="2"/>
      <c r="W289" s="2"/>
      <c r="X289" s="2"/>
      <c r="Y289" s="98"/>
    </row>
    <row r="290" spans="3:25" x14ac:dyDescent="0.2">
      <c r="C290" s="68"/>
      <c r="D290" s="95"/>
      <c r="E290" s="29"/>
      <c r="F290" s="67"/>
      <c r="G290" s="67"/>
      <c r="H290" s="67"/>
      <c r="K290">
        <v>1</v>
      </c>
      <c r="L290" s="44">
        <v>3.500000000000016</v>
      </c>
      <c r="M290" s="44">
        <v>8.9546511736192684</v>
      </c>
      <c r="N290" s="44">
        <v>-7.3331395150314833</v>
      </c>
      <c r="O290" s="44">
        <v>0</v>
      </c>
      <c r="P290" s="2">
        <v>0</v>
      </c>
      <c r="Q290" s="2">
        <v>5.9058394952210583E-7</v>
      </c>
      <c r="R290" s="2">
        <v>-3.6414024521724046E-7</v>
      </c>
      <c r="T290" s="60"/>
      <c r="V290" s="2"/>
      <c r="W290" s="2"/>
      <c r="X290" s="2"/>
      <c r="Y290" s="98"/>
    </row>
    <row r="291" spans="3:25" x14ac:dyDescent="0.2">
      <c r="C291" s="69"/>
      <c r="D291" s="96"/>
      <c r="E291" s="65"/>
      <c r="F291" s="66"/>
      <c r="G291" s="66"/>
      <c r="H291" s="66"/>
      <c r="K291">
        <v>1</v>
      </c>
      <c r="L291" s="44">
        <v>3.5125000000000162</v>
      </c>
      <c r="M291" s="44">
        <v>9.0796511736192755</v>
      </c>
      <c r="N291" s="44">
        <v>-7.2204251253612384</v>
      </c>
      <c r="O291" s="44">
        <v>0</v>
      </c>
      <c r="P291" s="2">
        <v>0</v>
      </c>
      <c r="Q291" s="2">
        <v>5.8600927499924451E-7</v>
      </c>
      <c r="R291" s="2">
        <v>-3.6779823514773404E-7</v>
      </c>
      <c r="T291" s="60"/>
      <c r="V291" s="2"/>
      <c r="W291" s="2"/>
      <c r="X291" s="2"/>
      <c r="Y291" s="98"/>
    </row>
    <row r="292" spans="3:25" x14ac:dyDescent="0.2">
      <c r="C292" s="70"/>
      <c r="D292" s="97"/>
      <c r="E292" s="29"/>
      <c r="F292" s="67"/>
      <c r="G292" s="67"/>
      <c r="H292" s="67"/>
      <c r="K292">
        <v>1</v>
      </c>
      <c r="L292" s="44">
        <v>3.5250000000000163</v>
      </c>
      <c r="M292" s="44">
        <v>9.2046511736192755</v>
      </c>
      <c r="N292" s="44">
        <v>-7.1061482356909984</v>
      </c>
      <c r="O292" s="44">
        <v>0</v>
      </c>
      <c r="P292" s="2">
        <v>0</v>
      </c>
      <c r="Q292" s="2">
        <v>5.8138923136208018E-7</v>
      </c>
      <c r="R292" s="2">
        <v>-3.7139917259814922E-7</v>
      </c>
      <c r="T292" s="60"/>
      <c r="V292" s="2"/>
      <c r="W292" s="2"/>
      <c r="X292" s="2"/>
      <c r="Y292" s="98"/>
    </row>
    <row r="293" spans="3:25" x14ac:dyDescent="0.2">
      <c r="C293" s="68"/>
      <c r="D293" s="95"/>
      <c r="E293" s="65"/>
      <c r="F293" s="66"/>
      <c r="G293" s="66"/>
      <c r="H293" s="66"/>
      <c r="K293">
        <v>1</v>
      </c>
      <c r="L293" s="44">
        <v>3.5375000000000165</v>
      </c>
      <c r="M293" s="44">
        <v>9.3296511736192755</v>
      </c>
      <c r="N293" s="44">
        <v>-6.9903088460207563</v>
      </c>
      <c r="O293" s="44">
        <v>0</v>
      </c>
      <c r="P293" s="2">
        <v>0</v>
      </c>
      <c r="Q293" s="2">
        <v>5.7672453667564153E-7</v>
      </c>
      <c r="R293" s="2">
        <v>-3.749422721242127E-7</v>
      </c>
      <c r="T293" s="60"/>
      <c r="V293" s="2"/>
      <c r="W293" s="2"/>
      <c r="X293" s="2"/>
      <c r="Y293" s="98"/>
    </row>
    <row r="294" spans="3:25" x14ac:dyDescent="0.2">
      <c r="C294" s="69"/>
      <c r="D294" s="96"/>
      <c r="E294" s="29"/>
      <c r="F294" s="67"/>
      <c r="G294" s="67"/>
      <c r="H294" s="67"/>
      <c r="K294">
        <v>1</v>
      </c>
      <c r="L294" s="44">
        <v>3.5500000000000167</v>
      </c>
      <c r="M294" s="44">
        <v>9.4546511736192826</v>
      </c>
      <c r="N294" s="44">
        <v>-6.8729069563505156</v>
      </c>
      <c r="O294" s="44">
        <v>0</v>
      </c>
      <c r="P294" s="2">
        <v>0</v>
      </c>
      <c r="Q294" s="2">
        <v>5.7201591882300932E-7</v>
      </c>
      <c r="R294" s="2">
        <v>-3.7842674828165311E-7</v>
      </c>
      <c r="T294" s="60"/>
      <c r="V294" s="2"/>
      <c r="W294" s="2"/>
      <c r="X294" s="2"/>
      <c r="Y294" s="98"/>
    </row>
    <row r="295" spans="3:25" x14ac:dyDescent="0.2">
      <c r="C295" s="70"/>
      <c r="D295" s="97"/>
      <c r="E295" s="65"/>
      <c r="F295" s="66"/>
      <c r="G295" s="66"/>
      <c r="H295" s="66"/>
      <c r="K295">
        <v>1</v>
      </c>
      <c r="L295" s="44">
        <v>3.5625000000000169</v>
      </c>
      <c r="M295" s="44">
        <v>9.5796511736192826</v>
      </c>
      <c r="N295" s="44">
        <v>-6.7539425666802693</v>
      </c>
      <c r="O295" s="44">
        <v>0</v>
      </c>
      <c r="P295" s="2">
        <v>0</v>
      </c>
      <c r="Q295" s="2">
        <v>5.6726411550532155E-7</v>
      </c>
      <c r="R295" s="2">
        <v>-3.8185181562619792E-7</v>
      </c>
      <c r="T295" s="60"/>
      <c r="V295" s="2"/>
      <c r="W295" s="2"/>
      <c r="X295" s="2"/>
      <c r="Y295" s="98"/>
    </row>
    <row r="296" spans="3:25" x14ac:dyDescent="0.2">
      <c r="C296" s="68"/>
      <c r="D296" s="95"/>
      <c r="E296" s="29"/>
      <c r="F296" s="67"/>
      <c r="G296" s="67"/>
      <c r="H296" s="67"/>
      <c r="K296">
        <v>1</v>
      </c>
      <c r="L296" s="44">
        <v>3.5750000000000171</v>
      </c>
      <c r="M296" s="44">
        <v>9.7046511736192826</v>
      </c>
      <c r="N296" s="44">
        <v>-6.6334156770100314</v>
      </c>
      <c r="O296" s="44">
        <v>0</v>
      </c>
      <c r="P296" s="2">
        <v>0</v>
      </c>
      <c r="Q296" s="2">
        <v>5.6246987424176088E-7</v>
      </c>
      <c r="R296" s="2">
        <v>-3.8521668871357333E-7</v>
      </c>
      <c r="T296" s="60"/>
      <c r="V296" s="2"/>
      <c r="W296" s="2"/>
      <c r="X296" s="2"/>
      <c r="Y296" s="98"/>
    </row>
    <row r="297" spans="3:25" x14ac:dyDescent="0.2">
      <c r="C297" s="69"/>
      <c r="D297" s="96"/>
      <c r="E297" s="65"/>
      <c r="F297" s="66"/>
      <c r="G297" s="66"/>
      <c r="H297" s="66"/>
      <c r="K297">
        <v>1</v>
      </c>
      <c r="L297" s="44">
        <v>3.5875000000000172</v>
      </c>
      <c r="M297" s="44">
        <v>9.8296511736192826</v>
      </c>
      <c r="N297" s="44">
        <v>-6.5113262873397844</v>
      </c>
      <c r="O297" s="44">
        <v>0</v>
      </c>
      <c r="P297" s="2">
        <v>0</v>
      </c>
      <c r="Q297" s="2">
        <v>5.5763395236957116E-7</v>
      </c>
      <c r="R297" s="2">
        <v>-3.8852058209950804E-7</v>
      </c>
      <c r="T297" s="60"/>
      <c r="V297" s="2"/>
      <c r="W297" s="2"/>
      <c r="X297" s="2"/>
      <c r="Y297" s="98"/>
    </row>
    <row r="298" spans="3:25" x14ac:dyDescent="0.2">
      <c r="C298" s="70"/>
      <c r="D298" s="97"/>
      <c r="E298" s="29"/>
      <c r="F298" s="67"/>
      <c r="G298" s="67"/>
      <c r="H298" s="67"/>
      <c r="K298">
        <v>1</v>
      </c>
      <c r="L298" s="44">
        <v>3.6000000000000174</v>
      </c>
      <c r="M298" s="44">
        <v>9.9546511736192826</v>
      </c>
      <c r="N298" s="44">
        <v>-6.3876743976695494</v>
      </c>
      <c r="O298" s="44">
        <v>0</v>
      </c>
      <c r="P298" s="2">
        <v>0</v>
      </c>
      <c r="Q298" s="2">
        <v>5.5275711704404625E-7</v>
      </c>
      <c r="R298" s="2">
        <v>-3.9176271033972987E-7</v>
      </c>
      <c r="T298" s="60"/>
      <c r="V298" s="2"/>
      <c r="W298" s="2"/>
      <c r="X298" s="2"/>
      <c r="Y298" s="98"/>
    </row>
    <row r="299" spans="3:25" x14ac:dyDescent="0.2">
      <c r="C299" s="68"/>
      <c r="D299" s="95"/>
      <c r="E299" s="65"/>
      <c r="F299" s="66"/>
      <c r="G299" s="66"/>
      <c r="H299" s="66"/>
      <c r="K299">
        <v>1</v>
      </c>
      <c r="L299" s="44">
        <v>3.6125000000000176</v>
      </c>
      <c r="M299" s="44">
        <v>10.07965117361929</v>
      </c>
      <c r="N299" s="44">
        <v>-6.2624600079993087</v>
      </c>
      <c r="O299" s="44">
        <v>0</v>
      </c>
      <c r="P299" s="2">
        <v>0</v>
      </c>
      <c r="Q299" s="2">
        <v>5.4784014523853518E-7</v>
      </c>
      <c r="R299" s="2">
        <v>-3.9494228798996637E-7</v>
      </c>
      <c r="T299" s="60"/>
      <c r="V299" s="2"/>
      <c r="W299" s="2"/>
      <c r="X299" s="2"/>
      <c r="Y299" s="98"/>
    </row>
    <row r="300" spans="3:25" x14ac:dyDescent="0.2">
      <c r="C300" s="69"/>
      <c r="D300" s="96"/>
      <c r="E300" s="29"/>
      <c r="F300" s="67"/>
      <c r="G300" s="67"/>
      <c r="H300" s="67"/>
      <c r="K300">
        <v>1</v>
      </c>
      <c r="L300" s="44">
        <v>3.6250000000000178</v>
      </c>
      <c r="M300" s="44">
        <v>10.20465117361929</v>
      </c>
      <c r="N300" s="44">
        <v>-6.1356831183290623</v>
      </c>
      <c r="O300" s="44">
        <v>0</v>
      </c>
      <c r="P300" s="2">
        <v>0</v>
      </c>
      <c r="Q300" s="2">
        <v>5.4288382374443926E-7</v>
      </c>
      <c r="R300" s="2">
        <v>-3.9805852960594372E-7</v>
      </c>
      <c r="T300" s="60"/>
      <c r="V300" s="2"/>
      <c r="W300" s="2"/>
      <c r="X300" s="2"/>
      <c r="Y300" s="98"/>
    </row>
    <row r="301" spans="3:25" x14ac:dyDescent="0.2">
      <c r="C301" s="70"/>
      <c r="D301" s="97"/>
      <c r="E301" s="65"/>
      <c r="F301" s="66"/>
      <c r="G301" s="66"/>
      <c r="H301" s="66"/>
      <c r="K301">
        <v>1</v>
      </c>
      <c r="L301" s="44">
        <v>3.6375000000000179</v>
      </c>
      <c r="M301" s="44">
        <v>10.32965117361929</v>
      </c>
      <c r="N301" s="44">
        <v>-6.0073437286588103</v>
      </c>
      <c r="O301" s="44">
        <v>0</v>
      </c>
      <c r="P301" s="2">
        <v>0</v>
      </c>
      <c r="Q301" s="2">
        <v>5.3788894917121342E-7</v>
      </c>
      <c r="R301" s="2">
        <v>-4.0111064974339227E-7</v>
      </c>
      <c r="T301" s="60"/>
      <c r="V301" s="2"/>
      <c r="W301" s="2"/>
      <c r="X301" s="2"/>
      <c r="Y301" s="98"/>
    </row>
    <row r="302" spans="3:25" x14ac:dyDescent="0.2">
      <c r="C302" s="68"/>
      <c r="D302" s="95"/>
      <c r="E302" s="29"/>
      <c r="F302" s="67"/>
      <c r="G302" s="67"/>
      <c r="H302" s="67"/>
      <c r="K302">
        <v>1</v>
      </c>
      <c r="L302" s="44">
        <v>3.6500000000000181</v>
      </c>
      <c r="M302" s="44">
        <v>10.454651173619297</v>
      </c>
      <c r="N302" s="44">
        <v>-5.8774418389885703</v>
      </c>
      <c r="O302" s="44">
        <v>0</v>
      </c>
      <c r="P302" s="2">
        <v>0</v>
      </c>
      <c r="Q302" s="2">
        <v>5.3285632794636639E-7</v>
      </c>
      <c r="R302" s="2">
        <v>-4.0409786295803725E-7</v>
      </c>
      <c r="T302" s="60"/>
      <c r="V302" s="2"/>
      <c r="W302" s="2"/>
      <c r="X302" s="2"/>
      <c r="Y302" s="98"/>
    </row>
    <row r="303" spans="3:25" x14ac:dyDescent="0.2">
      <c r="C303" s="69"/>
      <c r="D303" s="96"/>
      <c r="E303" s="65"/>
      <c r="F303" s="66"/>
      <c r="G303" s="66"/>
      <c r="H303" s="66"/>
      <c r="K303">
        <v>1</v>
      </c>
      <c r="L303" s="44">
        <v>3.6625000000000183</v>
      </c>
      <c r="M303" s="44">
        <v>10.579651173619297</v>
      </c>
      <c r="N303" s="44">
        <v>-5.7459774493183353</v>
      </c>
      <c r="O303" s="44">
        <v>0</v>
      </c>
      <c r="P303" s="2">
        <v>0</v>
      </c>
      <c r="Q303" s="2">
        <v>5.2778677631545905E-7</v>
      </c>
      <c r="R303" s="2">
        <v>-4.0701938380560593E-7</v>
      </c>
      <c r="T303" s="60"/>
      <c r="V303" s="2"/>
      <c r="W303" s="2"/>
      <c r="X303" s="2"/>
      <c r="Y303" s="98"/>
    </row>
    <row r="304" spans="3:25" x14ac:dyDescent="0.2">
      <c r="C304" s="70"/>
      <c r="D304" s="97"/>
      <c r="E304" s="29"/>
      <c r="F304" s="67"/>
      <c r="G304" s="67"/>
      <c r="H304" s="67"/>
      <c r="K304">
        <v>1</v>
      </c>
      <c r="L304" s="44">
        <v>3.6750000000000185</v>
      </c>
      <c r="M304" s="44">
        <v>10.704651173619297</v>
      </c>
      <c r="N304" s="44">
        <v>-5.6129505596480946</v>
      </c>
      <c r="O304" s="44">
        <v>0</v>
      </c>
      <c r="P304" s="2">
        <v>0</v>
      </c>
      <c r="Q304" s="2">
        <v>5.2268112034210761E-7</v>
      </c>
      <c r="R304" s="2">
        <v>-4.0987442684182758E-7</v>
      </c>
      <c r="T304" s="60"/>
      <c r="V304" s="2"/>
      <c r="W304" s="2"/>
      <c r="X304" s="2"/>
      <c r="Y304" s="98"/>
    </row>
    <row r="305" spans="3:25" x14ac:dyDescent="0.2">
      <c r="C305" s="68"/>
      <c r="D305" s="95"/>
      <c r="E305" s="65"/>
      <c r="F305" s="66"/>
      <c r="G305" s="66"/>
      <c r="H305" s="66"/>
      <c r="K305">
        <v>1</v>
      </c>
      <c r="L305" s="44">
        <v>3.6875000000000187</v>
      </c>
      <c r="M305" s="44">
        <v>10.829651173619297</v>
      </c>
      <c r="N305" s="44">
        <v>-5.4783611699778483</v>
      </c>
      <c r="O305" s="44">
        <v>0</v>
      </c>
      <c r="P305" s="2">
        <v>0</v>
      </c>
      <c r="Q305" s="2">
        <v>5.1754019590797901E-7</v>
      </c>
      <c r="R305" s="2">
        <v>-4.1266220662242945E-7</v>
      </c>
      <c r="T305" s="60"/>
      <c r="V305" s="2"/>
      <c r="W305" s="2"/>
      <c r="X305" s="2"/>
      <c r="Y305" s="98"/>
    </row>
    <row r="306" spans="3:25" x14ac:dyDescent="0.2">
      <c r="C306" s="69"/>
      <c r="D306" s="96"/>
      <c r="E306" s="29"/>
      <c r="F306" s="67"/>
      <c r="G306" s="67"/>
      <c r="H306" s="67"/>
      <c r="K306">
        <v>1</v>
      </c>
      <c r="L306" s="44">
        <v>3.7000000000000188</v>
      </c>
      <c r="M306" s="44">
        <v>10.954651173619297</v>
      </c>
      <c r="N306" s="44">
        <v>-5.3422092803075962</v>
      </c>
      <c r="O306" s="44">
        <v>0</v>
      </c>
      <c r="P306" s="2">
        <v>0</v>
      </c>
      <c r="Q306" s="2">
        <v>5.1236484871279625E-7</v>
      </c>
      <c r="R306" s="2">
        <v>-4.153819377031385E-7</v>
      </c>
      <c r="T306" s="60"/>
      <c r="V306" s="2"/>
      <c r="W306" s="2"/>
      <c r="X306" s="2"/>
      <c r="Y306" s="98"/>
    </row>
    <row r="307" spans="3:25" x14ac:dyDescent="0.2">
      <c r="C307" s="70"/>
      <c r="D307" s="97"/>
      <c r="E307" s="65"/>
      <c r="F307" s="66"/>
      <c r="G307" s="66"/>
      <c r="H307" s="66"/>
      <c r="K307">
        <v>1</v>
      </c>
      <c r="L307" s="44">
        <v>3.712500000000019</v>
      </c>
      <c r="M307" s="44">
        <v>11.079651173619304</v>
      </c>
      <c r="N307" s="44">
        <v>-5.2044948906373563</v>
      </c>
      <c r="O307" s="44">
        <v>0</v>
      </c>
      <c r="P307" s="2">
        <v>0</v>
      </c>
      <c r="Q307" s="2">
        <v>5.0715593427433302E-7</v>
      </c>
      <c r="R307" s="2">
        <v>-4.1803283463968283E-7</v>
      </c>
      <c r="T307" s="60"/>
      <c r="V307" s="2"/>
      <c r="W307" s="2"/>
      <c r="X307" s="2"/>
      <c r="Y307" s="98"/>
    </row>
    <row r="308" spans="3:25" x14ac:dyDescent="0.2">
      <c r="C308" s="68"/>
      <c r="D308" s="95"/>
      <c r="E308" s="29"/>
      <c r="F308" s="67"/>
      <c r="G308" s="67"/>
      <c r="H308" s="67"/>
      <c r="K308">
        <v>1</v>
      </c>
      <c r="L308" s="44">
        <v>3.7250000000000192</v>
      </c>
      <c r="M308" s="44">
        <v>11.204651173619304</v>
      </c>
      <c r="N308" s="44">
        <v>-5.0652180009671071</v>
      </c>
      <c r="O308" s="44">
        <v>0</v>
      </c>
      <c r="P308" s="2">
        <v>0</v>
      </c>
      <c r="Q308" s="2">
        <v>5.0191431792842198E-7</v>
      </c>
      <c r="R308" s="2">
        <v>-4.206141119877897E-7</v>
      </c>
      <c r="T308" s="60"/>
      <c r="V308" s="2"/>
      <c r="W308" s="2"/>
      <c r="X308" s="2"/>
      <c r="Y308" s="98"/>
    </row>
    <row r="309" spans="3:25" x14ac:dyDescent="0.2">
      <c r="C309" s="69"/>
      <c r="D309" s="96"/>
      <c r="E309" s="65"/>
      <c r="F309" s="66"/>
      <c r="G309" s="66"/>
      <c r="H309" s="66"/>
      <c r="K309">
        <v>1</v>
      </c>
      <c r="L309" s="44">
        <v>3.7375000000000194</v>
      </c>
      <c r="M309" s="44">
        <v>11.329651173619304</v>
      </c>
      <c r="N309" s="44">
        <v>-4.9243786112968664</v>
      </c>
      <c r="O309" s="44">
        <v>0</v>
      </c>
      <c r="P309" s="2">
        <v>0</v>
      </c>
      <c r="Q309" s="2">
        <v>4.966408748289421E-7</v>
      </c>
      <c r="R309" s="2">
        <v>-4.2312498430318668E-7</v>
      </c>
      <c r="T309" s="60"/>
      <c r="V309" s="2"/>
      <c r="W309" s="2"/>
      <c r="X309" s="2"/>
      <c r="Y309" s="98"/>
    </row>
    <row r="310" spans="3:25" x14ac:dyDescent="0.2">
      <c r="C310" s="70"/>
      <c r="D310" s="97"/>
      <c r="E310" s="29"/>
      <c r="F310" s="67"/>
      <c r="G310" s="67"/>
      <c r="H310" s="67"/>
      <c r="K310">
        <v>1</v>
      </c>
      <c r="L310" s="44">
        <v>3.7500000000000195</v>
      </c>
      <c r="M310" s="44">
        <v>11.454651173619311</v>
      </c>
      <c r="N310" s="44">
        <v>-4.7819767216266342</v>
      </c>
      <c r="O310" s="44">
        <v>0</v>
      </c>
      <c r="P310" s="2">
        <v>0</v>
      </c>
      <c r="Q310" s="2">
        <v>4.913364899478291E-7</v>
      </c>
      <c r="R310" s="2">
        <v>-4.2556466614160045E-7</v>
      </c>
      <c r="T310" s="60"/>
      <c r="V310" s="2"/>
      <c r="W310" s="2"/>
      <c r="X310" s="2"/>
      <c r="Y310" s="98"/>
    </row>
    <row r="311" spans="3:25" x14ac:dyDescent="0.2">
      <c r="C311" s="68"/>
      <c r="D311" s="95"/>
      <c r="E311" s="65"/>
      <c r="F311" s="66"/>
      <c r="G311" s="66"/>
      <c r="H311" s="66"/>
      <c r="K311">
        <v>1</v>
      </c>
      <c r="L311" s="44">
        <v>3.7625000000000197</v>
      </c>
      <c r="M311" s="44">
        <v>11.579651173619311</v>
      </c>
      <c r="N311" s="44">
        <v>-4.6380123319563822</v>
      </c>
      <c r="O311" s="44">
        <v>0</v>
      </c>
      <c r="P311" s="2">
        <v>0</v>
      </c>
      <c r="Q311" s="2">
        <v>4.8600205807507394E-7</v>
      </c>
      <c r="R311" s="2">
        <v>-4.2793237205876203E-7</v>
      </c>
      <c r="T311" s="60"/>
      <c r="V311" s="2"/>
      <c r="W311" s="2"/>
      <c r="X311" s="2"/>
      <c r="Y311" s="98"/>
    </row>
    <row r="312" spans="3:25" x14ac:dyDescent="0.2">
      <c r="C312" s="69"/>
      <c r="D312" s="96"/>
      <c r="E312" s="29"/>
      <c r="F312" s="67"/>
      <c r="G312" s="67"/>
      <c r="H312" s="67"/>
      <c r="K312">
        <v>1</v>
      </c>
      <c r="L312" s="44">
        <v>3.7750000000000199</v>
      </c>
      <c r="M312" s="44">
        <v>11.704651173619311</v>
      </c>
      <c r="N312" s="44">
        <v>-4.4924854422861422</v>
      </c>
      <c r="O312" s="44">
        <v>0</v>
      </c>
      <c r="P312" s="2">
        <v>0</v>
      </c>
      <c r="Q312" s="2">
        <v>4.8063848381871647E-7</v>
      </c>
      <c r="R312" s="2">
        <v>-4.3022731661039414E-7</v>
      </c>
      <c r="T312" s="60"/>
      <c r="V312" s="2"/>
      <c r="W312" s="2"/>
      <c r="X312" s="2"/>
      <c r="Y312" s="98"/>
    </row>
    <row r="313" spans="3:25" x14ac:dyDescent="0.2">
      <c r="C313" s="70"/>
      <c r="D313" s="97"/>
      <c r="E313" s="65"/>
      <c r="F313" s="66"/>
      <c r="G313" s="66"/>
      <c r="H313" s="66"/>
      <c r="K313">
        <v>1</v>
      </c>
      <c r="L313" s="44">
        <v>3.7875000000000201</v>
      </c>
      <c r="M313" s="44">
        <v>11.829651173619311</v>
      </c>
      <c r="N313" s="44">
        <v>-4.3453960526159072</v>
      </c>
      <c r="O313" s="44">
        <v>0</v>
      </c>
      <c r="P313" s="2">
        <v>0</v>
      </c>
      <c r="Q313" s="2">
        <v>4.7524668160485554E-7</v>
      </c>
      <c r="R313" s="2">
        <v>-4.3244871435222767E-7</v>
      </c>
      <c r="T313" s="60"/>
      <c r="V313" s="2"/>
      <c r="W313" s="2"/>
      <c r="X313" s="2"/>
      <c r="Y313" s="98"/>
    </row>
    <row r="314" spans="3:25" x14ac:dyDescent="0.2">
      <c r="C314" s="68"/>
      <c r="D314" s="95"/>
      <c r="E314" s="29"/>
      <c r="F314" s="67"/>
      <c r="G314" s="67"/>
      <c r="H314" s="67"/>
      <c r="K314">
        <v>1</v>
      </c>
      <c r="L314" s="44">
        <v>3.8000000000000203</v>
      </c>
      <c r="M314" s="44">
        <v>11.954651173619311</v>
      </c>
      <c r="N314" s="44">
        <v>-4.1967441629456523</v>
      </c>
      <c r="O314" s="44">
        <v>0</v>
      </c>
      <c r="P314" s="2">
        <v>0</v>
      </c>
      <c r="Q314" s="2">
        <v>4.6982757567763754E-7</v>
      </c>
      <c r="R314" s="2">
        <v>-4.3459577983998958E-7</v>
      </c>
      <c r="T314" s="60"/>
      <c r="V314" s="2"/>
      <c r="W314" s="2"/>
      <c r="X314" s="2"/>
      <c r="Y314" s="98"/>
    </row>
    <row r="315" spans="3:25" x14ac:dyDescent="0.2">
      <c r="C315" s="69"/>
      <c r="D315" s="96"/>
      <c r="E315" s="65"/>
      <c r="F315" s="66"/>
      <c r="G315" s="66"/>
      <c r="H315" s="66"/>
      <c r="K315">
        <v>1</v>
      </c>
      <c r="L315" s="44">
        <v>3.8125000000000204</v>
      </c>
      <c r="M315" s="44">
        <v>12.079651173619318</v>
      </c>
      <c r="N315" s="44">
        <v>-4.046529773275406</v>
      </c>
      <c r="O315" s="44">
        <v>0</v>
      </c>
      <c r="P315" s="2">
        <v>0</v>
      </c>
      <c r="Q315" s="2">
        <v>4.6438210009926445E-7</v>
      </c>
      <c r="R315" s="2">
        <v>-4.366677276294077E-7</v>
      </c>
      <c r="T315" s="60"/>
      <c r="V315" s="2"/>
      <c r="W315" s="2"/>
      <c r="X315" s="2"/>
      <c r="Y315" s="98"/>
    </row>
    <row r="316" spans="3:25" x14ac:dyDescent="0.2">
      <c r="C316" s="70"/>
      <c r="D316" s="97"/>
      <c r="E316" s="29"/>
      <c r="F316" s="67"/>
      <c r="G316" s="67"/>
      <c r="H316" s="67"/>
      <c r="K316">
        <v>1</v>
      </c>
      <c r="L316" s="44">
        <v>3.8250000000000206</v>
      </c>
      <c r="M316" s="44">
        <v>12.204651173619318</v>
      </c>
      <c r="N316" s="44">
        <v>-3.8947528836051681</v>
      </c>
      <c r="O316" s="44">
        <v>0</v>
      </c>
      <c r="P316" s="2">
        <v>0</v>
      </c>
      <c r="Q316" s="2">
        <v>4.5891119874999503E-7</v>
      </c>
      <c r="R316" s="2">
        <v>-4.3866377227620792E-7</v>
      </c>
      <c r="T316" s="60"/>
      <c r="V316" s="2"/>
      <c r="W316" s="2"/>
      <c r="X316" s="2"/>
      <c r="Y316" s="98"/>
    </row>
    <row r="317" spans="3:25" x14ac:dyDescent="0.2">
      <c r="C317" s="68"/>
      <c r="D317" s="95"/>
      <c r="E317" s="65"/>
      <c r="F317" s="66"/>
      <c r="G317" s="66"/>
      <c r="H317" s="66"/>
      <c r="K317">
        <v>1</v>
      </c>
      <c r="L317" s="44">
        <v>3.8375000000000208</v>
      </c>
      <c r="M317" s="44">
        <v>12.329651173619318</v>
      </c>
      <c r="N317" s="44">
        <v>-3.741413493934914</v>
      </c>
      <c r="O317" s="44">
        <v>0</v>
      </c>
      <c r="P317" s="2">
        <v>0</v>
      </c>
      <c r="Q317" s="2">
        <v>4.5341582532813859E-7</v>
      </c>
      <c r="R317" s="2">
        <v>-4.4058312833611978E-7</v>
      </c>
      <c r="T317" s="60"/>
      <c r="V317" s="2"/>
      <c r="W317" s="2"/>
      <c r="X317" s="2"/>
      <c r="Y317" s="98"/>
    </row>
    <row r="318" spans="3:25" x14ac:dyDescent="0.2">
      <c r="C318" s="69"/>
      <c r="D318" s="96"/>
      <c r="E318" s="29"/>
      <c r="F318" s="67"/>
      <c r="G318" s="67"/>
      <c r="H318" s="67"/>
      <c r="K318">
        <v>1</v>
      </c>
      <c r="L318" s="44">
        <v>3.850000000000021</v>
      </c>
      <c r="M318" s="44">
        <v>12.454651173619325</v>
      </c>
      <c r="N318" s="44">
        <v>-3.586511604264679</v>
      </c>
      <c r="O318" s="44">
        <v>0</v>
      </c>
      <c r="P318" s="2">
        <v>0</v>
      </c>
      <c r="Q318" s="2">
        <v>4.478969433500549E-7</v>
      </c>
      <c r="R318" s="2">
        <v>-4.4242501036486916E-7</v>
      </c>
      <c r="T318" s="60"/>
      <c r="V318" s="2"/>
      <c r="W318" s="2"/>
      <c r="X318" s="2"/>
      <c r="Y318" s="98"/>
    </row>
    <row r="319" spans="3:25" x14ac:dyDescent="0.2">
      <c r="C319" s="70"/>
      <c r="D319" s="97"/>
      <c r="E319" s="65"/>
      <c r="F319" s="66"/>
      <c r="G319" s="66"/>
      <c r="H319" s="66"/>
      <c r="K319">
        <v>1</v>
      </c>
      <c r="L319" s="44">
        <v>3.8625000000000211</v>
      </c>
      <c r="M319" s="44">
        <v>12.579651173619325</v>
      </c>
      <c r="N319" s="44">
        <v>-3.4300472145944383</v>
      </c>
      <c r="O319" s="44">
        <v>0</v>
      </c>
      <c r="P319" s="2">
        <v>0</v>
      </c>
      <c r="Q319" s="2">
        <v>4.4235552615016324E-7</v>
      </c>
      <c r="R319" s="2">
        <v>-4.4418863291818501E-7</v>
      </c>
      <c r="T319" s="60"/>
      <c r="V319" s="2"/>
      <c r="W319" s="2"/>
      <c r="X319" s="2"/>
      <c r="Y319" s="98"/>
    </row>
    <row r="320" spans="3:25" x14ac:dyDescent="0.2">
      <c r="C320" s="68"/>
      <c r="D320" s="95"/>
      <c r="E320" s="29"/>
      <c r="F320" s="67"/>
      <c r="G320" s="67"/>
      <c r="H320" s="67"/>
      <c r="K320">
        <v>1</v>
      </c>
      <c r="L320" s="44">
        <v>3.8750000000000213</v>
      </c>
      <c r="M320" s="44">
        <v>12.704651173619325</v>
      </c>
      <c r="N320" s="44">
        <v>-3.2720203249241919</v>
      </c>
      <c r="O320" s="44">
        <v>0</v>
      </c>
      <c r="P320" s="2">
        <v>0</v>
      </c>
      <c r="Q320" s="2">
        <v>4.3679255688093305E-7</v>
      </c>
      <c r="R320" s="2">
        <v>-4.4587321055179544E-7</v>
      </c>
      <c r="T320" s="60"/>
      <c r="V320" s="2"/>
      <c r="W320" s="2"/>
      <c r="X320" s="2"/>
      <c r="Y320" s="98"/>
    </row>
    <row r="321" spans="3:25" x14ac:dyDescent="0.2">
      <c r="C321" s="69"/>
      <c r="D321" s="96"/>
      <c r="E321" s="65"/>
      <c r="F321" s="66"/>
      <c r="G321" s="66"/>
      <c r="H321" s="66"/>
      <c r="K321">
        <v>1</v>
      </c>
      <c r="L321" s="44">
        <v>3.8875000000000215</v>
      </c>
      <c r="M321" s="44">
        <v>12.829651173619325</v>
      </c>
      <c r="N321" s="44">
        <v>-3.1124309352539399</v>
      </c>
      <c r="O321" s="44">
        <v>0</v>
      </c>
      <c r="P321" s="2">
        <v>0</v>
      </c>
      <c r="Q321" s="2">
        <v>4.3120902851288494E-7</v>
      </c>
      <c r="R321" s="2">
        <v>-4.4747795782142675E-7</v>
      </c>
      <c r="T321" s="60"/>
      <c r="V321" s="2"/>
      <c r="W321" s="2"/>
      <c r="X321" s="2"/>
      <c r="Y321" s="98"/>
    </row>
    <row r="322" spans="3:25" x14ac:dyDescent="0.2">
      <c r="C322" s="70"/>
      <c r="D322" s="97"/>
      <c r="E322" s="29"/>
      <c r="F322" s="67"/>
      <c r="G322" s="67"/>
      <c r="H322" s="67"/>
      <c r="K322">
        <v>1</v>
      </c>
      <c r="L322" s="44">
        <v>3.9000000000000217</v>
      </c>
      <c r="M322" s="44">
        <v>12.954651173619325</v>
      </c>
      <c r="N322" s="44">
        <v>-2.9512790455836999</v>
      </c>
      <c r="O322" s="44">
        <v>0</v>
      </c>
      <c r="P322" s="2">
        <v>0</v>
      </c>
      <c r="Q322" s="2">
        <v>4.2560594383459746E-7</v>
      </c>
      <c r="R322" s="2">
        <v>-4.4900208928280627E-7</v>
      </c>
      <c r="T322" s="60"/>
      <c r="V322" s="2"/>
      <c r="W322" s="2"/>
      <c r="X322" s="2"/>
      <c r="Y322" s="98"/>
    </row>
    <row r="323" spans="3:25" x14ac:dyDescent="0.2">
      <c r="C323" s="68"/>
      <c r="D323" s="95"/>
      <c r="E323" s="65"/>
      <c r="F323" s="66"/>
      <c r="G323" s="66"/>
      <c r="H323" s="66"/>
      <c r="K323">
        <v>1</v>
      </c>
      <c r="L323" s="44">
        <v>3.9125000000000218</v>
      </c>
      <c r="M323" s="44">
        <v>13.079651173619332</v>
      </c>
      <c r="N323" s="44">
        <v>-2.7885646559134507</v>
      </c>
      <c r="O323" s="44">
        <v>0</v>
      </c>
      <c r="P323" s="2">
        <v>0</v>
      </c>
      <c r="Q323" s="2">
        <v>4.1998431545269984E-7</v>
      </c>
      <c r="R323" s="2">
        <v>-4.5044481949166272E-7</v>
      </c>
      <c r="T323" s="60"/>
      <c r="V323" s="2"/>
      <c r="W323" s="2"/>
      <c r="X323" s="2"/>
      <c r="Y323" s="98"/>
    </row>
    <row r="324" spans="3:25" x14ac:dyDescent="0.2">
      <c r="C324" s="69"/>
      <c r="D324" s="96"/>
      <c r="E324" s="29"/>
      <c r="F324" s="67"/>
      <c r="G324" s="67"/>
      <c r="H324" s="67"/>
      <c r="K324">
        <v>1</v>
      </c>
      <c r="L324" s="44">
        <v>3.925000000000022</v>
      </c>
      <c r="M324" s="44">
        <v>13.204651173619332</v>
      </c>
      <c r="N324" s="44">
        <v>-2.62428776624321</v>
      </c>
      <c r="O324" s="44">
        <v>0</v>
      </c>
      <c r="P324" s="2">
        <v>0</v>
      </c>
      <c r="Q324" s="2">
        <v>4.14345165791876E-7</v>
      </c>
      <c r="R324" s="2">
        <v>-4.5180536300372338E-7</v>
      </c>
      <c r="T324" s="60"/>
      <c r="V324" s="2"/>
      <c r="W324" s="2"/>
      <c r="X324" s="2"/>
      <c r="Y324" s="98"/>
    </row>
    <row r="325" spans="3:25" x14ac:dyDescent="0.2">
      <c r="C325" s="70"/>
      <c r="D325" s="97"/>
      <c r="E325" s="65"/>
      <c r="F325" s="66"/>
      <c r="G325" s="66"/>
      <c r="H325" s="66"/>
      <c r="K325">
        <v>1</v>
      </c>
      <c r="L325" s="44">
        <v>3.9375000000000222</v>
      </c>
      <c r="M325" s="44">
        <v>13.329651173619332</v>
      </c>
      <c r="N325" s="44">
        <v>-2.4584483765729779</v>
      </c>
      <c r="O325" s="44">
        <v>0</v>
      </c>
      <c r="P325" s="2">
        <v>0</v>
      </c>
      <c r="Q325" s="2">
        <v>4.0868952709486183E-7</v>
      </c>
      <c r="R325" s="2">
        <v>-4.5308293437471454E-7</v>
      </c>
      <c r="T325" s="60"/>
      <c r="V325" s="2"/>
      <c r="W325" s="2"/>
      <c r="X325" s="2"/>
      <c r="Y325" s="98"/>
    </row>
    <row r="326" spans="3:25" x14ac:dyDescent="0.2">
      <c r="C326" s="68"/>
      <c r="D326" s="95"/>
      <c r="E326" s="29"/>
      <c r="F326" s="67"/>
      <c r="G326" s="67"/>
      <c r="H326" s="67"/>
      <c r="K326">
        <v>1</v>
      </c>
      <c r="L326" s="44">
        <v>3.9500000000000224</v>
      </c>
      <c r="M326" s="44">
        <v>13.454651173619339</v>
      </c>
      <c r="N326" s="44">
        <v>-2.2910464869027258</v>
      </c>
      <c r="O326" s="44">
        <v>0</v>
      </c>
      <c r="P326" s="2">
        <v>0</v>
      </c>
      <c r="Q326" s="2">
        <v>4.0301844142244654E-7</v>
      </c>
      <c r="R326" s="2">
        <v>-4.5427674816036549E-7</v>
      </c>
      <c r="T326" s="60"/>
      <c r="V326" s="2"/>
      <c r="W326" s="2"/>
      <c r="X326" s="2"/>
      <c r="Y326" s="98"/>
    </row>
    <row r="327" spans="3:25" x14ac:dyDescent="0.2">
      <c r="C327" s="69"/>
      <c r="D327" s="96"/>
      <c r="E327" s="65"/>
      <c r="F327" s="66"/>
      <c r="G327" s="66"/>
      <c r="H327" s="66"/>
      <c r="K327">
        <v>1</v>
      </c>
      <c r="L327" s="44">
        <v>3.9625000000000226</v>
      </c>
      <c r="M327" s="44">
        <v>13.579651173619339</v>
      </c>
      <c r="N327" s="44">
        <v>-2.1220820972324859</v>
      </c>
      <c r="O327" s="44">
        <v>0</v>
      </c>
      <c r="P327" s="2">
        <v>0</v>
      </c>
      <c r="Q327" s="2">
        <v>3.9733296065347487E-7</v>
      </c>
      <c r="R327" s="2">
        <v>-4.5538601891640347E-7</v>
      </c>
      <c r="T327" s="60"/>
      <c r="V327" s="2"/>
      <c r="W327" s="2"/>
      <c r="X327" s="2"/>
      <c r="Y327" s="98"/>
    </row>
    <row r="328" spans="3:25" x14ac:dyDescent="0.2">
      <c r="C328" s="70"/>
      <c r="D328" s="97"/>
      <c r="E328" s="29"/>
      <c r="F328" s="67"/>
      <c r="G328" s="67"/>
      <c r="H328" s="67"/>
      <c r="K328">
        <v>1</v>
      </c>
      <c r="L328" s="44">
        <v>3.9750000000000227</v>
      </c>
      <c r="M328" s="44">
        <v>13.704651173619339</v>
      </c>
      <c r="N328" s="44">
        <v>-1.9515552075622367</v>
      </c>
      <c r="O328" s="44">
        <v>0</v>
      </c>
      <c r="P328" s="2">
        <v>0</v>
      </c>
      <c r="Q328" s="2">
        <v>3.916341464848455E-7</v>
      </c>
      <c r="R328" s="2">
        <v>-4.5640996119855608E-7</v>
      </c>
      <c r="T328" s="60"/>
      <c r="V328" s="2"/>
      <c r="W328" s="2"/>
      <c r="X328" s="2"/>
      <c r="Y328" s="98"/>
    </row>
    <row r="329" spans="3:25" x14ac:dyDescent="0.2">
      <c r="C329" s="68"/>
      <c r="D329" s="95"/>
      <c r="E329" s="65"/>
      <c r="F329" s="66"/>
      <c r="G329" s="66"/>
      <c r="H329" s="66"/>
      <c r="K329">
        <v>1</v>
      </c>
      <c r="L329" s="44">
        <v>3.9875000000000229</v>
      </c>
      <c r="M329" s="44">
        <v>13.829651173619339</v>
      </c>
      <c r="N329" s="44">
        <v>-1.779465817891996</v>
      </c>
      <c r="O329" s="44">
        <v>0</v>
      </c>
      <c r="P329" s="2">
        <v>0</v>
      </c>
      <c r="Q329" s="2">
        <v>3.8592307043150492E-7</v>
      </c>
      <c r="R329" s="2">
        <v>-4.5734778956254997E-7</v>
      </c>
      <c r="T329" s="60"/>
      <c r="V329" s="2"/>
      <c r="W329" s="2"/>
      <c r="X329" s="2"/>
      <c r="Y329" s="98"/>
    </row>
    <row r="330" spans="3:25" x14ac:dyDescent="0.2">
      <c r="C330" s="69"/>
      <c r="D330" s="96"/>
      <c r="E330" s="29"/>
      <c r="F330" s="67"/>
      <c r="G330" s="67"/>
      <c r="H330" s="67"/>
      <c r="K330">
        <v>1</v>
      </c>
      <c r="L330" s="44">
        <v>4.0000000000000231</v>
      </c>
      <c r="M330" s="44">
        <v>13.954651173619339</v>
      </c>
      <c r="N330" s="44">
        <v>-1.6058139282217496</v>
      </c>
      <c r="O330" s="44">
        <v>0</v>
      </c>
      <c r="P330" s="2">
        <v>0</v>
      </c>
      <c r="Q330" s="2">
        <v>3.80200813826457E-7</v>
      </c>
      <c r="R330" s="2">
        <v>-4.5819871856411279E-7</v>
      </c>
      <c r="T330" s="60"/>
      <c r="V330" s="2"/>
      <c r="W330" s="2"/>
      <c r="X330" s="2"/>
      <c r="Y330" s="98"/>
    </row>
    <row r="331" spans="3:25" x14ac:dyDescent="0.2">
      <c r="C331" s="70"/>
      <c r="D331" s="97"/>
      <c r="E331" s="65"/>
      <c r="F331" s="66"/>
      <c r="G331" s="66"/>
      <c r="H331" s="66"/>
      <c r="K331">
        <v>1</v>
      </c>
      <c r="L331" s="44">
        <v>4.0125000000000233</v>
      </c>
      <c r="M331" s="44">
        <v>14.079651173619347</v>
      </c>
      <c r="N331" s="44">
        <v>-1.4305995385515118</v>
      </c>
      <c r="O331" s="44">
        <v>0</v>
      </c>
      <c r="P331" s="2">
        <v>0</v>
      </c>
      <c r="Q331" s="2">
        <v>3.7446846782076189E-7</v>
      </c>
      <c r="R331" s="2">
        <v>-4.5896196275897349E-7</v>
      </c>
      <c r="T331" s="60"/>
      <c r="V331" s="2"/>
      <c r="W331" s="2"/>
      <c r="X331" s="2"/>
      <c r="Y331" s="98"/>
    </row>
    <row r="332" spans="3:25" x14ac:dyDescent="0.2">
      <c r="C332" s="68"/>
      <c r="D332" s="95"/>
      <c r="E332" s="29"/>
      <c r="F332" s="67"/>
      <c r="G332" s="67"/>
      <c r="H332" s="67"/>
      <c r="K332">
        <v>1</v>
      </c>
      <c r="L332" s="44">
        <v>4.0250000000000234</v>
      </c>
      <c r="M332" s="44">
        <v>14.204651173619347</v>
      </c>
      <c r="N332" s="44">
        <v>-1.2538226488812718</v>
      </c>
      <c r="O332" s="44">
        <v>0</v>
      </c>
      <c r="P332" s="2">
        <v>0</v>
      </c>
      <c r="Q332" s="2">
        <v>3.6872713338352892E-7</v>
      </c>
      <c r="R332" s="2">
        <v>-4.5963673670285843E-7</v>
      </c>
      <c r="T332" s="60"/>
      <c r="V332" s="2"/>
      <c r="W332" s="2"/>
      <c r="X332" s="2"/>
      <c r="Y332" s="98"/>
    </row>
    <row r="333" spans="3:25" x14ac:dyDescent="0.2">
      <c r="C333" s="69"/>
      <c r="D333" s="96"/>
      <c r="E333" s="65"/>
      <c r="F333" s="66"/>
      <c r="G333" s="66"/>
      <c r="H333" s="66"/>
      <c r="K333">
        <v>1</v>
      </c>
      <c r="L333" s="44">
        <v>4.0375000000000236</v>
      </c>
      <c r="M333" s="44">
        <v>14.329651173619347</v>
      </c>
      <c r="N333" s="44">
        <v>-1.0754832592110226</v>
      </c>
      <c r="O333" s="44">
        <v>0</v>
      </c>
      <c r="P333" s="2">
        <v>0</v>
      </c>
      <c r="Q333" s="2">
        <v>3.6297792130192189E-7</v>
      </c>
      <c r="R333" s="2">
        <v>-4.6022225495149683E-7</v>
      </c>
      <c r="T333" s="60"/>
      <c r="V333" s="2"/>
      <c r="W333" s="2"/>
      <c r="X333" s="2"/>
      <c r="Y333" s="98"/>
    </row>
    <row r="334" spans="3:25" x14ac:dyDescent="0.2">
      <c r="C334" s="70"/>
      <c r="D334" s="97"/>
      <c r="E334" s="29"/>
      <c r="F334" s="67"/>
      <c r="G334" s="67"/>
      <c r="H334" s="67"/>
      <c r="K334">
        <v>1</v>
      </c>
      <c r="L334" s="44">
        <v>4.0500000000000238</v>
      </c>
      <c r="M334" s="44">
        <v>14.454651173619354</v>
      </c>
      <c r="N334" s="44">
        <v>-0.89558136954078194</v>
      </c>
      <c r="O334" s="44">
        <v>0</v>
      </c>
      <c r="P334" s="2">
        <v>0</v>
      </c>
      <c r="Q334" s="2">
        <v>3.5722195218115679E-7</v>
      </c>
      <c r="R334" s="2">
        <v>-4.6071773206061309E-7</v>
      </c>
      <c r="T334" s="60"/>
      <c r="V334" s="2"/>
      <c r="W334" s="2"/>
      <c r="X334" s="2"/>
      <c r="Y334" s="98"/>
    </row>
    <row r="335" spans="3:25" x14ac:dyDescent="0.2">
      <c r="C335" s="68"/>
      <c r="D335" s="95"/>
      <c r="E335" s="65"/>
      <c r="F335" s="66"/>
      <c r="G335" s="66"/>
      <c r="H335" s="66"/>
      <c r="K335">
        <v>1</v>
      </c>
      <c r="L335" s="44">
        <v>4.062500000000024</v>
      </c>
      <c r="M335" s="44">
        <v>14.579651173619354</v>
      </c>
      <c r="N335" s="44">
        <v>-0.71411697987052136</v>
      </c>
      <c r="O335" s="44">
        <v>0</v>
      </c>
      <c r="P335" s="2">
        <v>0</v>
      </c>
      <c r="Q335" s="2">
        <v>3.5146035644450338E-7</v>
      </c>
      <c r="R335" s="2">
        <v>-4.611223825859388E-7</v>
      </c>
      <c r="T335" s="60"/>
      <c r="V335" s="2"/>
      <c r="W335" s="2"/>
      <c r="X335" s="2"/>
      <c r="Y335" s="98"/>
    </row>
    <row r="336" spans="3:25" x14ac:dyDescent="0.2">
      <c r="C336" s="69"/>
      <c r="D336" s="96"/>
      <c r="E336" s="29"/>
      <c r="F336" s="67"/>
      <c r="G336" s="67"/>
      <c r="H336" s="67"/>
      <c r="K336">
        <v>1</v>
      </c>
      <c r="L336" s="44">
        <v>4.0750000000000242</v>
      </c>
      <c r="M336" s="44">
        <v>14.704651173619354</v>
      </c>
      <c r="N336" s="44">
        <v>-0.53109009020028708</v>
      </c>
      <c r="O336" s="44">
        <v>0</v>
      </c>
      <c r="P336" s="2">
        <v>0</v>
      </c>
      <c r="Q336" s="2">
        <v>3.4569427433329017E-7</v>
      </c>
      <c r="R336" s="2">
        <v>-4.6143542108319779E-7</v>
      </c>
      <c r="T336" s="60"/>
      <c r="V336" s="2"/>
      <c r="W336" s="2"/>
      <c r="X336" s="2"/>
      <c r="Y336" s="98"/>
    </row>
    <row r="337" spans="3:25" x14ac:dyDescent="0.2">
      <c r="C337" s="70"/>
      <c r="D337" s="97"/>
      <c r="E337" s="65"/>
      <c r="F337" s="66"/>
      <c r="G337" s="66"/>
      <c r="H337" s="66"/>
      <c r="K337">
        <v>1</v>
      </c>
      <c r="L337" s="44">
        <v>4.0875000000000243</v>
      </c>
      <c r="M337" s="44">
        <v>14.829651173619354</v>
      </c>
      <c r="N337" s="44">
        <v>-0.34650070053004356</v>
      </c>
      <c r="O337" s="44">
        <v>0</v>
      </c>
      <c r="P337" s="2">
        <v>0</v>
      </c>
      <c r="Q337" s="2">
        <v>3.3992485590689216E-7</v>
      </c>
      <c r="R337" s="2">
        <v>-4.6165606210812103E-7</v>
      </c>
      <c r="T337" s="60"/>
      <c r="V337" s="2"/>
      <c r="W337" s="2"/>
      <c r="X337" s="2"/>
      <c r="Y337" s="98"/>
    </row>
    <row r="338" spans="3:25" x14ac:dyDescent="0.2">
      <c r="C338" s="68"/>
      <c r="D338" s="95"/>
      <c r="E338" s="29"/>
      <c r="F338" s="67"/>
      <c r="G338" s="67"/>
      <c r="H338" s="67"/>
      <c r="K338">
        <v>1</v>
      </c>
      <c r="L338" s="44">
        <v>4.1000000000000245</v>
      </c>
      <c r="M338" s="44">
        <v>14.954651173619354</v>
      </c>
      <c r="N338" s="44">
        <v>-0.16034881085979436</v>
      </c>
      <c r="O338" s="44">
        <v>0</v>
      </c>
      <c r="P338" s="2">
        <v>0</v>
      </c>
      <c r="Q338" s="2">
        <v>3.3415326104273936E-7</v>
      </c>
      <c r="R338" s="2">
        <v>-4.6178352021643312E-7</v>
      </c>
      <c r="T338" s="60"/>
      <c r="V338" s="2"/>
      <c r="W338" s="2"/>
      <c r="X338" s="2"/>
      <c r="Y338" s="98"/>
    </row>
    <row r="339" spans="3:25" x14ac:dyDescent="0.2">
      <c r="C339" s="69"/>
      <c r="D339" s="96"/>
      <c r="E339" s="65"/>
      <c r="F339" s="66"/>
      <c r="G339" s="66"/>
      <c r="H339" s="66"/>
      <c r="K339">
        <v>1</v>
      </c>
      <c r="L339" s="44">
        <v>4.1125000000000247</v>
      </c>
      <c r="M339" s="44">
        <v>15.079651173619361</v>
      </c>
      <c r="N339" s="44">
        <v>2.7365578810446323E-2</v>
      </c>
      <c r="O339" s="44">
        <v>0</v>
      </c>
      <c r="P339" s="2">
        <v>0</v>
      </c>
      <c r="Q339" s="2">
        <v>3.2838065943631688E-7</v>
      </c>
      <c r="R339" s="2">
        <v>-4.6181700996386308E-7</v>
      </c>
      <c r="T339" s="60"/>
      <c r="V339" s="2"/>
      <c r="W339" s="2"/>
      <c r="X339" s="2"/>
      <c r="Y339" s="98"/>
    </row>
    <row r="340" spans="3:25" x14ac:dyDescent="0.2">
      <c r="C340" s="70"/>
      <c r="D340" s="97"/>
      <c r="E340" s="29"/>
      <c r="F340" s="67"/>
      <c r="G340" s="67"/>
      <c r="H340" s="67"/>
      <c r="K340">
        <v>1</v>
      </c>
      <c r="L340" s="44">
        <v>4.1250000000000249</v>
      </c>
      <c r="M340" s="44">
        <v>15.204651173619361</v>
      </c>
      <c r="N340" s="44">
        <v>0.21664246848069268</v>
      </c>
      <c r="O340" s="44">
        <v>0</v>
      </c>
      <c r="P340" s="2">
        <v>0</v>
      </c>
      <c r="Q340" s="2">
        <v>3.2260823060116627E-7</v>
      </c>
      <c r="R340" s="2">
        <v>-4.6175574590614017E-7</v>
      </c>
      <c r="T340" s="60"/>
      <c r="V340" s="2"/>
      <c r="W340" s="2"/>
      <c r="X340" s="2"/>
      <c r="Y340" s="98"/>
    </row>
    <row r="341" spans="3:25" x14ac:dyDescent="0.2">
      <c r="C341" s="68"/>
      <c r="D341" s="95"/>
      <c r="E341" s="65"/>
      <c r="F341" s="66"/>
      <c r="G341" s="66"/>
      <c r="H341" s="66"/>
      <c r="K341">
        <v>1</v>
      </c>
      <c r="L341" s="44">
        <v>4.137500000000025</v>
      </c>
      <c r="M341" s="44">
        <v>15.329651173619361</v>
      </c>
      <c r="N341" s="44">
        <v>0.40748185815094118</v>
      </c>
      <c r="O341" s="44">
        <v>0</v>
      </c>
      <c r="P341" s="2">
        <v>0</v>
      </c>
      <c r="Q341" s="2">
        <v>3.1683716386887041E-7</v>
      </c>
      <c r="R341" s="2">
        <v>-4.6159894259898769E-7</v>
      </c>
      <c r="T341" s="60"/>
      <c r="V341" s="2"/>
      <c r="W341" s="2"/>
      <c r="X341" s="2"/>
      <c r="Y341" s="98"/>
    </row>
    <row r="342" spans="3:25" x14ac:dyDescent="0.2">
      <c r="C342" s="69"/>
      <c r="D342" s="96"/>
      <c r="E342" s="29"/>
      <c r="F342" s="67"/>
      <c r="G342" s="67"/>
      <c r="H342" s="67"/>
      <c r="K342">
        <v>1</v>
      </c>
      <c r="L342" s="44">
        <v>4.1500000000000252</v>
      </c>
      <c r="M342" s="44">
        <v>15.454651173619368</v>
      </c>
      <c r="N342" s="44">
        <v>0.5998837478211847</v>
      </c>
      <c r="O342" s="44">
        <v>0</v>
      </c>
      <c r="P342" s="2">
        <v>0</v>
      </c>
      <c r="Q342" s="2">
        <v>3.1106865838908183E-7</v>
      </c>
      <c r="R342" s="2">
        <v>-4.6134581459813718E-7</v>
      </c>
      <c r="T342" s="60"/>
      <c r="V342" s="2"/>
      <c r="W342" s="2"/>
      <c r="X342" s="2"/>
      <c r="Y342" s="98"/>
    </row>
    <row r="343" spans="3:25" x14ac:dyDescent="0.2">
      <c r="C343" s="70"/>
      <c r="D343" s="97"/>
      <c r="E343" s="65"/>
      <c r="F343" s="66"/>
      <c r="G343" s="66"/>
      <c r="H343" s="66"/>
      <c r="K343">
        <v>1</v>
      </c>
      <c r="L343" s="44">
        <v>4.1625000000000254</v>
      </c>
      <c r="M343" s="44">
        <v>15.579651173619368</v>
      </c>
      <c r="N343" s="44">
        <v>0.7938481374914339</v>
      </c>
      <c r="O343" s="44">
        <v>0</v>
      </c>
      <c r="P343" s="2">
        <v>0</v>
      </c>
      <c r="Q343" s="2">
        <v>3.0530392312949234E-7</v>
      </c>
      <c r="R343" s="2">
        <v>-4.6099557645931368E-7</v>
      </c>
      <c r="T343" s="60"/>
      <c r="V343" s="2"/>
      <c r="W343" s="2"/>
      <c r="X343" s="2"/>
      <c r="Y343" s="98"/>
    </row>
    <row r="344" spans="3:25" x14ac:dyDescent="0.2">
      <c r="C344" s="68"/>
      <c r="D344" s="95"/>
      <c r="E344" s="29"/>
      <c r="F344" s="67"/>
      <c r="G344" s="67"/>
      <c r="H344" s="67"/>
      <c r="K344">
        <v>1</v>
      </c>
      <c r="L344" s="44">
        <v>4.1750000000000256</v>
      </c>
      <c r="M344" s="44">
        <v>15.704651173619368</v>
      </c>
      <c r="N344" s="44">
        <v>0.98937502716167458</v>
      </c>
      <c r="O344" s="44">
        <v>0</v>
      </c>
      <c r="P344" s="2">
        <v>0</v>
      </c>
      <c r="Q344" s="2">
        <v>2.9954417687585764E-7</v>
      </c>
      <c r="R344" s="2">
        <v>-4.6054744273824635E-7</v>
      </c>
      <c r="T344" s="60"/>
      <c r="V344" s="2"/>
      <c r="W344" s="2"/>
      <c r="X344" s="2"/>
      <c r="Y344" s="98"/>
    </row>
    <row r="345" spans="3:25" x14ac:dyDescent="0.2">
      <c r="C345" s="69"/>
      <c r="D345" s="96"/>
      <c r="E345" s="65"/>
      <c r="F345" s="66"/>
      <c r="G345" s="66"/>
      <c r="H345" s="66"/>
      <c r="K345">
        <v>1</v>
      </c>
      <c r="L345" s="44">
        <v>4.1875000000000258</v>
      </c>
      <c r="M345" s="44">
        <v>15.829651173619368</v>
      </c>
      <c r="N345" s="44">
        <v>1.1864644168319209</v>
      </c>
      <c r="O345" s="44">
        <v>0</v>
      </c>
      <c r="P345" s="2">
        <v>0</v>
      </c>
      <c r="Q345" s="2">
        <v>2.9379064823198105E-7</v>
      </c>
      <c r="R345" s="2">
        <v>-4.6000062799066389E-7</v>
      </c>
      <c r="T345" s="60"/>
      <c r="V345" s="2"/>
      <c r="W345" s="2"/>
      <c r="X345" s="2"/>
      <c r="Y345" s="98"/>
    </row>
    <row r="346" spans="3:25" x14ac:dyDescent="0.2">
      <c r="C346" s="70"/>
      <c r="D346" s="97"/>
      <c r="E346" s="29"/>
      <c r="F346" s="67"/>
      <c r="G346" s="67"/>
      <c r="H346" s="67"/>
      <c r="K346">
        <v>1</v>
      </c>
      <c r="L346" s="44">
        <v>4.2000000000000259</v>
      </c>
      <c r="M346" s="44">
        <v>15.954651173619368</v>
      </c>
      <c r="N346" s="44">
        <v>1.3851163065021552</v>
      </c>
      <c r="O346" s="44">
        <v>0</v>
      </c>
      <c r="P346" s="2">
        <v>0</v>
      </c>
      <c r="Q346" s="2">
        <v>2.8804457561971842E-7</v>
      </c>
      <c r="R346" s="2">
        <v>-4.5935434677228953E-7</v>
      </c>
      <c r="T346" s="60"/>
      <c r="V346" s="2"/>
      <c r="W346" s="2"/>
      <c r="X346" s="2"/>
      <c r="Y346" s="98"/>
    </row>
    <row r="347" spans="3:25" x14ac:dyDescent="0.2">
      <c r="C347" s="68"/>
      <c r="D347" s="95"/>
      <c r="E347" s="65"/>
      <c r="F347" s="66"/>
      <c r="G347" s="66"/>
      <c r="H347" s="66"/>
      <c r="K347">
        <v>1</v>
      </c>
      <c r="L347" s="44">
        <v>4.2125000000000261</v>
      </c>
      <c r="M347" s="44">
        <v>16.079651173619375</v>
      </c>
      <c r="N347" s="44">
        <v>1.585330696172413</v>
      </c>
      <c r="O347" s="44">
        <v>0</v>
      </c>
      <c r="P347" s="2">
        <v>0</v>
      </c>
      <c r="Q347" s="2">
        <v>2.8230720727898695E-7</v>
      </c>
      <c r="R347" s="2">
        <v>-4.5860781363885656E-7</v>
      </c>
      <c r="T347" s="60"/>
      <c r="V347" s="2"/>
      <c r="W347" s="2"/>
      <c r="X347" s="2"/>
      <c r="Y347" s="98"/>
    </row>
    <row r="348" spans="3:25" x14ac:dyDescent="0.2">
      <c r="C348" s="69"/>
      <c r="D348" s="96"/>
      <c r="E348" s="29"/>
      <c r="F348" s="67"/>
      <c r="G348" s="67"/>
      <c r="H348" s="67"/>
      <c r="K348">
        <v>1</v>
      </c>
      <c r="L348" s="44">
        <v>4.2250000000000263</v>
      </c>
      <c r="M348" s="44">
        <v>16.204651173619375</v>
      </c>
      <c r="N348" s="44">
        <v>1.7871075858426479</v>
      </c>
      <c r="O348" s="44">
        <v>0</v>
      </c>
      <c r="P348" s="2">
        <v>0</v>
      </c>
      <c r="Q348" s="2">
        <v>2.7657980126774211E-7</v>
      </c>
      <c r="R348" s="2">
        <v>-4.57760243146086E-7</v>
      </c>
      <c r="T348" s="60"/>
      <c r="V348" s="2"/>
      <c r="W348" s="2"/>
      <c r="X348" s="2"/>
      <c r="Y348" s="98"/>
    </row>
    <row r="349" spans="3:25" x14ac:dyDescent="0.2">
      <c r="C349" s="70"/>
      <c r="D349" s="97"/>
      <c r="E349" s="65"/>
      <c r="F349" s="66"/>
      <c r="G349" s="66"/>
      <c r="H349" s="66"/>
      <c r="K349">
        <v>1</v>
      </c>
      <c r="L349" s="44">
        <v>4.2375000000000265</v>
      </c>
      <c r="M349" s="44">
        <v>16.329651173619375</v>
      </c>
      <c r="N349" s="44">
        <v>1.9904469755129028</v>
      </c>
      <c r="O349" s="44">
        <v>0</v>
      </c>
      <c r="P349" s="2">
        <v>0</v>
      </c>
      <c r="Q349" s="2">
        <v>2.7086362546201243E-7</v>
      </c>
      <c r="R349" s="2">
        <v>-4.5681084984971162E-7</v>
      </c>
      <c r="T349" s="60"/>
      <c r="V349" s="2"/>
      <c r="W349" s="2"/>
      <c r="X349" s="2"/>
      <c r="Y349" s="98"/>
    </row>
    <row r="350" spans="3:25" x14ac:dyDescent="0.2">
      <c r="C350" s="68"/>
      <c r="D350" s="95"/>
      <c r="E350" s="29"/>
      <c r="F350" s="67"/>
      <c r="G350" s="67"/>
      <c r="H350" s="67"/>
      <c r="K350">
        <v>1</v>
      </c>
      <c r="L350" s="44">
        <v>4.2500000000000266</v>
      </c>
      <c r="M350" s="44">
        <v>16.454651173619382</v>
      </c>
      <c r="N350" s="44">
        <v>2.1953488651831492</v>
      </c>
      <c r="O350" s="44">
        <v>0</v>
      </c>
      <c r="P350" s="2">
        <v>0</v>
      </c>
      <c r="Q350" s="2">
        <v>2.6515995755586604E-7</v>
      </c>
      <c r="R350" s="2">
        <v>-4.5575884830545867E-7</v>
      </c>
      <c r="T350" s="60"/>
      <c r="V350" s="2"/>
      <c r="W350" s="2"/>
      <c r="X350" s="2"/>
      <c r="Y350" s="98"/>
    </row>
    <row r="351" spans="3:25" x14ac:dyDescent="0.2">
      <c r="C351" s="69"/>
      <c r="D351" s="96"/>
      <c r="E351" s="65"/>
      <c r="F351" s="66"/>
      <c r="G351" s="66"/>
      <c r="H351" s="66"/>
      <c r="K351">
        <v>1</v>
      </c>
      <c r="L351" s="44">
        <v>4.2625000000000268</v>
      </c>
      <c r="M351" s="44">
        <v>16.579651173619382</v>
      </c>
      <c r="N351" s="44">
        <v>2.4018132548533977</v>
      </c>
      <c r="O351" s="44">
        <v>0</v>
      </c>
      <c r="P351" s="2">
        <v>0</v>
      </c>
      <c r="Q351" s="2">
        <v>2.5947008506142918E-7</v>
      </c>
      <c r="R351" s="2">
        <v>-4.5460345306905493E-7</v>
      </c>
      <c r="T351" s="60"/>
      <c r="V351" s="2"/>
      <c r="W351" s="2"/>
      <c r="X351" s="2"/>
      <c r="Y351" s="98"/>
    </row>
    <row r="352" spans="3:25" x14ac:dyDescent="0.2">
      <c r="C352" s="70"/>
      <c r="D352" s="97"/>
      <c r="E352" s="29"/>
      <c r="F352" s="67"/>
      <c r="G352" s="67"/>
      <c r="H352" s="67"/>
      <c r="K352">
        <v>1</v>
      </c>
      <c r="L352" s="44">
        <v>4.275000000000027</v>
      </c>
      <c r="M352" s="44">
        <v>16.704651173619382</v>
      </c>
      <c r="N352" s="44">
        <v>2.6098401445236412</v>
      </c>
      <c r="O352" s="44">
        <v>0</v>
      </c>
      <c r="P352" s="2">
        <v>0</v>
      </c>
      <c r="Q352" s="2">
        <v>2.537953053088771E-7</v>
      </c>
      <c r="R352" s="2">
        <v>-4.5334387869622577E-7</v>
      </c>
      <c r="T352" s="60"/>
      <c r="V352" s="2"/>
      <c r="W352" s="2"/>
      <c r="X352" s="2"/>
      <c r="Y352" s="98"/>
    </row>
    <row r="353" spans="3:25" x14ac:dyDescent="0.2">
      <c r="C353" s="68"/>
      <c r="D353" s="95"/>
      <c r="E353" s="65"/>
      <c r="F353" s="66"/>
      <c r="G353" s="66"/>
      <c r="H353" s="66"/>
      <c r="K353">
        <v>1</v>
      </c>
      <c r="L353" s="44">
        <v>4.2875000000000272</v>
      </c>
      <c r="M353" s="44">
        <v>16.829651173619382</v>
      </c>
      <c r="N353" s="44">
        <v>2.8194295341938904</v>
      </c>
      <c r="O353" s="44">
        <v>0</v>
      </c>
      <c r="P353" s="2">
        <v>0</v>
      </c>
      <c r="Q353" s="2">
        <v>2.481369254464436E-7</v>
      </c>
      <c r="R353" s="2">
        <v>-4.5197933974270182E-7</v>
      </c>
      <c r="T353" s="60"/>
      <c r="V353" s="2"/>
      <c r="W353" s="2"/>
      <c r="X353" s="2"/>
      <c r="Y353" s="98"/>
    </row>
    <row r="354" spans="3:25" x14ac:dyDescent="0.2">
      <c r="C354" s="69"/>
      <c r="D354" s="96"/>
      <c r="E354" s="29"/>
      <c r="F354" s="67"/>
      <c r="G354" s="67"/>
      <c r="H354" s="67"/>
      <c r="K354">
        <v>1</v>
      </c>
      <c r="L354" s="44">
        <v>4.3000000000000274</v>
      </c>
      <c r="M354" s="44">
        <v>16.954651173619382</v>
      </c>
      <c r="N354" s="44">
        <v>3.0305814238641311</v>
      </c>
      <c r="O354" s="44">
        <v>0</v>
      </c>
      <c r="P354" s="2">
        <v>0</v>
      </c>
      <c r="Q354" s="2">
        <v>2.424962624404142E-7</v>
      </c>
      <c r="R354" s="2">
        <v>-4.505090507642084E-7</v>
      </c>
      <c r="T354" s="60"/>
      <c r="V354" s="2"/>
      <c r="W354" s="2"/>
      <c r="X354" s="2"/>
      <c r="Y354" s="98"/>
    </row>
    <row r="355" spans="3:25" x14ac:dyDescent="0.2">
      <c r="C355" s="70"/>
      <c r="D355" s="97"/>
      <c r="E355" s="65"/>
      <c r="F355" s="66"/>
      <c r="G355" s="66"/>
      <c r="H355" s="66"/>
      <c r="K355">
        <v>1</v>
      </c>
      <c r="L355" s="44">
        <v>4.3125000000000275</v>
      </c>
      <c r="M355" s="44">
        <v>17.079651173619389</v>
      </c>
      <c r="N355" s="44">
        <v>3.2432958135343775</v>
      </c>
      <c r="O355" s="44">
        <v>0</v>
      </c>
      <c r="P355" s="2">
        <v>0</v>
      </c>
      <c r="Q355" s="2">
        <v>2.3687464307512461E-7</v>
      </c>
      <c r="R355" s="2">
        <v>-4.4893222631647391E-7</v>
      </c>
      <c r="T355" s="60"/>
      <c r="V355" s="2"/>
      <c r="W355" s="2"/>
      <c r="X355" s="2"/>
      <c r="Y355" s="98"/>
    </row>
    <row r="356" spans="3:25" x14ac:dyDescent="0.2">
      <c r="C356" s="68"/>
      <c r="D356" s="95"/>
      <c r="E356" s="29"/>
      <c r="F356" s="67"/>
      <c r="G356" s="67"/>
      <c r="H356" s="67"/>
      <c r="K356">
        <v>1</v>
      </c>
      <c r="L356" s="44">
        <v>4.3250000000000277</v>
      </c>
      <c r="M356" s="44">
        <v>17.204651173619389</v>
      </c>
      <c r="N356" s="44">
        <v>3.4575727032046117</v>
      </c>
      <c r="O356" s="44">
        <v>0</v>
      </c>
      <c r="P356" s="2">
        <v>0</v>
      </c>
      <c r="Q356" s="2">
        <v>2.3127340395297148E-7</v>
      </c>
      <c r="R356" s="2">
        <v>-4.472480809552259E-7</v>
      </c>
      <c r="T356" s="60"/>
      <c r="V356" s="2"/>
      <c r="W356" s="2"/>
      <c r="X356" s="2"/>
      <c r="Y356" s="98"/>
    </row>
    <row r="357" spans="3:25" x14ac:dyDescent="0.2">
      <c r="C357" s="69"/>
      <c r="D357" s="96"/>
      <c r="E357" s="65"/>
      <c r="F357" s="66"/>
      <c r="G357" s="66"/>
      <c r="H357" s="66"/>
      <c r="K357">
        <v>1</v>
      </c>
      <c r="L357" s="44">
        <v>4.3375000000000279</v>
      </c>
      <c r="M357" s="44">
        <v>17.329651173619389</v>
      </c>
      <c r="N357" s="44">
        <v>3.6734120928748553</v>
      </c>
      <c r="O357" s="44">
        <v>0</v>
      </c>
      <c r="P357" s="2">
        <v>0</v>
      </c>
      <c r="Q357" s="2">
        <v>2.2569389149440179E-7</v>
      </c>
      <c r="R357" s="2">
        <v>-4.4545582923619294E-7</v>
      </c>
      <c r="T357" s="60"/>
      <c r="V357" s="2"/>
      <c r="W357" s="2"/>
      <c r="X357" s="2"/>
      <c r="Y357" s="98"/>
    </row>
    <row r="358" spans="3:25" x14ac:dyDescent="0.2">
      <c r="C358" s="70"/>
      <c r="D358" s="97"/>
      <c r="E358" s="29"/>
      <c r="F358" s="67"/>
      <c r="G358" s="67"/>
      <c r="H358" s="67"/>
      <c r="K358">
        <v>1</v>
      </c>
      <c r="L358" s="44">
        <v>4.3500000000000281</v>
      </c>
      <c r="M358" s="44">
        <v>17.454651173619396</v>
      </c>
      <c r="N358" s="44">
        <v>3.8908139825451045</v>
      </c>
      <c r="O358" s="44">
        <v>0</v>
      </c>
      <c r="P358" s="2">
        <v>0</v>
      </c>
      <c r="Q358" s="2">
        <v>2.2013746193791007E-7</v>
      </c>
      <c r="R358" s="2">
        <v>-4.4355468571510235E-7</v>
      </c>
      <c r="T358" s="60"/>
      <c r="V358" s="2"/>
      <c r="W358" s="2"/>
      <c r="X358" s="2"/>
      <c r="Y358" s="98"/>
    </row>
    <row r="359" spans="3:25" x14ac:dyDescent="0.2">
      <c r="C359" s="68"/>
      <c r="D359" s="95"/>
      <c r="E359" s="65"/>
      <c r="F359" s="66"/>
      <c r="G359" s="66"/>
      <c r="H359" s="66"/>
      <c r="K359">
        <v>1</v>
      </c>
      <c r="L359" s="44">
        <v>4.3625000000000282</v>
      </c>
      <c r="M359" s="44">
        <v>17.579651173619396</v>
      </c>
      <c r="N359" s="44">
        <v>4.1097783722153451</v>
      </c>
      <c r="O359" s="44">
        <v>0</v>
      </c>
      <c r="P359" s="2">
        <v>0</v>
      </c>
      <c r="Q359" s="2">
        <v>2.1460548134004895E-7</v>
      </c>
      <c r="R359" s="2">
        <v>-4.4154386494768001E-7</v>
      </c>
      <c r="T359" s="60"/>
      <c r="V359" s="2"/>
      <c r="W359" s="2"/>
      <c r="X359" s="2"/>
      <c r="Y359" s="98"/>
    </row>
    <row r="360" spans="3:25" x14ac:dyDescent="0.2">
      <c r="C360" s="69"/>
      <c r="D360" s="96"/>
      <c r="E360" s="29"/>
      <c r="F360" s="67"/>
      <c r="G360" s="67"/>
      <c r="H360" s="67"/>
      <c r="K360">
        <v>1</v>
      </c>
      <c r="L360" s="44">
        <v>4.3750000000000284</v>
      </c>
      <c r="M360" s="44">
        <v>17.704651173619396</v>
      </c>
      <c r="N360" s="44">
        <v>4.3303052618856057</v>
      </c>
      <c r="O360" s="44">
        <v>0</v>
      </c>
      <c r="P360" s="2">
        <v>0</v>
      </c>
      <c r="Q360" s="2">
        <v>2.0909932557542686E-7</v>
      </c>
      <c r="R360" s="2">
        <v>-4.3942258148965661E-7</v>
      </c>
      <c r="T360" s="60"/>
      <c r="V360" s="2"/>
      <c r="W360" s="2"/>
      <c r="X360" s="2"/>
      <c r="Y360" s="98"/>
    </row>
    <row r="361" spans="3:25" x14ac:dyDescent="0.2">
      <c r="C361" s="70"/>
      <c r="D361" s="97"/>
      <c r="E361" s="65"/>
      <c r="F361" s="66"/>
      <c r="G361" s="66"/>
      <c r="H361" s="66"/>
      <c r="K361">
        <v>1</v>
      </c>
      <c r="L361" s="44">
        <v>4.3875000000000286</v>
      </c>
      <c r="M361" s="44">
        <v>17.829651173619396</v>
      </c>
      <c r="N361" s="44">
        <v>4.5523946515558542</v>
      </c>
      <c r="O361" s="44">
        <v>0</v>
      </c>
      <c r="P361" s="2">
        <v>0</v>
      </c>
      <c r="Q361" s="2">
        <v>2.0362038033670472E-7</v>
      </c>
      <c r="R361" s="2">
        <v>-4.3719004989675789E-7</v>
      </c>
      <c r="T361" s="60"/>
      <c r="V361" s="2"/>
      <c r="W361" s="2"/>
      <c r="X361" s="2"/>
      <c r="Y361" s="98"/>
    </row>
    <row r="362" spans="3:25" x14ac:dyDescent="0.2">
      <c r="C362" s="68"/>
      <c r="D362" s="95"/>
      <c r="E362" s="29"/>
      <c r="F362" s="67"/>
      <c r="G362" s="67"/>
      <c r="H362" s="67"/>
      <c r="K362">
        <v>1</v>
      </c>
      <c r="L362" s="44">
        <v>4.4000000000000288</v>
      </c>
      <c r="M362" s="44">
        <v>17.954651173619396</v>
      </c>
      <c r="N362" s="44">
        <v>4.7760465412260835</v>
      </c>
      <c r="O362" s="44">
        <v>0</v>
      </c>
      <c r="P362" s="2">
        <v>0</v>
      </c>
      <c r="Q362" s="2">
        <v>1.9817004113458927E-7</v>
      </c>
      <c r="R362" s="2">
        <v>-4.3484548472470856E-7</v>
      </c>
      <c r="T362" s="60"/>
      <c r="V362" s="2"/>
      <c r="W362" s="2"/>
      <c r="X362" s="2"/>
      <c r="Y362" s="98"/>
    </row>
    <row r="363" spans="3:25" x14ac:dyDescent="0.2">
      <c r="C363" s="69"/>
      <c r="D363" s="96"/>
      <c r="E363" s="65"/>
      <c r="F363" s="66"/>
      <c r="G363" s="66"/>
      <c r="H363" s="66"/>
      <c r="K363">
        <v>1</v>
      </c>
      <c r="L363" s="44">
        <v>4.412500000000029</v>
      </c>
      <c r="M363" s="44">
        <v>18.079651173619403</v>
      </c>
      <c r="N363" s="44">
        <v>5.0012609308963327</v>
      </c>
      <c r="O363" s="44">
        <v>0</v>
      </c>
      <c r="P363" s="2">
        <v>0</v>
      </c>
      <c r="Q363" s="2">
        <v>1.9274971329785053E-7</v>
      </c>
      <c r="R363" s="2">
        <v>-4.3238810052924044E-7</v>
      </c>
      <c r="T363" s="60"/>
      <c r="V363" s="2"/>
      <c r="W363" s="2"/>
      <c r="X363" s="2"/>
      <c r="Y363" s="98"/>
    </row>
    <row r="364" spans="3:25" x14ac:dyDescent="0.2">
      <c r="C364" s="70"/>
      <c r="D364" s="97"/>
      <c r="E364" s="29"/>
      <c r="F364" s="67"/>
      <c r="G364" s="67"/>
      <c r="H364" s="67"/>
      <c r="K364">
        <v>1</v>
      </c>
      <c r="L364" s="44">
        <v>4.4250000000000291</v>
      </c>
      <c r="M364" s="44">
        <v>18.204651173619403</v>
      </c>
      <c r="N364" s="44">
        <v>5.2280378205665734</v>
      </c>
      <c r="O364" s="44">
        <v>0</v>
      </c>
      <c r="P364" s="2">
        <v>0</v>
      </c>
      <c r="Q364" s="2">
        <v>1.8736081197330757E-7</v>
      </c>
      <c r="R364" s="2">
        <v>-4.298171118660811E-7</v>
      </c>
      <c r="T364" s="60"/>
      <c r="V364" s="2"/>
      <c r="W364" s="2"/>
      <c r="X364" s="2"/>
      <c r="Y364" s="98"/>
    </row>
    <row r="365" spans="3:25" x14ac:dyDescent="0.2">
      <c r="C365" s="68"/>
      <c r="D365" s="95"/>
      <c r="E365" s="65"/>
      <c r="F365" s="66"/>
      <c r="G365" s="66"/>
      <c r="H365" s="66"/>
      <c r="K365">
        <v>1</v>
      </c>
      <c r="L365" s="44">
        <v>4.4375000000000293</v>
      </c>
      <c r="M365" s="44">
        <v>18.329651173619403</v>
      </c>
      <c r="N365" s="44">
        <v>5.4563772102368198</v>
      </c>
      <c r="O365" s="44">
        <v>0</v>
      </c>
      <c r="P365" s="2">
        <v>0</v>
      </c>
      <c r="Q365" s="2">
        <v>1.820047621258304E-7</v>
      </c>
      <c r="R365" s="2">
        <v>-4.2713173329095553E-7</v>
      </c>
      <c r="T365" s="60"/>
      <c r="V365" s="2"/>
      <c r="W365" s="2"/>
      <c r="X365" s="2"/>
      <c r="Y365" s="98"/>
    </row>
    <row r="366" spans="3:25" x14ac:dyDescent="0.2">
      <c r="C366" s="69"/>
      <c r="D366" s="96"/>
      <c r="E366" s="29"/>
      <c r="F366" s="67"/>
      <c r="G366" s="67"/>
      <c r="H366" s="67"/>
      <c r="K366">
        <v>1</v>
      </c>
      <c r="L366" s="44">
        <v>4.4500000000000295</v>
      </c>
      <c r="M366" s="44">
        <v>18.454651173619411</v>
      </c>
      <c r="N366" s="44">
        <v>5.6862790999070683</v>
      </c>
      <c r="O366" s="44">
        <v>0</v>
      </c>
      <c r="P366" s="2">
        <v>0</v>
      </c>
      <c r="Q366" s="2">
        <v>1.7668299853834856E-7</v>
      </c>
      <c r="R366" s="2">
        <v>-4.2433117935959241E-7</v>
      </c>
      <c r="T366" s="60"/>
      <c r="V366" s="2"/>
      <c r="W366" s="2"/>
      <c r="X366" s="2"/>
      <c r="Y366" s="98"/>
    </row>
    <row r="367" spans="3:25" x14ac:dyDescent="0.2">
      <c r="C367" s="70"/>
      <c r="D367" s="97"/>
      <c r="E367" s="65"/>
      <c r="F367" s="66"/>
      <c r="G367" s="66"/>
      <c r="H367" s="66"/>
      <c r="K367">
        <v>1</v>
      </c>
      <c r="L367" s="44">
        <v>4.4625000000000297</v>
      </c>
      <c r="M367" s="44">
        <v>18.579651173619411</v>
      </c>
      <c r="N367" s="44">
        <v>5.9177434895773118</v>
      </c>
      <c r="O367" s="44">
        <v>0</v>
      </c>
      <c r="P367" s="2">
        <v>0</v>
      </c>
      <c r="Q367" s="2">
        <v>1.7139696581184324E-7</v>
      </c>
      <c r="R367" s="2">
        <v>-4.2141466462771906E-7</v>
      </c>
      <c r="T367" s="60"/>
      <c r="V367" s="2"/>
      <c r="W367" s="2"/>
      <c r="X367" s="2"/>
      <c r="Y367" s="98"/>
    </row>
    <row r="368" spans="3:25" x14ac:dyDescent="0.2">
      <c r="C368" s="68"/>
      <c r="D368" s="95"/>
      <c r="E368" s="29"/>
      <c r="F368" s="67"/>
      <c r="G368" s="67"/>
      <c r="H368" s="67"/>
      <c r="K368">
        <v>1</v>
      </c>
      <c r="L368" s="44">
        <v>4.4750000000000298</v>
      </c>
      <c r="M368" s="44">
        <v>18.704651173619411</v>
      </c>
      <c r="N368" s="44">
        <v>6.1507703792475752</v>
      </c>
      <c r="O368" s="44">
        <v>0</v>
      </c>
      <c r="P368" s="2">
        <v>0</v>
      </c>
      <c r="Q368" s="2">
        <v>1.6614811836534537E-7</v>
      </c>
      <c r="R368" s="2">
        <v>-4.1838140365106645E-7</v>
      </c>
      <c r="T368" s="60"/>
      <c r="V368" s="2"/>
      <c r="W368" s="2"/>
      <c r="X368" s="2"/>
      <c r="Y368" s="98"/>
    </row>
    <row r="369" spans="3:25" x14ac:dyDescent="0.2">
      <c r="C369" s="69"/>
      <c r="D369" s="96"/>
      <c r="E369" s="65"/>
      <c r="F369" s="66"/>
      <c r="G369" s="66"/>
      <c r="H369" s="66"/>
      <c r="K369">
        <v>1</v>
      </c>
      <c r="L369" s="44">
        <v>4.48750000000003</v>
      </c>
      <c r="M369" s="44">
        <v>18.829651173619411</v>
      </c>
      <c r="N369" s="44">
        <v>6.3853597689178159</v>
      </c>
      <c r="O369" s="44">
        <v>0</v>
      </c>
      <c r="P369" s="2">
        <v>0</v>
      </c>
      <c r="Q369" s="2">
        <v>1.6093792043593944E-7</v>
      </c>
      <c r="R369" s="2">
        <v>-4.1523061098535516E-7</v>
      </c>
      <c r="T369" s="60"/>
      <c r="V369" s="2"/>
      <c r="W369" s="2"/>
      <c r="X369" s="2"/>
      <c r="Y369" s="98"/>
    </row>
    <row r="370" spans="3:25" x14ac:dyDescent="0.2">
      <c r="C370" s="70"/>
      <c r="D370" s="97"/>
      <c r="E370" s="29"/>
      <c r="F370" s="67"/>
      <c r="G370" s="67"/>
      <c r="H370" s="67"/>
      <c r="K370">
        <v>1</v>
      </c>
      <c r="L370" s="44">
        <v>4.5000000000000302</v>
      </c>
      <c r="M370" s="44">
        <v>18.954651173619411</v>
      </c>
      <c r="N370" s="44">
        <v>6.6215116585880462</v>
      </c>
      <c r="O370" s="44">
        <v>0</v>
      </c>
      <c r="P370" s="2">
        <v>0</v>
      </c>
      <c r="Q370" s="2">
        <v>1.5576784607876524E-7</v>
      </c>
      <c r="R370" s="2">
        <v>-4.1196150118631764E-7</v>
      </c>
      <c r="T370" s="60"/>
      <c r="V370" s="2"/>
      <c r="W370" s="2"/>
      <c r="X370" s="2"/>
      <c r="Y370" s="98"/>
    </row>
    <row r="371" spans="3:25" x14ac:dyDescent="0.2">
      <c r="C371" s="68"/>
      <c r="D371" s="95"/>
      <c r="E371" s="65"/>
      <c r="F371" s="66"/>
      <c r="G371" s="66"/>
      <c r="H371" s="66"/>
      <c r="K371">
        <v>1</v>
      </c>
      <c r="L371" s="44">
        <v>4.5125000000000304</v>
      </c>
      <c r="M371" s="44">
        <v>19.079651173619418</v>
      </c>
      <c r="N371" s="44">
        <v>6.8592260482582983</v>
      </c>
      <c r="O371" s="44">
        <v>0</v>
      </c>
      <c r="P371" s="2">
        <v>0</v>
      </c>
      <c r="Q371" s="2">
        <v>1.5063937916702111E-7</v>
      </c>
      <c r="R371" s="2">
        <v>-4.0857328880968369E-7</v>
      </c>
      <c r="T371" s="60"/>
      <c r="V371" s="2"/>
      <c r="W371" s="2"/>
      <c r="X371" s="2"/>
      <c r="Y371" s="98"/>
    </row>
    <row r="372" spans="3:25" x14ac:dyDescent="0.2">
      <c r="C372" s="69"/>
      <c r="D372" s="96"/>
      <c r="E372" s="29"/>
      <c r="F372" s="67"/>
      <c r="G372" s="67"/>
      <c r="H372" s="67"/>
      <c r="K372">
        <v>1</v>
      </c>
      <c r="L372" s="44">
        <v>4.5250000000000306</v>
      </c>
      <c r="M372" s="44">
        <v>19.204651173619418</v>
      </c>
      <c r="N372" s="44">
        <v>7.0985029379285542</v>
      </c>
      <c r="O372" s="44">
        <v>0</v>
      </c>
      <c r="P372" s="2">
        <v>0</v>
      </c>
      <c r="Q372" s="2">
        <v>1.4555401339194904E-7</v>
      </c>
      <c r="R372" s="2">
        <v>-4.050651884111755E-7</v>
      </c>
      <c r="T372" s="60"/>
      <c r="V372" s="2"/>
      <c r="W372" s="2"/>
      <c r="X372" s="2"/>
      <c r="Y372" s="98"/>
    </row>
    <row r="373" spans="3:25" x14ac:dyDescent="0.2">
      <c r="C373" s="70"/>
      <c r="D373" s="97"/>
      <c r="E373" s="65"/>
      <c r="F373" s="66"/>
      <c r="G373" s="66"/>
      <c r="H373" s="66"/>
      <c r="K373">
        <v>1</v>
      </c>
      <c r="L373" s="44">
        <v>4.5375000000000307</v>
      </c>
      <c r="M373" s="44">
        <v>19.329651173619418</v>
      </c>
      <c r="N373" s="44">
        <v>7.3393423275987892</v>
      </c>
      <c r="O373" s="44">
        <v>0</v>
      </c>
      <c r="P373" s="2">
        <v>0</v>
      </c>
      <c r="Q373" s="2">
        <v>1.4051325226284838E-7</v>
      </c>
      <c r="R373" s="2">
        <v>-4.0143641454652116E-7</v>
      </c>
      <c r="T373" s="60"/>
      <c r="V373" s="2"/>
      <c r="W373" s="2"/>
      <c r="X373" s="2"/>
      <c r="Y373" s="98"/>
    </row>
    <row r="374" spans="3:25" x14ac:dyDescent="0.2">
      <c r="C374" s="68"/>
      <c r="D374" s="95"/>
      <c r="E374" s="29"/>
      <c r="F374" s="67"/>
      <c r="G374" s="67"/>
      <c r="H374" s="67"/>
      <c r="K374">
        <v>1</v>
      </c>
      <c r="L374" s="44">
        <v>4.5500000000000309</v>
      </c>
      <c r="M374" s="44">
        <v>19.454651173619425</v>
      </c>
      <c r="N374" s="44">
        <v>7.5817442172690441</v>
      </c>
      <c r="O374" s="44">
        <v>0</v>
      </c>
      <c r="P374" s="2">
        <v>0</v>
      </c>
      <c r="Q374" s="2">
        <v>1.3551860910707833E-7</v>
      </c>
      <c r="R374" s="2">
        <v>-3.976861817714527E-7</v>
      </c>
      <c r="T374" s="60"/>
      <c r="V374" s="2"/>
      <c r="W374" s="2"/>
      <c r="X374" s="2"/>
      <c r="Y374" s="98"/>
    </row>
    <row r="375" spans="3:25" x14ac:dyDescent="0.2">
      <c r="C375" s="69"/>
      <c r="D375" s="96"/>
      <c r="E375" s="65"/>
      <c r="F375" s="66"/>
      <c r="G375" s="66"/>
      <c r="H375" s="66"/>
      <c r="K375">
        <v>1</v>
      </c>
      <c r="L375" s="44">
        <v>4.5625000000000311</v>
      </c>
      <c r="M375" s="44">
        <v>19.579651173619425</v>
      </c>
      <c r="N375" s="44">
        <v>7.8257086069392887</v>
      </c>
      <c r="O375" s="44">
        <v>0</v>
      </c>
      <c r="P375" s="2">
        <v>0</v>
      </c>
      <c r="Q375" s="2">
        <v>1.3057160707004024E-7</v>
      </c>
      <c r="R375" s="2">
        <v>-3.9381370464169394E-7</v>
      </c>
      <c r="T375" s="60"/>
      <c r="V375" s="2"/>
      <c r="W375" s="2"/>
      <c r="X375" s="2"/>
      <c r="Y375" s="98"/>
    </row>
    <row r="376" spans="3:25" x14ac:dyDescent="0.2">
      <c r="C376" s="70"/>
      <c r="D376" s="97"/>
      <c r="E376" s="29"/>
      <c r="F376" s="67"/>
      <c r="G376" s="67"/>
      <c r="H376" s="67"/>
      <c r="K376">
        <v>1</v>
      </c>
      <c r="L376" s="44">
        <v>4.5750000000000313</v>
      </c>
      <c r="M376" s="44">
        <v>19.704651173619425</v>
      </c>
      <c r="N376" s="44">
        <v>8.0712354966095408</v>
      </c>
      <c r="O376" s="44">
        <v>0</v>
      </c>
      <c r="P376" s="2">
        <v>0</v>
      </c>
      <c r="Q376" s="2">
        <v>1.2567377911519901E-7</v>
      </c>
      <c r="R376" s="2">
        <v>-3.8981819771297479E-7</v>
      </c>
      <c r="T376" s="60"/>
      <c r="V376" s="2"/>
      <c r="W376" s="2"/>
      <c r="X376" s="2"/>
      <c r="Y376" s="98"/>
    </row>
    <row r="377" spans="3:25" x14ac:dyDescent="0.2">
      <c r="C377" s="68"/>
      <c r="D377" s="95"/>
      <c r="E377" s="65"/>
      <c r="F377" s="66"/>
      <c r="G377" s="66"/>
      <c r="H377" s="66"/>
      <c r="K377">
        <v>1</v>
      </c>
      <c r="L377" s="44">
        <v>4.5875000000000314</v>
      </c>
      <c r="M377" s="44">
        <v>19.829651173619425</v>
      </c>
      <c r="N377" s="44">
        <v>8.3183248862797825</v>
      </c>
      <c r="O377" s="44">
        <v>0</v>
      </c>
      <c r="P377" s="2">
        <v>0</v>
      </c>
      <c r="Q377" s="2">
        <v>1.2082666802406417E-7</v>
      </c>
      <c r="R377" s="2">
        <v>-3.856988755410214E-7</v>
      </c>
      <c r="T377" s="60"/>
      <c r="V377" s="2"/>
      <c r="W377" s="2"/>
      <c r="X377" s="2"/>
      <c r="Y377" s="98"/>
    </row>
    <row r="378" spans="3:25" x14ac:dyDescent="0.2">
      <c r="C378" s="69"/>
      <c r="D378" s="96"/>
      <c r="E378" s="29"/>
      <c r="F378" s="67"/>
      <c r="G378" s="67"/>
      <c r="H378" s="67"/>
      <c r="K378">
        <v>1</v>
      </c>
      <c r="L378" s="44">
        <v>4.6000000000000316</v>
      </c>
      <c r="M378" s="44">
        <v>19.954651173619425</v>
      </c>
      <c r="N378" s="44">
        <v>8.5669767759500317</v>
      </c>
      <c r="O378" s="44">
        <v>0</v>
      </c>
      <c r="P378" s="2">
        <v>0</v>
      </c>
      <c r="Q378" s="2">
        <v>1.1603182639620491E-7</v>
      </c>
      <c r="R378" s="2">
        <v>-3.8145495268156075E-7</v>
      </c>
      <c r="T378" s="60"/>
      <c r="V378" s="2"/>
      <c r="W378" s="2"/>
      <c r="X378" s="2"/>
      <c r="Y378" s="98"/>
    </row>
    <row r="379" spans="3:25" x14ac:dyDescent="0.2">
      <c r="C379" s="70"/>
      <c r="D379" s="97"/>
      <c r="E379" s="65"/>
      <c r="F379" s="66"/>
      <c r="G379" s="66"/>
      <c r="H379" s="66"/>
      <c r="K379">
        <v>1</v>
      </c>
      <c r="L379" s="44">
        <v>4.6125000000000318</v>
      </c>
      <c r="M379" s="44">
        <v>20.079651173619432</v>
      </c>
      <c r="N379" s="44">
        <v>8.8171911656202724</v>
      </c>
      <c r="O379" s="44">
        <v>0</v>
      </c>
      <c r="P379" s="2">
        <v>0</v>
      </c>
      <c r="Q379" s="2">
        <v>1.1129081664923974E-7</v>
      </c>
      <c r="R379" s="2">
        <v>-3.7708564369032123E-7</v>
      </c>
      <c r="T379" s="60"/>
      <c r="V379" s="2"/>
      <c r="W379" s="2"/>
      <c r="X379" s="2"/>
      <c r="Y379" s="98"/>
    </row>
    <row r="380" spans="3:25" x14ac:dyDescent="0.2">
      <c r="C380" s="68"/>
      <c r="D380" s="95"/>
      <c r="E380" s="29"/>
      <c r="F380" s="67"/>
      <c r="G380" s="67"/>
      <c r="H380" s="67"/>
      <c r="K380">
        <v>1</v>
      </c>
      <c r="L380" s="44">
        <v>4.625000000000032</v>
      </c>
      <c r="M380" s="44">
        <v>20.204651173619432</v>
      </c>
      <c r="N380" s="44">
        <v>9.068968055290517</v>
      </c>
      <c r="O380" s="44">
        <v>0</v>
      </c>
      <c r="P380" s="2">
        <v>0</v>
      </c>
      <c r="Q380" s="2">
        <v>1.0660521101884665E-7</v>
      </c>
      <c r="R380" s="2">
        <v>-3.7259016312302983E-7</v>
      </c>
      <c r="T380" s="60"/>
      <c r="V380" s="2"/>
      <c r="W380" s="2"/>
      <c r="X380" s="2"/>
      <c r="Y380" s="98"/>
    </row>
    <row r="381" spans="3:25" x14ac:dyDescent="0.2">
      <c r="C381" s="69"/>
      <c r="D381" s="96"/>
      <c r="E381" s="65"/>
      <c r="F381" s="66"/>
      <c r="G381" s="66"/>
      <c r="H381" s="66"/>
      <c r="K381">
        <v>1</v>
      </c>
      <c r="L381" s="44">
        <v>4.6375000000000322</v>
      </c>
      <c r="M381" s="44">
        <v>20.329651173619432</v>
      </c>
      <c r="N381" s="44">
        <v>9.322307444960769</v>
      </c>
      <c r="O381" s="44">
        <v>0</v>
      </c>
      <c r="P381" s="2">
        <v>0</v>
      </c>
      <c r="Q381" s="2">
        <v>1.0197659155874896E-7</v>
      </c>
      <c r="R381" s="2">
        <v>-3.679677255354174E-7</v>
      </c>
      <c r="T381" s="60"/>
      <c r="V381" s="2"/>
      <c r="W381" s="2"/>
      <c r="X381" s="2"/>
      <c r="Y381" s="98"/>
    </row>
    <row r="382" spans="3:25" x14ac:dyDescent="0.2">
      <c r="C382" s="70"/>
      <c r="D382" s="97"/>
      <c r="E382" s="29"/>
      <c r="F382" s="67"/>
      <c r="G382" s="67"/>
      <c r="H382" s="67"/>
      <c r="K382">
        <v>1</v>
      </c>
      <c r="L382" s="44">
        <v>4.6500000000000323</v>
      </c>
      <c r="M382" s="44">
        <v>20.454651173619439</v>
      </c>
      <c r="N382" s="44">
        <v>9.5772093346310108</v>
      </c>
      <c r="O382" s="44">
        <v>0</v>
      </c>
      <c r="P382" s="2">
        <v>0</v>
      </c>
      <c r="Q382" s="2">
        <v>9.7406550140729193E-8</v>
      </c>
      <c r="R382" s="2">
        <v>-3.6321754548320613E-7</v>
      </c>
      <c r="T382" s="60"/>
      <c r="V382" s="2"/>
      <c r="W382" s="2"/>
      <c r="X382" s="2"/>
      <c r="Y382" s="98"/>
    </row>
    <row r="383" spans="3:25" x14ac:dyDescent="0.2">
      <c r="C383" s="68"/>
      <c r="D383" s="95"/>
      <c r="E383" s="65"/>
      <c r="F383" s="66"/>
      <c r="G383" s="66"/>
      <c r="H383" s="66"/>
      <c r="K383">
        <v>1</v>
      </c>
      <c r="L383" s="44">
        <v>4.6625000000000325</v>
      </c>
      <c r="M383" s="44">
        <v>20.579651173619439</v>
      </c>
      <c r="N383" s="44">
        <v>9.8336737243012458</v>
      </c>
      <c r="O383" s="44">
        <v>0</v>
      </c>
      <c r="P383" s="2">
        <v>0</v>
      </c>
      <c r="Q383" s="2">
        <v>9.2896688454621794E-8</v>
      </c>
      <c r="R383" s="2">
        <v>-3.5833883752212755E-7</v>
      </c>
      <c r="T383" s="60"/>
      <c r="V383" s="2"/>
      <c r="W383" s="2"/>
      <c r="X383" s="2"/>
      <c r="Y383" s="98"/>
    </row>
    <row r="384" spans="3:25" x14ac:dyDescent="0.2">
      <c r="C384" s="69"/>
      <c r="D384" s="96"/>
      <c r="E384" s="29"/>
      <c r="F384" s="67"/>
      <c r="G384" s="67"/>
      <c r="H384" s="67"/>
      <c r="K384">
        <v>1</v>
      </c>
      <c r="L384" s="44">
        <v>4.6750000000000327</v>
      </c>
      <c r="M384" s="44">
        <v>20.704651173619439</v>
      </c>
      <c r="N384" s="44">
        <v>10.091700613971501</v>
      </c>
      <c r="O384" s="44">
        <v>0</v>
      </c>
      <c r="P384" s="2">
        <v>0</v>
      </c>
      <c r="Q384" s="2">
        <v>8.8448618008315075E-8</v>
      </c>
      <c r="R384" s="2">
        <v>-3.5333081620790842E-7</v>
      </c>
      <c r="T384" s="60"/>
      <c r="V384" s="2"/>
      <c r="W384" s="2"/>
      <c r="X384" s="2"/>
      <c r="Y384" s="98"/>
    </row>
    <row r="385" spans="3:25" x14ac:dyDescent="0.2">
      <c r="C385" s="70"/>
      <c r="D385" s="97"/>
      <c r="E385" s="65"/>
      <c r="F385" s="66"/>
      <c r="G385" s="66"/>
      <c r="H385" s="66"/>
      <c r="K385">
        <v>1</v>
      </c>
      <c r="L385" s="44">
        <v>4.6875000000000329</v>
      </c>
      <c r="M385" s="44">
        <v>20.829651173619439</v>
      </c>
      <c r="N385" s="44">
        <v>10.351290003641759</v>
      </c>
      <c r="O385" s="44">
        <v>0</v>
      </c>
      <c r="P385" s="2">
        <v>0</v>
      </c>
      <c r="Q385" s="2">
        <v>8.4063960127747952E-8</v>
      </c>
      <c r="R385" s="2">
        <v>-3.4819269609627565E-7</v>
      </c>
      <c r="T385" s="60"/>
      <c r="V385" s="2"/>
      <c r="W385" s="2"/>
      <c r="X385" s="2"/>
      <c r="Y385" s="98"/>
    </row>
    <row r="386" spans="3:25" x14ac:dyDescent="0.2">
      <c r="C386" s="68"/>
      <c r="D386" s="95"/>
      <c r="E386" s="29"/>
      <c r="F386" s="67"/>
      <c r="G386" s="67"/>
      <c r="H386" s="67"/>
      <c r="K386">
        <v>1</v>
      </c>
      <c r="L386" s="44">
        <v>4.700000000000033</v>
      </c>
      <c r="M386" s="44">
        <v>20.954651173619439</v>
      </c>
      <c r="N386" s="44">
        <v>10.612441893311997</v>
      </c>
      <c r="O386" s="44">
        <v>0</v>
      </c>
      <c r="P386" s="2">
        <v>0</v>
      </c>
      <c r="Q386" s="2">
        <v>7.9744345956913261E-8</v>
      </c>
      <c r="R386" s="2">
        <v>-3.4292369174295557E-7</v>
      </c>
      <c r="T386" s="60"/>
      <c r="V386" s="2"/>
      <c r="W386" s="2"/>
      <c r="X386" s="2"/>
      <c r="Y386" s="98"/>
    </row>
    <row r="387" spans="3:25" x14ac:dyDescent="0.2">
      <c r="C387" s="69"/>
      <c r="D387" s="96"/>
      <c r="E387" s="65"/>
      <c r="F387" s="66"/>
      <c r="G387" s="66"/>
      <c r="H387" s="66"/>
      <c r="K387">
        <v>1</v>
      </c>
      <c r="L387" s="44">
        <v>4.7125000000000332</v>
      </c>
      <c r="M387" s="44">
        <v>21.079651173619446</v>
      </c>
      <c r="N387" s="44">
        <v>10.875156282982239</v>
      </c>
      <c r="O387" s="44">
        <v>0</v>
      </c>
      <c r="P387" s="2">
        <v>0</v>
      </c>
      <c r="Q387" s="2">
        <v>7.5491416457862519E-8</v>
      </c>
      <c r="R387" s="2">
        <v>-3.3752301770367893E-7</v>
      </c>
      <c r="T387" s="60"/>
      <c r="V387" s="2"/>
      <c r="W387" s="2"/>
      <c r="X387" s="2"/>
      <c r="Y387" s="98"/>
    </row>
    <row r="388" spans="3:25" x14ac:dyDescent="0.2">
      <c r="C388" s="70"/>
      <c r="D388" s="97"/>
      <c r="E388" s="29"/>
      <c r="F388" s="67"/>
      <c r="G388" s="67"/>
      <c r="H388" s="67"/>
      <c r="K388">
        <v>1</v>
      </c>
      <c r="L388" s="44">
        <v>4.7250000000000334</v>
      </c>
      <c r="M388" s="44">
        <v>21.204651173619446</v>
      </c>
      <c r="N388" s="44">
        <v>11.139433172652488</v>
      </c>
      <c r="O388" s="44">
        <v>0</v>
      </c>
      <c r="P388" s="2">
        <v>0</v>
      </c>
      <c r="Q388" s="2">
        <v>7.1306822410697418E-8</v>
      </c>
      <c r="R388" s="2">
        <v>-3.3198988853417266E-7</v>
      </c>
      <c r="T388" s="60"/>
      <c r="V388" s="2"/>
      <c r="W388" s="2"/>
      <c r="X388" s="2"/>
      <c r="Y388" s="98"/>
    </row>
    <row r="389" spans="3:25" x14ac:dyDescent="0.2">
      <c r="C389" s="68"/>
      <c r="D389" s="95"/>
      <c r="E389" s="65"/>
      <c r="F389" s="66"/>
      <c r="G389" s="66"/>
      <c r="H389" s="66"/>
      <c r="K389">
        <v>1</v>
      </c>
      <c r="L389" s="44">
        <v>4.7375000000000336</v>
      </c>
      <c r="M389" s="44">
        <v>21.329651173619446</v>
      </c>
      <c r="N389" s="44">
        <v>11.405272562322729</v>
      </c>
      <c r="O389" s="44">
        <v>0</v>
      </c>
      <c r="P389" s="2">
        <v>0</v>
      </c>
      <c r="Q389" s="2">
        <v>6.7192224413570602E-8</v>
      </c>
      <c r="R389" s="2">
        <v>-3.2632351879016239E-7</v>
      </c>
      <c r="T389" s="60"/>
      <c r="V389" s="2"/>
      <c r="W389" s="2"/>
      <c r="X389" s="2"/>
      <c r="Y389" s="98"/>
    </row>
    <row r="390" spans="3:25" x14ac:dyDescent="0.2">
      <c r="C390" s="69"/>
      <c r="D390" s="96"/>
      <c r="E390" s="29"/>
      <c r="F390" s="67"/>
      <c r="G390" s="67"/>
      <c r="H390" s="67"/>
      <c r="K390">
        <v>1</v>
      </c>
      <c r="L390" s="44">
        <v>4.7500000000000338</v>
      </c>
      <c r="M390" s="44">
        <v>21.454651173619453</v>
      </c>
      <c r="N390" s="44">
        <v>11.672674451992973</v>
      </c>
      <c r="O390" s="44">
        <v>0</v>
      </c>
      <c r="P390" s="2">
        <v>0</v>
      </c>
      <c r="Q390" s="2">
        <v>6.3149292882688514E-8</v>
      </c>
      <c r="R390" s="2">
        <v>-3.2052312302737564E-7</v>
      </c>
      <c r="T390" s="60"/>
      <c r="V390" s="2"/>
      <c r="W390" s="2"/>
      <c r="X390" s="2"/>
      <c r="Y390" s="98"/>
    </row>
    <row r="391" spans="3:25" x14ac:dyDescent="0.2">
      <c r="C391" s="70"/>
      <c r="D391" s="97"/>
      <c r="E391" s="65"/>
      <c r="F391" s="66"/>
      <c r="G391" s="66"/>
      <c r="H391" s="66"/>
      <c r="K391">
        <v>1</v>
      </c>
      <c r="L391" s="44">
        <v>4.7625000000000339</v>
      </c>
      <c r="M391" s="44">
        <v>21.579651173619453</v>
      </c>
      <c r="N391" s="44">
        <v>11.941638841663226</v>
      </c>
      <c r="O391" s="44">
        <v>0</v>
      </c>
      <c r="P391" s="2">
        <v>0</v>
      </c>
      <c r="Q391" s="2">
        <v>5.9179708052314969E-8</v>
      </c>
      <c r="R391" s="2">
        <v>-3.1458791580154322E-7</v>
      </c>
      <c r="T391" s="60"/>
      <c r="V391" s="2"/>
      <c r="W391" s="2"/>
      <c r="X391" s="2"/>
      <c r="Y391" s="98"/>
    </row>
    <row r="392" spans="3:25" x14ac:dyDescent="0.2">
      <c r="C392" s="68"/>
      <c r="D392" s="95"/>
      <c r="E392" s="29"/>
      <c r="F392" s="67"/>
      <c r="G392" s="67"/>
      <c r="H392" s="67"/>
      <c r="K392">
        <v>1</v>
      </c>
      <c r="L392" s="44">
        <v>4.7750000000000341</v>
      </c>
      <c r="M392" s="44">
        <v>21.704651173619453</v>
      </c>
      <c r="N392" s="44">
        <v>12.212165731333481</v>
      </c>
      <c r="O392" s="44">
        <v>0</v>
      </c>
      <c r="P392" s="2">
        <v>0</v>
      </c>
      <c r="Q392" s="2">
        <v>5.5285159974764652E-8</v>
      </c>
      <c r="R392" s="2">
        <v>-3.0851711166839027E-7</v>
      </c>
      <c r="T392" s="60"/>
      <c r="V392" s="2"/>
      <c r="W392" s="2"/>
      <c r="X392" s="2"/>
      <c r="Y392" s="98"/>
    </row>
    <row r="393" spans="3:25" x14ac:dyDescent="0.2">
      <c r="C393" s="69"/>
      <c r="D393" s="96"/>
      <c r="E393" s="65"/>
      <c r="F393" s="66"/>
      <c r="G393" s="66"/>
      <c r="H393" s="66"/>
      <c r="K393">
        <v>1</v>
      </c>
      <c r="L393" s="44">
        <v>4.7875000000000343</v>
      </c>
      <c r="M393" s="44">
        <v>21.829651173619453</v>
      </c>
      <c r="N393" s="44">
        <v>12.484255121003731</v>
      </c>
      <c r="O393" s="44">
        <v>0</v>
      </c>
      <c r="P393" s="2">
        <v>0</v>
      </c>
      <c r="Q393" s="2">
        <v>5.1467348520402443E-8</v>
      </c>
      <c r="R393" s="2">
        <v>-3.023099251836431E-7</v>
      </c>
      <c r="T393" s="60"/>
      <c r="V393" s="2"/>
      <c r="W393" s="2"/>
      <c r="X393" s="2"/>
      <c r="Y393" s="98"/>
    </row>
    <row r="394" spans="3:25" x14ac:dyDescent="0.2">
      <c r="C394" s="70"/>
      <c r="D394" s="97"/>
      <c r="E394" s="29"/>
      <c r="F394" s="67"/>
      <c r="G394" s="67"/>
      <c r="H394" s="67"/>
      <c r="K394">
        <v>1</v>
      </c>
      <c r="L394" s="44">
        <v>4.8000000000000345</v>
      </c>
      <c r="M394" s="44">
        <v>21.954651173619453</v>
      </c>
      <c r="N394" s="44">
        <v>12.757907010673971</v>
      </c>
      <c r="O394" s="44">
        <v>0</v>
      </c>
      <c r="P394" s="2">
        <v>0</v>
      </c>
      <c r="Q394" s="2">
        <v>4.7727983377653068E-8</v>
      </c>
      <c r="R394" s="2">
        <v>-2.9596557090303135E-7</v>
      </c>
      <c r="T394" s="60"/>
      <c r="V394" s="2"/>
      <c r="W394" s="2"/>
      <c r="X394" s="2"/>
      <c r="Y394" s="98"/>
    </row>
    <row r="395" spans="3:25" x14ac:dyDescent="0.2">
      <c r="C395" s="68"/>
      <c r="D395" s="95"/>
      <c r="E395" s="65"/>
      <c r="F395" s="66"/>
      <c r="G395" s="66"/>
      <c r="H395" s="66"/>
      <c r="K395">
        <v>1</v>
      </c>
      <c r="L395" s="44">
        <v>4.8125000000000346</v>
      </c>
      <c r="M395">
        <v>22.07965117361946</v>
      </c>
      <c r="N395">
        <v>13.03312140034423</v>
      </c>
      <c r="O395">
        <v>0</v>
      </c>
      <c r="P395">
        <v>0</v>
      </c>
      <c r="Q395">
        <v>4.406878405299627E-8</v>
      </c>
      <c r="R395">
        <v>-2.8948326338228365E-7</v>
      </c>
      <c r="T395" s="60"/>
      <c r="V395" s="2"/>
      <c r="W395" s="2"/>
      <c r="X395" s="2"/>
      <c r="Y395" s="98"/>
    </row>
    <row r="396" spans="3:25" x14ac:dyDescent="0.2">
      <c r="C396" s="69"/>
      <c r="D396" s="96"/>
      <c r="E396" s="29"/>
      <c r="F396" s="67"/>
      <c r="G396" s="67"/>
      <c r="H396" s="67"/>
      <c r="K396">
        <v>1</v>
      </c>
      <c r="L396" s="44">
        <v>4.8250000000000348</v>
      </c>
      <c r="M396">
        <v>22.20465117361946</v>
      </c>
      <c r="N396">
        <v>13.309898290014454</v>
      </c>
      <c r="O396">
        <v>0</v>
      </c>
      <c r="P396">
        <v>0</v>
      </c>
      <c r="Q396">
        <v>4.0491479870950536E-8</v>
      </c>
      <c r="R396">
        <v>-2.8286221717712457E-7</v>
      </c>
      <c r="T396" s="60"/>
      <c r="V396" s="2"/>
      <c r="W396" s="2"/>
      <c r="X396" s="2"/>
      <c r="Y396" s="98"/>
    </row>
    <row r="397" spans="3:25" x14ac:dyDescent="0.2">
      <c r="C397" s="70"/>
      <c r="D397" s="97"/>
      <c r="E397" s="65"/>
      <c r="F397" s="66"/>
      <c r="G397" s="66"/>
      <c r="H397" s="66"/>
      <c r="K397">
        <v>1</v>
      </c>
      <c r="L397" s="44">
        <v>4.837500000000035</v>
      </c>
      <c r="M397">
        <v>22.32965117361946</v>
      </c>
      <c r="N397">
        <v>13.58823767968471</v>
      </c>
      <c r="O397">
        <v>0</v>
      </c>
      <c r="P397">
        <v>0</v>
      </c>
      <c r="Q397">
        <v>3.6997809974102666E-8</v>
      </c>
      <c r="R397">
        <v>-2.7610164684328491E-7</v>
      </c>
      <c r="T397" s="60"/>
      <c r="V397" s="2"/>
      <c r="W397" s="2"/>
      <c r="X397" s="2"/>
      <c r="Y397" s="98"/>
    </row>
    <row r="398" spans="3:25" x14ac:dyDescent="0.2">
      <c r="C398" s="68"/>
      <c r="D398" s="95"/>
      <c r="E398" s="29"/>
      <c r="F398" s="67"/>
      <c r="G398" s="67"/>
      <c r="H398" s="67"/>
      <c r="K398">
        <v>1</v>
      </c>
      <c r="L398" s="44">
        <v>4.8500000000000352</v>
      </c>
      <c r="M398">
        <v>22.454651173619467</v>
      </c>
      <c r="N398">
        <v>13.868139569354973</v>
      </c>
      <c r="O398">
        <v>0</v>
      </c>
      <c r="P398">
        <v>0</v>
      </c>
      <c r="Q398">
        <v>3.3589523323087372E-8</v>
      </c>
      <c r="R398">
        <v>-2.6920076693648818E-7</v>
      </c>
      <c r="T398" s="60"/>
      <c r="V398" s="2"/>
      <c r="W398" s="2"/>
      <c r="X398" s="2"/>
      <c r="Y398" s="98"/>
    </row>
    <row r="399" spans="3:25" x14ac:dyDescent="0.2">
      <c r="C399" s="69"/>
      <c r="D399" s="96"/>
      <c r="E399" s="65"/>
      <c r="F399" s="66"/>
      <c r="G399" s="66"/>
      <c r="H399" s="66"/>
      <c r="K399">
        <v>1</v>
      </c>
      <c r="L399" s="44">
        <v>4.8625000000000353</v>
      </c>
      <c r="M399">
        <v>22.579651173619467</v>
      </c>
      <c r="N399">
        <v>14.149603959025212</v>
      </c>
      <c r="O399">
        <v>0</v>
      </c>
      <c r="P399">
        <v>0</v>
      </c>
      <c r="Q399">
        <v>3.0268378696595983E-8</v>
      </c>
      <c r="R399">
        <v>-2.6215879201246629E-7</v>
      </c>
      <c r="T399" s="60"/>
      <c r="V399" s="2"/>
      <c r="W399" s="2"/>
      <c r="X399" s="2"/>
      <c r="Y399" s="98"/>
    </row>
    <row r="400" spans="3:25" x14ac:dyDescent="0.2">
      <c r="C400" s="70"/>
      <c r="D400" s="97"/>
      <c r="E400" s="29"/>
      <c r="F400" s="67"/>
      <c r="G400" s="67"/>
      <c r="H400" s="67"/>
      <c r="K400">
        <v>1</v>
      </c>
      <c r="L400" s="44">
        <v>4.8750000000000355</v>
      </c>
      <c r="M400">
        <v>22.704651173619467</v>
      </c>
      <c r="N400">
        <v>14.432630848695458</v>
      </c>
      <c r="O400">
        <v>0</v>
      </c>
      <c r="P400">
        <v>0</v>
      </c>
      <c r="Q400">
        <v>2.7036144691367976E-8</v>
      </c>
      <c r="R400">
        <v>-2.5497493662694496E-7</v>
      </c>
      <c r="T400" s="60"/>
      <c r="V400" s="2"/>
      <c r="W400" s="2"/>
      <c r="X400" s="2"/>
      <c r="Y400" s="98"/>
    </row>
    <row r="401" spans="3:25" x14ac:dyDescent="0.2">
      <c r="C401" s="68"/>
      <c r="D401" s="95"/>
      <c r="E401" s="65"/>
      <c r="F401" s="66"/>
      <c r="G401" s="66"/>
      <c r="H401" s="66"/>
      <c r="K401">
        <v>1</v>
      </c>
      <c r="L401" s="44">
        <v>4.8875000000000357</v>
      </c>
      <c r="M401">
        <v>22.829651173619467</v>
      </c>
      <c r="N401">
        <v>14.717220238365694</v>
      </c>
      <c r="O401">
        <v>0</v>
      </c>
      <c r="P401">
        <v>0</v>
      </c>
      <c r="Q401">
        <v>2.3894599722193964E-8</v>
      </c>
      <c r="R401">
        <v>-2.4764841533564881E-7</v>
      </c>
      <c r="T401" s="60"/>
      <c r="V401" s="2"/>
      <c r="W401" s="2"/>
      <c r="X401" s="2"/>
      <c r="Y401" s="98"/>
    </row>
    <row r="402" spans="3:25" x14ac:dyDescent="0.2">
      <c r="C402" s="69"/>
      <c r="D402" s="96"/>
      <c r="E402" s="29"/>
      <c r="F402" s="67"/>
      <c r="G402" s="67"/>
      <c r="H402" s="67"/>
      <c r="K402">
        <v>1</v>
      </c>
      <c r="L402" s="44">
        <v>4.9000000000000359</v>
      </c>
      <c r="M402">
        <v>22.954651173619467</v>
      </c>
      <c r="N402">
        <v>15.003372128035966</v>
      </c>
      <c r="O402">
        <v>0</v>
      </c>
      <c r="P402">
        <v>0</v>
      </c>
      <c r="Q402">
        <v>2.0845532021932859E-8</v>
      </c>
      <c r="R402">
        <v>-2.4017844269431157E-7</v>
      </c>
      <c r="T402" s="60"/>
      <c r="V402" s="2"/>
      <c r="W402" s="2"/>
      <c r="X402" s="2"/>
      <c r="Y402" s="98"/>
    </row>
    <row r="403" spans="3:25" x14ac:dyDescent="0.2">
      <c r="C403" s="70"/>
      <c r="D403" s="97"/>
      <c r="E403" s="65"/>
      <c r="F403" s="66"/>
      <c r="G403" s="66"/>
      <c r="H403" s="66"/>
      <c r="K403">
        <v>1</v>
      </c>
      <c r="L403" s="44">
        <v>4.9125000000000361</v>
      </c>
      <c r="M403">
        <v>23.079651173619474</v>
      </c>
      <c r="N403">
        <v>15.291086517706201</v>
      </c>
      <c r="O403">
        <v>0</v>
      </c>
      <c r="P403">
        <v>0</v>
      </c>
      <c r="Q403">
        <v>1.7890739641482073E-8</v>
      </c>
      <c r="R403">
        <v>-2.3256423325865548E-7</v>
      </c>
      <c r="T403" s="60"/>
      <c r="V403" s="2"/>
      <c r="W403" s="2"/>
      <c r="X403" s="2"/>
      <c r="Y403" s="98"/>
    </row>
    <row r="404" spans="3:25" x14ac:dyDescent="0.2">
      <c r="C404" s="68"/>
      <c r="D404" s="95"/>
      <c r="E404" s="29"/>
      <c r="F404" s="67"/>
      <c r="G404" s="67"/>
      <c r="H404" s="67"/>
      <c r="K404">
        <v>1</v>
      </c>
      <c r="L404" s="44">
        <v>4.9250000000000362</v>
      </c>
      <c r="M404">
        <v>23.204651173619474</v>
      </c>
      <c r="N404">
        <v>15.580363407376442</v>
      </c>
      <c r="O404">
        <v>0</v>
      </c>
      <c r="P404">
        <v>0</v>
      </c>
      <c r="Q404">
        <v>1.5032030449793621E-8</v>
      </c>
      <c r="R404">
        <v>-2.2480500158441079E-7</v>
      </c>
      <c r="T404" s="60"/>
      <c r="V404" s="2"/>
      <c r="W404" s="2"/>
      <c r="X404" s="2"/>
      <c r="Y404" s="98"/>
    </row>
    <row r="405" spans="3:25" x14ac:dyDescent="0.2">
      <c r="C405" s="69"/>
      <c r="D405" s="96"/>
      <c r="E405" s="65"/>
      <c r="F405" s="66"/>
      <c r="G405" s="66"/>
      <c r="H405" s="66"/>
      <c r="K405">
        <v>1</v>
      </c>
      <c r="L405" s="44">
        <v>4.9375000000000364</v>
      </c>
      <c r="M405">
        <v>23.329651173619474</v>
      </c>
      <c r="N405">
        <v>15.871202797046687</v>
      </c>
      <c r="O405">
        <v>0</v>
      </c>
      <c r="P405">
        <v>0</v>
      </c>
      <c r="Q405">
        <v>1.2271222133882052E-8</v>
      </c>
      <c r="R405">
        <v>-2.168999622273044E-7</v>
      </c>
      <c r="T405" s="60"/>
      <c r="V405" s="2"/>
      <c r="W405" s="2"/>
      <c r="X405" s="2"/>
      <c r="Y405" s="98"/>
    </row>
    <row r="406" spans="3:25" x14ac:dyDescent="0.2">
      <c r="C406" s="70"/>
      <c r="D406" s="97"/>
      <c r="E406" s="29"/>
      <c r="F406" s="67"/>
      <c r="G406" s="67"/>
      <c r="H406" s="67"/>
      <c r="K406">
        <v>1</v>
      </c>
      <c r="L406" s="44">
        <v>4.9500000000000366</v>
      </c>
      <c r="M406">
        <v>23.454651173619482</v>
      </c>
      <c r="N406">
        <v>16.163604686716951</v>
      </c>
      <c r="O406">
        <v>0</v>
      </c>
      <c r="P406">
        <v>0</v>
      </c>
      <c r="Q406">
        <v>9.6101421988094112E-9</v>
      </c>
      <c r="R406">
        <v>-2.0884832974306484E-7</v>
      </c>
      <c r="T406" s="60"/>
      <c r="V406" s="2"/>
      <c r="W406" s="2"/>
      <c r="X406" s="2"/>
      <c r="Y406" s="98"/>
    </row>
    <row r="407" spans="3:25" x14ac:dyDescent="0.2">
      <c r="C407" s="68"/>
      <c r="D407" s="95"/>
      <c r="E407" s="65"/>
      <c r="F407" s="66"/>
      <c r="G407" s="66"/>
      <c r="H407" s="66"/>
      <c r="K407">
        <v>1</v>
      </c>
      <c r="L407" s="44">
        <v>4.9625000000000368</v>
      </c>
      <c r="M407">
        <v>23.579651173619482</v>
      </c>
      <c r="N407">
        <v>16.457569076387195</v>
      </c>
      <c r="O407">
        <v>0</v>
      </c>
      <c r="P407">
        <v>0</v>
      </c>
      <c r="Q407">
        <v>7.0506279676856321E-9</v>
      </c>
      <c r="R407">
        <v>-2.0064931868741729E-7</v>
      </c>
      <c r="T407" s="60"/>
      <c r="V407" s="2"/>
      <c r="W407" s="2"/>
      <c r="X407" s="2"/>
      <c r="Y407" s="98"/>
    </row>
    <row r="408" spans="3:25" x14ac:dyDescent="0.2">
      <c r="C408" s="69"/>
      <c r="D408" s="96"/>
      <c r="E408" s="29"/>
      <c r="F408" s="67"/>
      <c r="G408" s="67"/>
      <c r="H408" s="67"/>
      <c r="K408">
        <v>1</v>
      </c>
      <c r="L408" s="44">
        <v>4.9750000000000369</v>
      </c>
      <c r="M408">
        <v>23.704651173619482</v>
      </c>
      <c r="N408">
        <v>16.753095966057444</v>
      </c>
      <c r="O408">
        <v>0</v>
      </c>
      <c r="P408">
        <v>0</v>
      </c>
      <c r="Q408">
        <v>4.5945265816866807E-9</v>
      </c>
      <c r="R408">
        <v>-1.923021436160926E-7</v>
      </c>
      <c r="T408" s="60"/>
      <c r="V408" s="2"/>
      <c r="W408" s="2"/>
      <c r="X408" s="2"/>
      <c r="Y408" s="98"/>
    </row>
    <row r="409" spans="3:25" x14ac:dyDescent="0.2">
      <c r="C409" s="70"/>
      <c r="D409" s="97"/>
      <c r="E409" s="65"/>
      <c r="F409" s="66"/>
      <c r="G409" s="66"/>
      <c r="H409" s="66"/>
      <c r="K409">
        <v>1</v>
      </c>
      <c r="L409" s="44">
        <v>4.9875000000000371</v>
      </c>
      <c r="M409">
        <v>23.829651173619482</v>
      </c>
      <c r="N409">
        <v>17.050185355727685</v>
      </c>
      <c r="O409">
        <v>0</v>
      </c>
      <c r="P409">
        <v>0</v>
      </c>
      <c r="Q409">
        <v>2.243695000032519E-9</v>
      </c>
      <c r="R409">
        <v>-1.8380601908481475E-7</v>
      </c>
      <c r="T409" s="60"/>
      <c r="V409" s="2"/>
      <c r="W409" s="2"/>
      <c r="X409" s="2"/>
      <c r="Y409" s="98"/>
    </row>
    <row r="410" spans="3:25" x14ac:dyDescent="0.2">
      <c r="C410" s="68"/>
      <c r="D410" s="95"/>
      <c r="E410" s="29"/>
      <c r="F410" s="67"/>
      <c r="G410" s="67"/>
      <c r="H410" s="67"/>
      <c r="K410">
        <v>1</v>
      </c>
      <c r="L410" s="44">
        <v>5.0000000000000373</v>
      </c>
      <c r="M410">
        <v>23.954651173619112</v>
      </c>
      <c r="N410">
        <v>17.348837245397039</v>
      </c>
      <c r="O410">
        <v>0</v>
      </c>
      <c r="P410">
        <v>0</v>
      </c>
      <c r="Q410">
        <v>8.969650157729619E-21</v>
      </c>
      <c r="R410">
        <v>-1.7516015964934044E-7</v>
      </c>
      <c r="T410" s="60"/>
      <c r="V410" s="2"/>
      <c r="W410" s="2"/>
      <c r="X410" s="2"/>
      <c r="Y410" s="98"/>
    </row>
    <row r="411" spans="3:25" x14ac:dyDescent="0.2">
      <c r="C411" s="69"/>
      <c r="D411" s="96"/>
      <c r="E411" s="65"/>
      <c r="F411" s="66"/>
      <c r="G411" s="66"/>
      <c r="H411" s="66"/>
      <c r="K411">
        <v>2</v>
      </c>
      <c r="L411" s="44">
        <v>0</v>
      </c>
      <c r="M411">
        <v>-9.9929557664586071</v>
      </c>
      <c r="N411">
        <v>17.348837245397039</v>
      </c>
      <c r="O411">
        <v>0</v>
      </c>
      <c r="P411">
        <v>0</v>
      </c>
      <c r="Q411">
        <v>0</v>
      </c>
      <c r="R411">
        <v>-1.7516015964934211E-7</v>
      </c>
      <c r="T411" s="60"/>
      <c r="V411" s="2"/>
      <c r="W411" s="2"/>
      <c r="X411" s="2"/>
      <c r="Y411" s="98"/>
    </row>
    <row r="412" spans="3:25" x14ac:dyDescent="0.2">
      <c r="C412" s="70"/>
      <c r="D412" s="97"/>
      <c r="E412" s="29"/>
      <c r="F412" s="67"/>
      <c r="G412" s="67"/>
      <c r="H412" s="67"/>
      <c r="K412">
        <v>2</v>
      </c>
      <c r="L412" s="44">
        <v>2.5000000000000001E-2</v>
      </c>
      <c r="M412">
        <v>-9.9929557664586071</v>
      </c>
      <c r="N412">
        <v>17.099013351235573</v>
      </c>
      <c r="O412">
        <v>0</v>
      </c>
      <c r="P412">
        <v>0</v>
      </c>
      <c r="Q412">
        <v>-3.4745553587837579E-9</v>
      </c>
      <c r="R412">
        <v>-1.0297876119859127E-7</v>
      </c>
      <c r="T412" s="60"/>
      <c r="V412" s="2"/>
      <c r="W412" s="2"/>
      <c r="X412" s="2"/>
      <c r="Y412" s="98"/>
    </row>
    <row r="413" spans="3:25" x14ac:dyDescent="0.2">
      <c r="C413" s="68"/>
      <c r="D413" s="95"/>
      <c r="E413" s="65"/>
      <c r="F413" s="66"/>
      <c r="G413" s="66"/>
      <c r="H413" s="66"/>
      <c r="K413">
        <v>2</v>
      </c>
      <c r="L413" s="44">
        <v>0.05</v>
      </c>
      <c r="M413">
        <v>-9.9929557664586071</v>
      </c>
      <c r="N413">
        <v>16.849189457074107</v>
      </c>
      <c r="O413">
        <v>0</v>
      </c>
      <c r="P413">
        <v>0</v>
      </c>
      <c r="Q413">
        <v>-5.1576626671908105E-9</v>
      </c>
      <c r="R413">
        <v>-3.1844315619197921E-8</v>
      </c>
      <c r="T413" s="60"/>
      <c r="V413" s="2"/>
      <c r="W413" s="2"/>
      <c r="X413" s="2"/>
      <c r="Y413" s="98"/>
    </row>
    <row r="414" spans="3:25" x14ac:dyDescent="0.2">
      <c r="C414" s="69"/>
      <c r="D414" s="96"/>
      <c r="E414" s="29"/>
      <c r="F414" s="67"/>
      <c r="G414" s="67"/>
      <c r="H414" s="67"/>
      <c r="K414">
        <v>2</v>
      </c>
      <c r="L414" s="44">
        <v>7.5000000000000011E-2</v>
      </c>
      <c r="M414">
        <v>-9.9929557664586071</v>
      </c>
      <c r="N414">
        <v>16.599365562912645</v>
      </c>
      <c r="O414">
        <v>0</v>
      </c>
      <c r="P414">
        <v>0</v>
      </c>
      <c r="Q414">
        <v>-5.0754957470049006E-9</v>
      </c>
      <c r="R414">
        <v>3.8243177088845769E-8</v>
      </c>
      <c r="T414" s="60"/>
      <c r="Y414" s="98"/>
    </row>
    <row r="415" spans="3:25" x14ac:dyDescent="0.2">
      <c r="C415" s="70"/>
      <c r="D415" s="97"/>
      <c r="E415" s="65"/>
      <c r="F415" s="66"/>
      <c r="G415" s="66"/>
      <c r="H415" s="66"/>
      <c r="K415">
        <v>2</v>
      </c>
      <c r="L415" s="44">
        <v>0.1</v>
      </c>
      <c r="M415">
        <v>-9.9929557664586071</v>
      </c>
      <c r="N415">
        <v>16.349541668751179</v>
      </c>
      <c r="O415">
        <v>0</v>
      </c>
      <c r="P415">
        <v>0</v>
      </c>
      <c r="Q415">
        <v>-3.2542284200097701E-9</v>
      </c>
      <c r="R415">
        <v>1.0728371692553969E-7</v>
      </c>
      <c r="T415" s="60"/>
      <c r="Y415" s="98"/>
    </row>
    <row r="416" spans="3:25" x14ac:dyDescent="0.2">
      <c r="C416" s="68"/>
      <c r="D416" s="95"/>
      <c r="E416" s="29"/>
      <c r="F416" s="67"/>
      <c r="G416" s="67"/>
      <c r="H416" s="67"/>
      <c r="K416">
        <v>2</v>
      </c>
      <c r="L416" s="44">
        <v>0.125</v>
      </c>
      <c r="M416">
        <v>-9.9929557664586071</v>
      </c>
      <c r="N416">
        <v>16.099717774589713</v>
      </c>
      <c r="O416">
        <v>0</v>
      </c>
      <c r="P416">
        <v>0</v>
      </c>
      <c r="Q416">
        <v>2.7996549201083371E-10</v>
      </c>
      <c r="R416">
        <v>1.7527730389088395E-7</v>
      </c>
      <c r="T416" s="60"/>
      <c r="Y416" s="98"/>
    </row>
    <row r="417" spans="3:25" x14ac:dyDescent="0.2">
      <c r="C417" s="69"/>
      <c r="D417" s="96"/>
      <c r="E417" s="65"/>
      <c r="F417" s="66"/>
      <c r="G417" s="66"/>
      <c r="H417" s="66"/>
      <c r="K417">
        <v>2</v>
      </c>
      <c r="L417" s="44">
        <v>0.15</v>
      </c>
      <c r="M417">
        <v>-9.9929557664586071</v>
      </c>
      <c r="N417">
        <v>15.849893880428247</v>
      </c>
      <c r="O417">
        <v>0</v>
      </c>
      <c r="P417">
        <v>0</v>
      </c>
      <c r="Q417">
        <v>5.5009121672731773E-9</v>
      </c>
      <c r="R417">
        <v>2.4222393798487845E-7</v>
      </c>
      <c r="T417" s="60"/>
      <c r="Y417" s="98"/>
    </row>
    <row r="418" spans="3:25" x14ac:dyDescent="0.2">
      <c r="C418" s="70"/>
      <c r="D418" s="97"/>
      <c r="E418" s="29"/>
      <c r="F418" s="67"/>
      <c r="G418" s="67"/>
      <c r="H418" s="67"/>
      <c r="K418">
        <v>2</v>
      </c>
      <c r="L418" s="44">
        <v>0.17499999999999999</v>
      </c>
      <c r="M418">
        <v>-9.9929557664586071</v>
      </c>
      <c r="N418">
        <v>15.600069986266783</v>
      </c>
      <c r="O418">
        <v>0</v>
      </c>
      <c r="P418">
        <v>0</v>
      </c>
      <c r="Q418">
        <v>1.2382437783993504E-8</v>
      </c>
      <c r="R418">
        <v>3.0812361920752327E-7</v>
      </c>
      <c r="T418" s="60"/>
      <c r="Y418" s="98"/>
    </row>
    <row r="419" spans="3:25" x14ac:dyDescent="0.2">
      <c r="C419" s="68"/>
      <c r="D419" s="95"/>
      <c r="E419" s="65"/>
      <c r="F419" s="66"/>
      <c r="G419" s="66"/>
      <c r="H419" s="66"/>
      <c r="K419">
        <v>2</v>
      </c>
      <c r="L419" s="44">
        <v>0.19999999999999998</v>
      </c>
      <c r="M419">
        <v>-9.9929557664586071</v>
      </c>
      <c r="N419">
        <v>15.350246092105317</v>
      </c>
      <c r="O419">
        <v>0</v>
      </c>
      <c r="P419">
        <v>0</v>
      </c>
      <c r="Q419">
        <v>2.0898368520388093E-8</v>
      </c>
      <c r="R419">
        <v>3.7297634755881843E-7</v>
      </c>
      <c r="T419" s="60"/>
      <c r="Y419" s="98"/>
    </row>
    <row r="420" spans="3:25" x14ac:dyDescent="0.2">
      <c r="C420" s="69"/>
      <c r="D420" s="96"/>
      <c r="E420" s="29"/>
      <c r="F420" s="67"/>
      <c r="G420" s="67"/>
      <c r="H420" s="67"/>
      <c r="K420">
        <v>2</v>
      </c>
      <c r="L420" s="44">
        <v>0.22499999999999998</v>
      </c>
      <c r="M420">
        <v>-9.9929557664586071</v>
      </c>
      <c r="N420">
        <v>15.100422197943853</v>
      </c>
      <c r="O420">
        <v>0</v>
      </c>
      <c r="P420">
        <v>0</v>
      </c>
      <c r="Q420">
        <v>3.1022530554673174E-8</v>
      </c>
      <c r="R420">
        <v>4.3678212303876388E-7</v>
      </c>
      <c r="T420" s="60"/>
      <c r="Y420" s="98"/>
    </row>
    <row r="421" spans="3:25" x14ac:dyDescent="0.2">
      <c r="C421" s="70"/>
      <c r="D421" s="97"/>
      <c r="E421" s="65"/>
      <c r="F421" s="66"/>
      <c r="G421" s="66"/>
      <c r="H421" s="66"/>
      <c r="K421">
        <v>2</v>
      </c>
      <c r="L421" s="44">
        <v>0.24999999999999997</v>
      </c>
      <c r="M421">
        <v>-9.9929557664586071</v>
      </c>
      <c r="N421">
        <v>14.850598303782387</v>
      </c>
      <c r="O421">
        <v>0</v>
      </c>
      <c r="P421">
        <v>0</v>
      </c>
      <c r="Q421">
        <v>4.2728750065065032E-8</v>
      </c>
      <c r="R421">
        <v>4.9954094564735978E-7</v>
      </c>
      <c r="T421" s="60"/>
      <c r="Y421" s="98"/>
    </row>
    <row r="422" spans="3:25" x14ac:dyDescent="0.2">
      <c r="C422" s="68"/>
      <c r="D422" s="95"/>
      <c r="E422" s="29"/>
      <c r="F422" s="67"/>
      <c r="G422" s="67"/>
      <c r="H422" s="67"/>
      <c r="K422">
        <v>2</v>
      </c>
      <c r="L422" s="44">
        <v>0.27499999999999997</v>
      </c>
      <c r="M422">
        <v>-9.9929557664586071</v>
      </c>
      <c r="N422">
        <v>14.600774409620922</v>
      </c>
      <c r="O422">
        <v>0</v>
      </c>
      <c r="P422">
        <v>0</v>
      </c>
      <c r="Q422">
        <v>5.5990853229779913E-8</v>
      </c>
      <c r="R422">
        <v>5.6125281538460576E-7</v>
      </c>
      <c r="T422" s="60"/>
      <c r="Y422" s="98"/>
    </row>
    <row r="423" spans="3:25" x14ac:dyDescent="0.2">
      <c r="C423" s="69"/>
      <c r="D423" s="96"/>
      <c r="E423" s="65"/>
      <c r="F423" s="66"/>
      <c r="G423" s="66"/>
      <c r="H423" s="66"/>
      <c r="K423">
        <v>2</v>
      </c>
      <c r="L423" s="44">
        <v>0.3</v>
      </c>
      <c r="M423">
        <v>-9.9929557664586071</v>
      </c>
      <c r="N423">
        <v>14.350950515459457</v>
      </c>
      <c r="O423">
        <v>0</v>
      </c>
      <c r="P423">
        <v>0</v>
      </c>
      <c r="Q423">
        <v>7.0782666227034078E-8</v>
      </c>
      <c r="R423">
        <v>6.2191773225050214E-7</v>
      </c>
      <c r="T423" s="60"/>
      <c r="Y423" s="98"/>
    </row>
    <row r="424" spans="3:25" x14ac:dyDescent="0.2">
      <c r="C424" s="70"/>
      <c r="D424" s="97"/>
      <c r="E424" s="29"/>
      <c r="F424" s="67"/>
      <c r="G424" s="67"/>
      <c r="H424" s="67"/>
      <c r="K424">
        <v>2</v>
      </c>
      <c r="L424" s="44">
        <v>0.32500000000000001</v>
      </c>
      <c r="M424">
        <v>-9.9929557664586071</v>
      </c>
      <c r="N424">
        <v>14.101126621297992</v>
      </c>
      <c r="O424">
        <v>0</v>
      </c>
      <c r="P424">
        <v>0</v>
      </c>
      <c r="Q424">
        <v>8.7078015235043803E-8</v>
      </c>
      <c r="R424">
        <v>6.8153569624504891E-7</v>
      </c>
      <c r="T424" s="60"/>
      <c r="Y424" s="98"/>
    </row>
    <row r="425" spans="3:25" x14ac:dyDescent="0.2">
      <c r="C425" s="68"/>
      <c r="D425" s="95"/>
      <c r="E425" s="65"/>
      <c r="F425" s="66"/>
      <c r="G425" s="66"/>
      <c r="H425" s="66"/>
      <c r="K425">
        <v>2</v>
      </c>
      <c r="L425" s="44">
        <v>0.35000000000000003</v>
      </c>
      <c r="M425">
        <v>-9.9929557664586071</v>
      </c>
      <c r="N425">
        <v>13.851302727136527</v>
      </c>
      <c r="O425">
        <v>0</v>
      </c>
      <c r="P425">
        <v>0</v>
      </c>
      <c r="Q425">
        <v>1.0485072643202531E-7</v>
      </c>
      <c r="R425">
        <v>7.4010670736824587E-7</v>
      </c>
      <c r="T425" s="60"/>
      <c r="Y425" s="98"/>
    </row>
    <row r="426" spans="3:25" x14ac:dyDescent="0.2">
      <c r="C426" s="69"/>
      <c r="D426" s="96"/>
      <c r="E426" s="29"/>
      <c r="F426" s="67"/>
      <c r="G426" s="67"/>
      <c r="H426" s="67"/>
      <c r="K426">
        <v>2</v>
      </c>
      <c r="L426" s="44">
        <v>0.37500000000000006</v>
      </c>
      <c r="M426">
        <v>-9.9929557664586071</v>
      </c>
      <c r="N426">
        <v>13.601478832975062</v>
      </c>
      <c r="O426">
        <v>0</v>
      </c>
      <c r="P426">
        <v>0</v>
      </c>
      <c r="Q426">
        <v>1.2407462599619489E-7</v>
      </c>
      <c r="R426">
        <v>7.9763076562009334E-7</v>
      </c>
      <c r="T426" s="60"/>
      <c r="Y426" s="98"/>
    </row>
    <row r="427" spans="3:25" x14ac:dyDescent="0.2">
      <c r="C427" s="70"/>
      <c r="D427" s="97"/>
      <c r="E427" s="65"/>
      <c r="F427" s="66"/>
      <c r="G427" s="66"/>
      <c r="H427" s="66"/>
      <c r="K427">
        <v>2</v>
      </c>
      <c r="L427" s="44">
        <v>0.40000000000000008</v>
      </c>
      <c r="M427">
        <v>-9.9929557664586071</v>
      </c>
      <c r="N427">
        <v>13.351654938813596</v>
      </c>
      <c r="O427">
        <v>0</v>
      </c>
      <c r="P427">
        <v>0</v>
      </c>
      <c r="Q427">
        <v>1.4472354010576873E-7</v>
      </c>
      <c r="R427">
        <v>8.5410787100059088E-7</v>
      </c>
      <c r="T427" s="60"/>
      <c r="Y427" s="98"/>
    </row>
    <row r="428" spans="3:25" x14ac:dyDescent="0.2">
      <c r="C428" s="68"/>
      <c r="D428" s="95"/>
      <c r="E428" s="29"/>
      <c r="F428" s="67"/>
      <c r="G428" s="67"/>
      <c r="H428" s="67"/>
      <c r="K428">
        <v>2</v>
      </c>
      <c r="L428" s="44">
        <v>0.4250000000000001</v>
      </c>
      <c r="M428">
        <v>-9.9929557664586071</v>
      </c>
      <c r="N428">
        <v>13.10183104465213</v>
      </c>
      <c r="O428">
        <v>0</v>
      </c>
      <c r="P428">
        <v>0</v>
      </c>
      <c r="Q428">
        <v>1.6677129493896319E-7</v>
      </c>
      <c r="R428">
        <v>9.0953802350973893E-7</v>
      </c>
      <c r="T428" s="60"/>
      <c r="Y428" s="98"/>
    </row>
    <row r="429" spans="3:25" x14ac:dyDescent="0.2">
      <c r="C429" s="69"/>
      <c r="D429" s="96"/>
      <c r="E429" s="65"/>
      <c r="F429" s="66"/>
      <c r="G429" s="66"/>
      <c r="H429" s="66"/>
      <c r="K429">
        <v>2</v>
      </c>
      <c r="L429" s="44">
        <v>0.45000000000000012</v>
      </c>
      <c r="M429">
        <v>-9.9929557664586071</v>
      </c>
      <c r="N429">
        <v>12.852007150490664</v>
      </c>
      <c r="O429">
        <v>0</v>
      </c>
      <c r="P429">
        <v>0</v>
      </c>
      <c r="Q429">
        <v>1.9019171667399445E-7</v>
      </c>
      <c r="R429">
        <v>9.6392122314753705E-7</v>
      </c>
      <c r="T429" s="60"/>
      <c r="Y429" s="98"/>
    </row>
    <row r="430" spans="3:25" x14ac:dyDescent="0.2">
      <c r="C430" s="70"/>
      <c r="D430" s="97"/>
      <c r="E430" s="29"/>
      <c r="F430" s="67"/>
      <c r="G430" s="67"/>
      <c r="H430" s="67"/>
      <c r="K430">
        <v>2</v>
      </c>
      <c r="L430" s="44">
        <v>0.47500000000000014</v>
      </c>
      <c r="M430">
        <v>-9.9929557664586071</v>
      </c>
      <c r="N430">
        <v>12.6021832563292</v>
      </c>
      <c r="O430">
        <v>0</v>
      </c>
      <c r="P430">
        <v>0</v>
      </c>
      <c r="Q430">
        <v>2.1495863148907886E-7</v>
      </c>
      <c r="R430">
        <v>1.0172574699139856E-6</v>
      </c>
      <c r="T430" s="60"/>
      <c r="Y430" s="98"/>
    </row>
    <row r="431" spans="3:25" x14ac:dyDescent="0.2">
      <c r="C431" s="68"/>
      <c r="D431" s="95"/>
      <c r="E431" s="65"/>
      <c r="F431" s="66"/>
      <c r="G431" s="66"/>
      <c r="H431" s="66"/>
      <c r="K431">
        <v>2</v>
      </c>
      <c r="L431" s="44">
        <v>0.50000000000000011</v>
      </c>
      <c r="M431">
        <v>-9.9929557664586071</v>
      </c>
      <c r="N431">
        <v>12.352359362167736</v>
      </c>
      <c r="O431">
        <v>0</v>
      </c>
      <c r="P431">
        <v>0</v>
      </c>
      <c r="Q431">
        <v>2.4104586556243251E-7</v>
      </c>
      <c r="R431">
        <v>1.0695467638090844E-6</v>
      </c>
      <c r="T431" s="60"/>
      <c r="Y431" s="98"/>
    </row>
    <row r="432" spans="3:25" x14ac:dyDescent="0.2">
      <c r="C432" s="69"/>
      <c r="D432" s="96"/>
      <c r="E432" s="29"/>
      <c r="F432" s="67"/>
      <c r="G432" s="67"/>
      <c r="H432" s="67"/>
      <c r="K432">
        <v>2</v>
      </c>
      <c r="L432" s="44">
        <v>0.52500000000000013</v>
      </c>
      <c r="M432">
        <v>-9.9929557664586071</v>
      </c>
      <c r="N432">
        <v>12.10253546800627</v>
      </c>
      <c r="O432">
        <v>0</v>
      </c>
      <c r="P432">
        <v>0</v>
      </c>
      <c r="Q432">
        <v>2.684272450722718E-7</v>
      </c>
      <c r="R432">
        <v>1.1207891048328333E-6</v>
      </c>
      <c r="T432" s="60"/>
      <c r="Y432" s="98"/>
    </row>
    <row r="433" spans="3:25" x14ac:dyDescent="0.2">
      <c r="C433" s="70"/>
      <c r="D433" s="97"/>
      <c r="E433" s="65"/>
      <c r="F433" s="66"/>
      <c r="G433" s="66"/>
      <c r="H433" s="66"/>
      <c r="K433">
        <v>2</v>
      </c>
      <c r="L433" s="44">
        <v>0.55000000000000016</v>
      </c>
      <c r="M433">
        <v>-9.9929557664586071</v>
      </c>
      <c r="N433">
        <v>11.852711573844804</v>
      </c>
      <c r="O433">
        <v>0</v>
      </c>
      <c r="P433">
        <v>0</v>
      </c>
      <c r="Q433">
        <v>2.9707659619681292E-7</v>
      </c>
      <c r="R433">
        <v>1.1709844929852327E-6</v>
      </c>
      <c r="T433" s="60"/>
      <c r="Y433" s="98"/>
    </row>
    <row r="434" spans="3:25" x14ac:dyDescent="0.2">
      <c r="C434" s="68"/>
      <c r="D434" s="95"/>
      <c r="E434" s="29"/>
      <c r="F434" s="67"/>
      <c r="G434" s="67"/>
      <c r="H434" s="67"/>
      <c r="K434">
        <v>2</v>
      </c>
      <c r="L434" s="44">
        <v>0.57500000000000018</v>
      </c>
      <c r="M434">
        <v>-9.9929557664586071</v>
      </c>
      <c r="N434">
        <v>11.602887679683338</v>
      </c>
      <c r="O434">
        <v>0</v>
      </c>
      <c r="P434">
        <v>0</v>
      </c>
      <c r="Q434">
        <v>3.2696774511427226E-7</v>
      </c>
      <c r="R434">
        <v>1.2201329282662824E-6</v>
      </c>
      <c r="T434" s="60"/>
      <c r="Y434" s="98"/>
    </row>
    <row r="435" spans="3:25" x14ac:dyDescent="0.2">
      <c r="C435" s="69"/>
      <c r="D435" s="96"/>
      <c r="E435" s="65"/>
      <c r="F435" s="66"/>
      <c r="G435" s="66"/>
      <c r="H435" s="66"/>
      <c r="K435">
        <v>2</v>
      </c>
      <c r="L435" s="44">
        <v>0.6000000000000002</v>
      </c>
      <c r="M435">
        <v>-9.9929557664586071</v>
      </c>
      <c r="N435">
        <v>11.353063785521872</v>
      </c>
      <c r="O435">
        <v>0</v>
      </c>
      <c r="P435">
        <v>0</v>
      </c>
      <c r="Q435">
        <v>3.5807451800286594E-7</v>
      </c>
      <c r="R435">
        <v>1.2682344106759824E-6</v>
      </c>
      <c r="T435" s="60"/>
      <c r="Y435" s="98"/>
    </row>
    <row r="436" spans="3:25" x14ac:dyDescent="0.2">
      <c r="C436" s="70"/>
      <c r="D436" s="97"/>
      <c r="E436" s="29"/>
      <c r="F436" s="67"/>
      <c r="G436" s="67"/>
      <c r="H436" s="67"/>
      <c r="K436">
        <v>2</v>
      </c>
      <c r="L436" s="44">
        <v>0.62500000000000022</v>
      </c>
      <c r="M436">
        <v>-9.9929557664586071</v>
      </c>
      <c r="N436">
        <v>11.103239891360408</v>
      </c>
      <c r="O436">
        <v>0</v>
      </c>
      <c r="P436">
        <v>0</v>
      </c>
      <c r="Q436">
        <v>3.9037074104081022E-7</v>
      </c>
      <c r="R436">
        <v>1.3152889402143328E-6</v>
      </c>
      <c r="T436" s="60"/>
      <c r="Y436" s="98"/>
    </row>
    <row r="437" spans="3:25" x14ac:dyDescent="0.2">
      <c r="C437" s="68"/>
      <c r="D437" s="95"/>
      <c r="E437" s="65"/>
      <c r="F437" s="66"/>
      <c r="G437" s="66"/>
      <c r="H437" s="66"/>
      <c r="K437">
        <v>2</v>
      </c>
      <c r="L437" s="44">
        <v>0.65000000000000024</v>
      </c>
      <c r="M437">
        <v>-9.9929557664586071</v>
      </c>
      <c r="N437">
        <v>10.853415997198942</v>
      </c>
      <c r="O437">
        <v>0</v>
      </c>
      <c r="P437">
        <v>0</v>
      </c>
      <c r="Q437">
        <v>4.2383024040632141E-7</v>
      </c>
      <c r="R437">
        <v>1.3612965168813334E-6</v>
      </c>
      <c r="T437" s="60"/>
      <c r="Y437" s="98"/>
    </row>
    <row r="438" spans="3:25" x14ac:dyDescent="0.2">
      <c r="C438" s="69"/>
      <c r="D438" s="96"/>
      <c r="E438" s="29"/>
      <c r="F438" s="67"/>
      <c r="G438" s="67"/>
      <c r="H438" s="67"/>
      <c r="K438">
        <v>2</v>
      </c>
      <c r="L438" s="44">
        <v>0.67500000000000027</v>
      </c>
      <c r="M438">
        <v>-9.9929557664586071</v>
      </c>
      <c r="N438">
        <v>10.603592103037478</v>
      </c>
      <c r="O438">
        <v>0</v>
      </c>
      <c r="P438">
        <v>0</v>
      </c>
      <c r="Q438">
        <v>4.5842684227761573E-7</v>
      </c>
      <c r="R438">
        <v>1.4062571406769842E-6</v>
      </c>
      <c r="T438" s="60"/>
      <c r="Y438" s="98"/>
    </row>
    <row r="439" spans="3:25" x14ac:dyDescent="0.2">
      <c r="C439" s="70"/>
      <c r="D439" s="97"/>
      <c r="E439" s="65"/>
      <c r="F439" s="66"/>
      <c r="G439" s="66"/>
      <c r="H439" s="66"/>
      <c r="K439">
        <v>2</v>
      </c>
      <c r="L439" s="44">
        <v>0.70000000000000029</v>
      </c>
      <c r="M439">
        <v>-9.9929557664586071</v>
      </c>
      <c r="N439">
        <v>10.353768208876012</v>
      </c>
      <c r="O439">
        <v>0</v>
      </c>
      <c r="P439">
        <v>0</v>
      </c>
      <c r="Q439">
        <v>4.9413437283290933E-7</v>
      </c>
      <c r="R439">
        <v>1.4501708116012858E-6</v>
      </c>
      <c r="T439" s="60"/>
      <c r="Y439" s="98"/>
    </row>
    <row r="440" spans="3:25" x14ac:dyDescent="0.2">
      <c r="C440" s="68"/>
      <c r="D440" s="95"/>
      <c r="E440" s="29"/>
      <c r="F440" s="67"/>
      <c r="G440" s="67"/>
      <c r="H440" s="67"/>
      <c r="K440">
        <v>2</v>
      </c>
      <c r="L440" s="44">
        <v>0.72500000000000031</v>
      </c>
      <c r="M440">
        <v>-9.9929557664586071</v>
      </c>
      <c r="N440">
        <v>10.103944314714546</v>
      </c>
      <c r="O440">
        <v>0</v>
      </c>
      <c r="P440">
        <v>0</v>
      </c>
      <c r="Q440">
        <v>5.3092665825041873E-7</v>
      </c>
      <c r="R440">
        <v>1.493037529654237E-6</v>
      </c>
      <c r="T440" s="60"/>
      <c r="Y440" s="98"/>
    </row>
    <row r="441" spans="3:25" x14ac:dyDescent="0.2">
      <c r="C441" s="69"/>
      <c r="D441" s="96"/>
      <c r="E441" s="65"/>
      <c r="F441" s="66"/>
      <c r="G441" s="66"/>
      <c r="H441" s="66"/>
      <c r="K441">
        <v>2</v>
      </c>
      <c r="L441" s="44">
        <v>0.75000000000000033</v>
      </c>
      <c r="M441">
        <v>-9.9929557664586071</v>
      </c>
      <c r="N441">
        <v>9.8541204205530804</v>
      </c>
      <c r="O441">
        <v>0</v>
      </c>
      <c r="P441">
        <v>0</v>
      </c>
      <c r="Q441">
        <v>5.6877752470835995E-7</v>
      </c>
      <c r="R441">
        <v>1.534857294835839E-6</v>
      </c>
      <c r="T441" s="60"/>
      <c r="Y441" s="98"/>
    </row>
    <row r="442" spans="3:25" x14ac:dyDescent="0.2">
      <c r="C442" s="70"/>
      <c r="D442" s="97"/>
      <c r="E442" s="29"/>
      <c r="F442" s="67"/>
      <c r="G442" s="67"/>
      <c r="H442" s="67"/>
      <c r="K442">
        <v>2</v>
      </c>
      <c r="L442" s="44">
        <v>0.77500000000000036</v>
      </c>
      <c r="M442">
        <v>-9.9929557664586071</v>
      </c>
      <c r="N442">
        <v>9.6042965263916145</v>
      </c>
      <c r="O442">
        <v>0</v>
      </c>
      <c r="P442">
        <v>0</v>
      </c>
      <c r="Q442">
        <v>6.0766079838494949E-7</v>
      </c>
      <c r="R442">
        <v>1.575630107146091E-6</v>
      </c>
      <c r="T442" s="60"/>
      <c r="Y442" s="98"/>
    </row>
    <row r="443" spans="3:25" x14ac:dyDescent="0.2">
      <c r="C443" s="68"/>
      <c r="D443" s="95"/>
      <c r="E443" s="65"/>
      <c r="F443" s="66"/>
      <c r="G443" s="66"/>
      <c r="H443" s="66"/>
      <c r="K443">
        <v>2</v>
      </c>
      <c r="L443" s="44">
        <v>0.80000000000000038</v>
      </c>
      <c r="M443">
        <v>-9.9929557664586071</v>
      </c>
      <c r="N443">
        <v>9.3544726322301486</v>
      </c>
      <c r="O443">
        <v>0</v>
      </c>
      <c r="P443">
        <v>0</v>
      </c>
      <c r="Q443">
        <v>6.4755030545840342E-7</v>
      </c>
      <c r="R443">
        <v>1.6153559665849933E-6</v>
      </c>
      <c r="T443" s="60"/>
      <c r="Y443" s="98"/>
    </row>
    <row r="444" spans="3:25" x14ac:dyDescent="0.2">
      <c r="C444" s="69"/>
      <c r="D444" s="96"/>
      <c r="E444" s="29"/>
      <c r="F444" s="67"/>
      <c r="G444" s="67"/>
      <c r="H444" s="67"/>
      <c r="K444">
        <v>2</v>
      </c>
      <c r="L444" s="44">
        <v>0.8250000000000004</v>
      </c>
      <c r="M444">
        <v>-9.9929557664586071</v>
      </c>
      <c r="N444">
        <v>9.1046487380686845</v>
      </c>
      <c r="O444">
        <v>0</v>
      </c>
      <c r="P444">
        <v>0</v>
      </c>
      <c r="Q444">
        <v>6.8841987210693805E-7</v>
      </c>
      <c r="R444">
        <v>1.6540348731525459E-6</v>
      </c>
      <c r="T444" s="60"/>
      <c r="Y444" s="98"/>
    </row>
    <row r="445" spans="3:25" x14ac:dyDescent="0.2">
      <c r="C445" s="70"/>
      <c r="D445" s="97"/>
      <c r="E445" s="65"/>
      <c r="F445" s="66"/>
      <c r="G445" s="66"/>
      <c r="H445" s="66"/>
      <c r="K445">
        <v>2</v>
      </c>
      <c r="L445" s="44">
        <v>0.85000000000000042</v>
      </c>
      <c r="M445">
        <v>-9.9929557664586071</v>
      </c>
      <c r="N445">
        <v>8.8548248439072186</v>
      </c>
      <c r="O445">
        <v>0</v>
      </c>
      <c r="P445">
        <v>0</v>
      </c>
      <c r="Q445">
        <v>7.3024332450876943E-7</v>
      </c>
      <c r="R445">
        <v>1.691666826848749E-6</v>
      </c>
      <c r="T445" s="60"/>
      <c r="Y445" s="98"/>
    </row>
    <row r="446" spans="3:25" x14ac:dyDescent="0.2">
      <c r="C446" s="68"/>
      <c r="D446" s="95"/>
      <c r="E446" s="29"/>
      <c r="F446" s="67"/>
      <c r="G446" s="67"/>
      <c r="H446" s="67"/>
      <c r="K446">
        <v>2</v>
      </c>
      <c r="L446" s="44">
        <v>0.87500000000000044</v>
      </c>
      <c r="M446">
        <v>-9.9929557664586071</v>
      </c>
      <c r="N446">
        <v>8.6050009497457545</v>
      </c>
      <c r="O446">
        <v>0</v>
      </c>
      <c r="P446">
        <v>0</v>
      </c>
      <c r="Q446">
        <v>7.7299448884211419E-7</v>
      </c>
      <c r="R446">
        <v>1.7282518276736024E-6</v>
      </c>
      <c r="T446" s="60"/>
      <c r="Y446" s="98"/>
    </row>
    <row r="447" spans="3:25" x14ac:dyDescent="0.2">
      <c r="C447" s="69"/>
      <c r="D447" s="96"/>
      <c r="E447" s="65"/>
      <c r="F447" s="66"/>
      <c r="G447" s="66"/>
      <c r="H447" s="66"/>
      <c r="K447">
        <v>2</v>
      </c>
      <c r="L447" s="44">
        <v>0.90000000000000047</v>
      </c>
      <c r="M447">
        <v>-9.9929557664586071</v>
      </c>
      <c r="N447">
        <v>8.3551770555842886</v>
      </c>
      <c r="O447">
        <v>0</v>
      </c>
      <c r="P447">
        <v>0</v>
      </c>
      <c r="Q447">
        <v>8.166471912851885E-7</v>
      </c>
      <c r="R447">
        <v>1.7637898756271059E-6</v>
      </c>
      <c r="T447" s="60"/>
      <c r="Y447" s="98"/>
    </row>
    <row r="448" spans="3:25" x14ac:dyDescent="0.2">
      <c r="C448" s="70"/>
      <c r="D448" s="97"/>
      <c r="E448" s="29"/>
      <c r="F448" s="67"/>
      <c r="G448" s="67"/>
      <c r="H448" s="67"/>
      <c r="K448">
        <v>2</v>
      </c>
      <c r="L448" s="44">
        <v>0.92500000000000049</v>
      </c>
      <c r="M448">
        <v>-9.9929557664586071</v>
      </c>
      <c r="N448">
        <v>8.1053531614228227</v>
      </c>
      <c r="O448">
        <v>0</v>
      </c>
      <c r="P448">
        <v>0</v>
      </c>
      <c r="Q448">
        <v>8.6117525801620823E-7</v>
      </c>
      <c r="R448">
        <v>1.7982809707092601E-6</v>
      </c>
      <c r="T448" s="60"/>
      <c r="Y448" s="98"/>
    </row>
    <row r="449" spans="3:25" x14ac:dyDescent="0.2">
      <c r="C449" s="68"/>
      <c r="D449" s="95"/>
      <c r="E449" s="65"/>
      <c r="F449" s="66"/>
      <c r="G449" s="66"/>
      <c r="H449" s="66"/>
      <c r="K449">
        <v>2</v>
      </c>
      <c r="L449" s="44">
        <v>0.95000000000000051</v>
      </c>
      <c r="M449">
        <v>-9.9929557664586071</v>
      </c>
      <c r="N449">
        <v>7.8555292672613568</v>
      </c>
      <c r="O449">
        <v>0</v>
      </c>
      <c r="P449">
        <v>0</v>
      </c>
      <c r="Q449">
        <v>9.065525152133903E-7</v>
      </c>
      <c r="R449">
        <v>1.8317251129200643E-6</v>
      </c>
      <c r="T449" s="60"/>
      <c r="Y449" s="98"/>
    </row>
    <row r="450" spans="3:25" x14ac:dyDescent="0.2">
      <c r="C450" s="69"/>
      <c r="D450" s="96"/>
      <c r="E450" s="29"/>
      <c r="F450" s="67"/>
      <c r="G450" s="67"/>
      <c r="H450" s="67"/>
      <c r="K450">
        <v>2</v>
      </c>
      <c r="L450" s="44">
        <v>0.97500000000000053</v>
      </c>
      <c r="M450">
        <v>-9.9929557664586071</v>
      </c>
      <c r="N450">
        <v>7.6057053730998927</v>
      </c>
      <c r="O450">
        <v>0</v>
      </c>
      <c r="P450">
        <v>0</v>
      </c>
      <c r="Q450">
        <v>9.5275278905495037E-7</v>
      </c>
      <c r="R450">
        <v>1.8641223022595189E-6</v>
      </c>
      <c r="T450" s="60"/>
      <c r="Y450" s="98"/>
    </row>
    <row r="451" spans="3:25" x14ac:dyDescent="0.2">
      <c r="C451" s="70"/>
      <c r="D451" s="97"/>
      <c r="E451" s="65"/>
      <c r="F451" s="66"/>
      <c r="G451" s="66"/>
      <c r="H451" s="66"/>
      <c r="K451">
        <v>2</v>
      </c>
      <c r="L451" s="44">
        <v>1.0000000000000004</v>
      </c>
      <c r="M451">
        <v>-9.9929557664586071</v>
      </c>
      <c r="N451">
        <v>7.3558814789384286</v>
      </c>
      <c r="O451">
        <v>0</v>
      </c>
      <c r="P451">
        <v>0</v>
      </c>
      <c r="Q451">
        <v>9.9974990571910473E-7</v>
      </c>
      <c r="R451">
        <v>1.8954725387276235E-6</v>
      </c>
      <c r="T451" s="60"/>
      <c r="Y451" s="98"/>
    </row>
    <row r="452" spans="3:25" x14ac:dyDescent="0.2">
      <c r="C452" s="68"/>
      <c r="D452" s="95"/>
      <c r="E452" s="29"/>
      <c r="F452" s="67"/>
      <c r="G452" s="67"/>
      <c r="H452" s="67"/>
      <c r="K452">
        <v>2</v>
      </c>
      <c r="L452" s="44">
        <v>1.0250000000000004</v>
      </c>
      <c r="M452">
        <v>-9.9929557664586071</v>
      </c>
      <c r="N452">
        <v>7.1060575847769627</v>
      </c>
      <c r="O452">
        <v>0</v>
      </c>
      <c r="P452">
        <v>0</v>
      </c>
      <c r="Q452">
        <v>1.04751769138407E-6</v>
      </c>
      <c r="R452">
        <v>1.9257758223243785E-6</v>
      </c>
      <c r="T452" s="60"/>
      <c r="Y452" s="98"/>
    </row>
    <row r="453" spans="3:25" x14ac:dyDescent="0.2">
      <c r="C453" s="69"/>
      <c r="D453" s="96"/>
      <c r="E453" s="65"/>
      <c r="F453" s="66"/>
      <c r="G453" s="66"/>
      <c r="H453" s="66"/>
      <c r="K453">
        <v>2</v>
      </c>
      <c r="L453" s="44">
        <v>1.0500000000000003</v>
      </c>
      <c r="M453">
        <v>-9.9929557664586071</v>
      </c>
      <c r="N453">
        <v>6.8562336906154986</v>
      </c>
      <c r="O453">
        <v>0</v>
      </c>
      <c r="P453">
        <v>0</v>
      </c>
      <c r="Q453">
        <v>1.096029972228062E-6</v>
      </c>
      <c r="R453">
        <v>1.9550321530497839E-6</v>
      </c>
      <c r="T453" s="60"/>
      <c r="Y453" s="98"/>
    </row>
    <row r="454" spans="3:25" x14ac:dyDescent="0.2">
      <c r="C454" s="70"/>
      <c r="D454" s="97"/>
      <c r="E454" s="29"/>
      <c r="F454" s="67"/>
      <c r="G454" s="67"/>
      <c r="H454" s="67"/>
      <c r="K454">
        <v>2</v>
      </c>
      <c r="L454" s="44">
        <v>1.0750000000000002</v>
      </c>
      <c r="M454">
        <v>-9.9929557664586071</v>
      </c>
      <c r="N454">
        <v>6.6064097964540345</v>
      </c>
      <c r="O454">
        <v>0</v>
      </c>
      <c r="P454">
        <v>0</v>
      </c>
      <c r="Q454">
        <v>1.1452605744292975E-6</v>
      </c>
      <c r="R454">
        <v>1.9832415309038396E-6</v>
      </c>
      <c r="T454" s="60"/>
      <c r="Y454" s="98"/>
    </row>
    <row r="455" spans="3:25" x14ac:dyDescent="0.2">
      <c r="C455" s="68"/>
      <c r="D455" s="95"/>
      <c r="E455" s="65"/>
      <c r="F455" s="66"/>
      <c r="G455" s="66"/>
      <c r="H455" s="66"/>
      <c r="K455">
        <v>2</v>
      </c>
      <c r="L455" s="44">
        <v>1.1000000000000001</v>
      </c>
      <c r="M455">
        <v>-9.9929557664586071</v>
      </c>
      <c r="N455">
        <v>6.3565859022925704</v>
      </c>
      <c r="O455">
        <v>0</v>
      </c>
      <c r="P455">
        <v>0</v>
      </c>
      <c r="Q455">
        <v>1.1951833241659923E-6</v>
      </c>
      <c r="R455">
        <v>2.0104039558865452E-6</v>
      </c>
      <c r="T455" s="60"/>
      <c r="Y455" s="98"/>
    </row>
    <row r="456" spans="3:25" x14ac:dyDescent="0.2">
      <c r="C456" s="69"/>
      <c r="D456" s="96"/>
      <c r="E456" s="29"/>
      <c r="F456" s="67"/>
      <c r="G456" s="67"/>
      <c r="H456" s="67"/>
      <c r="K456">
        <v>2</v>
      </c>
      <c r="L456" s="44">
        <v>1.125</v>
      </c>
      <c r="M456">
        <v>-9.9929557664586071</v>
      </c>
      <c r="N456">
        <v>6.1067620081311063</v>
      </c>
      <c r="O456">
        <v>0</v>
      </c>
      <c r="P456">
        <v>0</v>
      </c>
      <c r="Q456">
        <v>1.2457720476163631E-6</v>
      </c>
      <c r="R456">
        <v>2.0365194279979011E-6</v>
      </c>
      <c r="T456" s="60"/>
      <c r="Y456" s="98"/>
    </row>
    <row r="457" spans="3:25" x14ac:dyDescent="0.2">
      <c r="C457" s="70"/>
      <c r="D457" s="97"/>
      <c r="E457" s="65"/>
      <c r="F457" s="66"/>
      <c r="G457" s="66"/>
      <c r="H457" s="66"/>
      <c r="K457">
        <v>2</v>
      </c>
      <c r="L457" s="44">
        <v>1.1499999999999999</v>
      </c>
      <c r="M457">
        <v>-9.9929557664586071</v>
      </c>
      <c r="N457">
        <v>5.8569381139696421</v>
      </c>
      <c r="O457">
        <v>0</v>
      </c>
      <c r="P457">
        <v>0</v>
      </c>
      <c r="Q457">
        <v>1.2970005709586257E-6</v>
      </c>
      <c r="R457">
        <v>2.0615879472379077E-6</v>
      </c>
      <c r="T457" s="60"/>
      <c r="Y457" s="98"/>
    </row>
    <row r="458" spans="3:25" x14ac:dyDescent="0.2">
      <c r="C458" s="68"/>
      <c r="D458" s="95"/>
      <c r="E458" s="29"/>
      <c r="F458" s="67"/>
      <c r="G458" s="67"/>
      <c r="H458" s="67"/>
      <c r="K458">
        <v>2</v>
      </c>
      <c r="L458" s="44">
        <v>1.1749999999999998</v>
      </c>
      <c r="M458">
        <v>-9.9929557664586071</v>
      </c>
      <c r="N458">
        <v>5.607114219808178</v>
      </c>
      <c r="O458">
        <v>0</v>
      </c>
      <c r="P458">
        <v>0</v>
      </c>
      <c r="Q458">
        <v>1.3488427203709969E-6</v>
      </c>
      <c r="R458">
        <v>2.0856095136065646E-6</v>
      </c>
      <c r="T458" s="60"/>
      <c r="Y458" s="98"/>
    </row>
    <row r="459" spans="3:25" x14ac:dyDescent="0.2">
      <c r="C459" s="69"/>
      <c r="D459" s="96"/>
      <c r="E459" s="65"/>
      <c r="F459" s="66"/>
      <c r="G459" s="66"/>
      <c r="H459" s="66"/>
      <c r="K459">
        <v>2</v>
      </c>
      <c r="L459" s="44">
        <v>1.1999999999999997</v>
      </c>
      <c r="M459">
        <v>-9.9929557664586071</v>
      </c>
      <c r="N459">
        <v>5.3572903256467139</v>
      </c>
      <c r="O459">
        <v>0</v>
      </c>
      <c r="P459">
        <v>0</v>
      </c>
      <c r="Q459">
        <v>1.4012723220316922E-6</v>
      </c>
      <c r="R459">
        <v>2.1085841271038718E-6</v>
      </c>
      <c r="T459" s="60"/>
      <c r="Y459" s="98"/>
    </row>
    <row r="460" spans="3:25" x14ac:dyDescent="0.2">
      <c r="C460" s="70"/>
      <c r="D460" s="97"/>
      <c r="E460" s="29"/>
      <c r="F460" s="67"/>
      <c r="G460" s="67"/>
      <c r="H460" s="67"/>
      <c r="K460">
        <v>2</v>
      </c>
      <c r="L460" s="44">
        <v>1.2249999999999996</v>
      </c>
      <c r="M460">
        <v>-9.9929557664586071</v>
      </c>
      <c r="N460">
        <v>5.1074664314852498</v>
      </c>
      <c r="O460">
        <v>0</v>
      </c>
      <c r="P460">
        <v>0</v>
      </c>
      <c r="Q460">
        <v>1.4542632021189288E-6</v>
      </c>
      <c r="R460">
        <v>2.1305117877298288E-6</v>
      </c>
      <c r="T460" s="60"/>
      <c r="Y460" s="98"/>
    </row>
    <row r="461" spans="3:25" x14ac:dyDescent="0.2">
      <c r="C461" s="68"/>
      <c r="D461" s="95"/>
      <c r="E461" s="65"/>
      <c r="F461" s="66"/>
      <c r="G461" s="66"/>
      <c r="H461" s="66"/>
      <c r="K461">
        <v>2</v>
      </c>
      <c r="L461" s="44">
        <v>1.2499999999999996</v>
      </c>
      <c r="M461">
        <v>-9.9929557664586071</v>
      </c>
      <c r="N461">
        <v>4.8576425373237839</v>
      </c>
      <c r="O461">
        <v>0</v>
      </c>
      <c r="P461">
        <v>0</v>
      </c>
      <c r="Q461">
        <v>1.507789186810922E-6</v>
      </c>
      <c r="R461">
        <v>2.1513924954844366E-6</v>
      </c>
      <c r="T461" s="60"/>
      <c r="Y461" s="98"/>
    </row>
    <row r="462" spans="3:25" x14ac:dyDescent="0.2">
      <c r="C462" s="69"/>
      <c r="D462" s="96"/>
      <c r="E462" s="29"/>
      <c r="F462" s="67"/>
      <c r="G462" s="67"/>
      <c r="H462" s="67"/>
      <c r="K462">
        <v>2</v>
      </c>
      <c r="L462" s="44">
        <v>1.2749999999999995</v>
      </c>
      <c r="M462">
        <v>-9.9929557664586071</v>
      </c>
      <c r="N462">
        <v>4.6078186431623198</v>
      </c>
      <c r="O462">
        <v>0</v>
      </c>
      <c r="P462">
        <v>0</v>
      </c>
      <c r="Q462">
        <v>1.5618241022858889E-6</v>
      </c>
      <c r="R462">
        <v>2.1712262503676947E-6</v>
      </c>
      <c r="T462" s="60"/>
      <c r="Y462" s="98"/>
    </row>
    <row r="463" spans="3:25" x14ac:dyDescent="0.2">
      <c r="C463" s="70"/>
      <c r="D463" s="97"/>
      <c r="E463" s="65"/>
      <c r="F463" s="66"/>
      <c r="G463" s="66"/>
      <c r="H463" s="66"/>
      <c r="K463">
        <v>2</v>
      </c>
      <c r="L463" s="44">
        <v>1.2999999999999994</v>
      </c>
      <c r="M463">
        <v>-9.9929557664586071</v>
      </c>
      <c r="N463">
        <v>4.3579947490008557</v>
      </c>
      <c r="O463">
        <v>0</v>
      </c>
      <c r="P463">
        <v>0</v>
      </c>
      <c r="Q463">
        <v>1.6163417747220454E-6</v>
      </c>
      <c r="R463">
        <v>2.190013052379603E-6</v>
      </c>
      <c r="T463" s="60"/>
      <c r="Y463" s="98"/>
    </row>
    <row r="464" spans="3:25" x14ac:dyDescent="0.2">
      <c r="C464" s="68"/>
      <c r="D464" s="95"/>
      <c r="E464" s="29"/>
      <c r="F464" s="67"/>
      <c r="G464" s="67"/>
      <c r="H464" s="67"/>
      <c r="K464">
        <v>2</v>
      </c>
      <c r="L464" s="44">
        <v>1.3249999999999993</v>
      </c>
      <c r="M464">
        <v>-9.9929557664586071</v>
      </c>
      <c r="N464">
        <v>4.1081708548393916</v>
      </c>
      <c r="O464">
        <v>0</v>
      </c>
      <c r="P464">
        <v>0</v>
      </c>
      <c r="Q464">
        <v>1.6713160302976075E-6</v>
      </c>
      <c r="R464">
        <v>2.2077529015201617E-6</v>
      </c>
      <c r="T464" s="60"/>
      <c r="Y464" s="98"/>
    </row>
    <row r="465" spans="3:25" x14ac:dyDescent="0.2">
      <c r="C465" s="69"/>
      <c r="D465" s="96"/>
      <c r="E465" s="65"/>
      <c r="F465" s="66"/>
      <c r="G465" s="66"/>
      <c r="H465" s="66"/>
      <c r="K465">
        <v>2</v>
      </c>
      <c r="L465" s="44">
        <v>1.3499999999999992</v>
      </c>
      <c r="M465">
        <v>-9.9929557664586071</v>
      </c>
      <c r="N465">
        <v>3.8583469606779275</v>
      </c>
      <c r="O465">
        <v>0</v>
      </c>
      <c r="P465">
        <v>0</v>
      </c>
      <c r="Q465">
        <v>1.7267206951907916E-6</v>
      </c>
      <c r="R465">
        <v>2.2244457977893702E-6</v>
      </c>
      <c r="T465" s="60"/>
      <c r="Y465" s="98"/>
    </row>
    <row r="466" spans="3:25" x14ac:dyDescent="0.2">
      <c r="C466" s="70"/>
      <c r="D466" s="97"/>
      <c r="E466" s="29"/>
      <c r="F466" s="67"/>
      <c r="G466" s="67"/>
      <c r="H466" s="67"/>
      <c r="K466">
        <v>2</v>
      </c>
      <c r="L466" s="44">
        <v>1.3749999999999991</v>
      </c>
      <c r="M466">
        <v>-9.9929557664586071</v>
      </c>
      <c r="N466">
        <v>3.6085230665164634</v>
      </c>
      <c r="O466">
        <v>0</v>
      </c>
      <c r="P466">
        <v>0</v>
      </c>
      <c r="Q466">
        <v>1.7825295955798146E-6</v>
      </c>
      <c r="R466">
        <v>2.2400917411872294E-6</v>
      </c>
      <c r="T466" s="60"/>
      <c r="Y466" s="98"/>
    </row>
    <row r="467" spans="3:25" x14ac:dyDescent="0.2">
      <c r="C467" s="68"/>
      <c r="D467" s="95"/>
      <c r="E467" s="65"/>
      <c r="F467" s="66"/>
      <c r="G467" s="66"/>
      <c r="H467" s="66"/>
      <c r="K467">
        <v>2</v>
      </c>
      <c r="L467" s="44">
        <v>1.399999999999999</v>
      </c>
      <c r="M467">
        <v>-9.9929557664586071</v>
      </c>
      <c r="N467">
        <v>3.3586991723549993</v>
      </c>
      <c r="O467">
        <v>0</v>
      </c>
      <c r="P467">
        <v>0</v>
      </c>
      <c r="Q467">
        <v>1.8387165576428918E-6</v>
      </c>
      <c r="R467">
        <v>2.2546907317137389E-6</v>
      </c>
      <c r="T467" s="60"/>
      <c r="Y467" s="98"/>
    </row>
    <row r="468" spans="3:25" x14ac:dyDescent="0.2">
      <c r="C468" s="69"/>
      <c r="D468" s="96"/>
      <c r="E468" s="29"/>
      <c r="F468" s="67"/>
      <c r="G468" s="67"/>
      <c r="H468" s="67"/>
      <c r="K468">
        <v>2</v>
      </c>
      <c r="L468" s="44">
        <v>1.4249999999999989</v>
      </c>
      <c r="M468">
        <v>-9.9929557664586071</v>
      </c>
      <c r="N468">
        <v>3.1088752781935352</v>
      </c>
      <c r="O468">
        <v>0</v>
      </c>
      <c r="P468">
        <v>0</v>
      </c>
      <c r="Q468">
        <v>1.8952554075582398E-6</v>
      </c>
      <c r="R468">
        <v>2.2682427693688987E-6</v>
      </c>
      <c r="T468" s="60"/>
      <c r="Y468" s="98"/>
    </row>
    <row r="469" spans="3:25" x14ac:dyDescent="0.2">
      <c r="C469" s="70"/>
      <c r="D469" s="97"/>
      <c r="E469" s="65"/>
      <c r="F469" s="66"/>
      <c r="G469" s="66"/>
      <c r="H469" s="66"/>
      <c r="K469">
        <v>2</v>
      </c>
      <c r="L469" s="44">
        <v>1.4499999999999988</v>
      </c>
      <c r="M469">
        <v>-9.9929557664586071</v>
      </c>
      <c r="N469">
        <v>2.859051384032071</v>
      </c>
      <c r="O469">
        <v>0</v>
      </c>
      <c r="P469">
        <v>0</v>
      </c>
      <c r="Q469">
        <v>1.9521199715040744E-6</v>
      </c>
      <c r="R469">
        <v>2.2807478541527088E-6</v>
      </c>
      <c r="T469" s="60"/>
      <c r="Y469" s="98"/>
    </row>
    <row r="470" spans="3:25" x14ac:dyDescent="0.2">
      <c r="C470" s="68"/>
      <c r="D470" s="95"/>
      <c r="E470" s="29"/>
      <c r="F470" s="67"/>
      <c r="G470" s="67"/>
      <c r="H470" s="67"/>
      <c r="K470">
        <v>2</v>
      </c>
      <c r="L470" s="44">
        <v>1.4749999999999988</v>
      </c>
      <c r="M470">
        <v>-9.9929557664586071</v>
      </c>
      <c r="N470">
        <v>2.6092274898706069</v>
      </c>
      <c r="O470">
        <v>0</v>
      </c>
      <c r="P470">
        <v>0</v>
      </c>
      <c r="Q470">
        <v>2.0092840756586133E-6</v>
      </c>
      <c r="R470">
        <v>2.2922059860651696E-6</v>
      </c>
      <c r="T470" s="60"/>
      <c r="Y470" s="98"/>
    </row>
    <row r="471" spans="3:25" x14ac:dyDescent="0.2">
      <c r="C471" s="69"/>
      <c r="D471" s="96"/>
      <c r="E471" s="65"/>
      <c r="F471" s="66"/>
      <c r="G471" s="66"/>
      <c r="H471" s="66"/>
      <c r="K471">
        <v>2</v>
      </c>
      <c r="L471" s="44">
        <v>1.4999999999999987</v>
      </c>
      <c r="M471">
        <v>-9.9929557664586071</v>
      </c>
      <c r="N471">
        <v>2.359403595709141</v>
      </c>
      <c r="O471">
        <v>0</v>
      </c>
      <c r="P471">
        <v>0</v>
      </c>
      <c r="Q471">
        <v>2.0667215462000714E-6</v>
      </c>
      <c r="R471">
        <v>2.3026171651062803E-6</v>
      </c>
      <c r="T471" s="60"/>
      <c r="Y471" s="98"/>
    </row>
    <row r="472" spans="3:25" x14ac:dyDescent="0.2">
      <c r="C472" s="70"/>
      <c r="D472" s="97"/>
      <c r="E472" s="29"/>
      <c r="F472" s="67"/>
      <c r="G472" s="67"/>
      <c r="H472" s="67"/>
      <c r="K472">
        <v>2</v>
      </c>
      <c r="L472" s="44">
        <v>1.5249999999999986</v>
      </c>
      <c r="M472">
        <v>-9.9929557664586071</v>
      </c>
      <c r="N472">
        <v>2.1095797015476769</v>
      </c>
      <c r="O472">
        <v>0</v>
      </c>
      <c r="P472">
        <v>0</v>
      </c>
      <c r="Q472">
        <v>2.1244062093066656E-6</v>
      </c>
      <c r="R472">
        <v>2.3119813912760417E-6</v>
      </c>
      <c r="T472" s="60"/>
      <c r="Y472" s="98"/>
    </row>
    <row r="473" spans="3:25" x14ac:dyDescent="0.2">
      <c r="C473" s="68"/>
      <c r="D473" s="95"/>
      <c r="E473" s="65"/>
      <c r="F473" s="66"/>
      <c r="G473" s="66"/>
      <c r="H473" s="66"/>
      <c r="K473">
        <v>2</v>
      </c>
      <c r="L473" s="44">
        <v>1.5499999999999985</v>
      </c>
      <c r="M473">
        <v>-9.9929557664586071</v>
      </c>
      <c r="N473">
        <v>1.8597558073862128</v>
      </c>
      <c r="O473">
        <v>0</v>
      </c>
      <c r="P473">
        <v>0</v>
      </c>
      <c r="Q473">
        <v>2.182311891156612E-6</v>
      </c>
      <c r="R473">
        <v>2.3202986645744534E-6</v>
      </c>
      <c r="T473" s="60"/>
      <c r="Y473" s="98"/>
    </row>
    <row r="474" spans="3:25" x14ac:dyDescent="0.2">
      <c r="C474" s="69"/>
      <c r="D474" s="96"/>
      <c r="E474" s="29"/>
      <c r="F474" s="67"/>
      <c r="G474" s="67"/>
      <c r="H474" s="67"/>
      <c r="K474">
        <v>2</v>
      </c>
      <c r="L474" s="44">
        <v>1.5749999999999984</v>
      </c>
      <c r="M474">
        <v>-9.9929557664586071</v>
      </c>
      <c r="N474">
        <v>1.6099319132247487</v>
      </c>
      <c r="O474">
        <v>0</v>
      </c>
      <c r="P474">
        <v>0</v>
      </c>
      <c r="Q474">
        <v>2.2404124179281268E-6</v>
      </c>
      <c r="R474">
        <v>2.3275689850015149E-6</v>
      </c>
      <c r="T474" s="60"/>
      <c r="Y474" s="98"/>
    </row>
    <row r="475" spans="3:25" x14ac:dyDescent="0.2">
      <c r="C475" s="70"/>
      <c r="D475" s="97"/>
      <c r="E475" s="65"/>
      <c r="F475" s="66"/>
      <c r="G475" s="66"/>
      <c r="H475" s="66"/>
      <c r="K475">
        <v>2</v>
      </c>
      <c r="L475" s="44">
        <v>1.5999999999999983</v>
      </c>
      <c r="M475">
        <v>-9.9929557664586071</v>
      </c>
      <c r="N475">
        <v>1.3601080190632846</v>
      </c>
      <c r="O475">
        <v>0</v>
      </c>
      <c r="P475">
        <v>0</v>
      </c>
      <c r="Q475">
        <v>2.2986816157994263E-6</v>
      </c>
      <c r="R475">
        <v>2.3337923525572268E-6</v>
      </c>
      <c r="T475" s="60"/>
      <c r="Y475" s="98"/>
    </row>
    <row r="476" spans="3:25" x14ac:dyDescent="0.2">
      <c r="C476" s="68"/>
      <c r="D476" s="95"/>
      <c r="E476" s="29"/>
      <c r="F476" s="67"/>
      <c r="G476" s="67"/>
      <c r="H476" s="67"/>
      <c r="K476">
        <v>2</v>
      </c>
      <c r="L476" s="44">
        <v>1.6249999999999982</v>
      </c>
      <c r="M476">
        <v>-9.9929557664586071</v>
      </c>
      <c r="N476">
        <v>1.1102841249018205</v>
      </c>
      <c r="O476">
        <v>0</v>
      </c>
      <c r="P476">
        <v>0</v>
      </c>
      <c r="Q476">
        <v>2.3570933109487268E-6</v>
      </c>
      <c r="R476">
        <v>2.3389687672415889E-6</v>
      </c>
      <c r="T476" s="60"/>
      <c r="Y476" s="98"/>
    </row>
    <row r="477" spans="3:25" x14ac:dyDescent="0.2">
      <c r="C477" s="69"/>
      <c r="D477" s="96"/>
      <c r="E477" s="65"/>
      <c r="F477" s="66"/>
      <c r="G477" s="66"/>
      <c r="H477" s="66"/>
      <c r="K477">
        <v>2</v>
      </c>
      <c r="L477" s="44">
        <v>1.6499999999999981</v>
      </c>
      <c r="M477">
        <v>-9.9929557664586071</v>
      </c>
      <c r="N477">
        <v>0.8604602307403546</v>
      </c>
      <c r="O477">
        <v>0</v>
      </c>
      <c r="P477">
        <v>0</v>
      </c>
      <c r="Q477">
        <v>2.4156213295542441E-6</v>
      </c>
      <c r="R477">
        <v>2.3430982290546017E-6</v>
      </c>
      <c r="T477" s="60"/>
      <c r="Y477" s="98"/>
    </row>
    <row r="478" spans="3:25" x14ac:dyDescent="0.2">
      <c r="C478" s="70"/>
      <c r="D478" s="97"/>
      <c r="E478" s="29"/>
      <c r="F478" s="67"/>
      <c r="G478" s="67"/>
      <c r="H478" s="67"/>
      <c r="K478">
        <v>2</v>
      </c>
      <c r="L478" s="44">
        <v>1.674999999999998</v>
      </c>
      <c r="M478">
        <v>-9.9929557664586071</v>
      </c>
      <c r="N478">
        <v>0.61063633657889227</v>
      </c>
      <c r="O478">
        <v>0</v>
      </c>
      <c r="P478">
        <v>0</v>
      </c>
      <c r="Q478">
        <v>2.474239497794195E-6</v>
      </c>
      <c r="R478">
        <v>2.3461807379962649E-6</v>
      </c>
      <c r="T478" s="60"/>
      <c r="Y478" s="98"/>
    </row>
    <row r="479" spans="3:25" x14ac:dyDescent="0.2">
      <c r="C479" s="68"/>
      <c r="D479" s="95"/>
      <c r="E479" s="65"/>
      <c r="F479" s="66"/>
      <c r="G479" s="66"/>
      <c r="H479" s="66"/>
      <c r="K479">
        <v>2</v>
      </c>
      <c r="L479" s="44">
        <v>1.699999999999998</v>
      </c>
      <c r="M479">
        <v>-9.9929557664586071</v>
      </c>
      <c r="N479">
        <v>0.36081244241742638</v>
      </c>
      <c r="O479">
        <v>0</v>
      </c>
      <c r="P479">
        <v>0</v>
      </c>
      <c r="Q479">
        <v>2.5329216418467953E-6</v>
      </c>
      <c r="R479">
        <v>2.3482162940665779E-6</v>
      </c>
      <c r="T479" s="60"/>
      <c r="Y479" s="98"/>
    </row>
    <row r="480" spans="3:25" x14ac:dyDescent="0.2">
      <c r="C480" s="69"/>
      <c r="D480" s="96"/>
      <c r="E480" s="29"/>
      <c r="F480" s="67"/>
      <c r="G480" s="67"/>
      <c r="H480" s="67"/>
      <c r="K480">
        <v>2</v>
      </c>
      <c r="L480" s="44">
        <v>1.7249999999999979</v>
      </c>
      <c r="M480">
        <v>-9.9929557664586071</v>
      </c>
      <c r="N480">
        <v>0.11098854825596405</v>
      </c>
      <c r="O480">
        <v>0</v>
      </c>
      <c r="P480">
        <v>0</v>
      </c>
      <c r="Q480">
        <v>2.5916415878902626E-6</v>
      </c>
      <c r="R480">
        <v>2.3492048972655412E-6</v>
      </c>
      <c r="T480" s="60"/>
      <c r="Y480" s="98"/>
    </row>
    <row r="481" spans="3:25" x14ac:dyDescent="0.2">
      <c r="C481" s="70"/>
      <c r="D481" s="97"/>
      <c r="E481" s="65"/>
      <c r="F481" s="66"/>
      <c r="G481" s="66"/>
      <c r="H481" s="66"/>
      <c r="K481">
        <v>2</v>
      </c>
      <c r="L481" s="44">
        <v>1.7499999999999978</v>
      </c>
      <c r="M481">
        <v>-9.9929557664586071</v>
      </c>
      <c r="N481">
        <v>-0.13883534590550184</v>
      </c>
      <c r="O481">
        <v>0</v>
      </c>
      <c r="P481">
        <v>0</v>
      </c>
      <c r="Q481">
        <v>2.6503731621028107E-6</v>
      </c>
      <c r="R481">
        <v>2.3491465475931556E-6</v>
      </c>
      <c r="T481" s="60"/>
      <c r="Y481" s="98"/>
    </row>
    <row r="482" spans="3:25" x14ac:dyDescent="0.2">
      <c r="C482" s="68"/>
      <c r="D482" s="95"/>
      <c r="E482" s="29"/>
      <c r="F482" s="67"/>
      <c r="G482" s="67"/>
      <c r="H482" s="67"/>
      <c r="K482">
        <v>2</v>
      </c>
      <c r="L482" s="44">
        <v>1.7749999999999977</v>
      </c>
      <c r="M482">
        <v>-9.9929557664586071</v>
      </c>
      <c r="N482">
        <v>-0.38865924006696417</v>
      </c>
      <c r="O482">
        <v>0</v>
      </c>
      <c r="P482">
        <v>0</v>
      </c>
      <c r="Q482">
        <v>2.7090901906626587E-6</v>
      </c>
      <c r="R482">
        <v>2.3480412450494199E-6</v>
      </c>
      <c r="T482" s="60"/>
      <c r="Y482" s="98"/>
    </row>
    <row r="483" spans="3:25" x14ac:dyDescent="0.2">
      <c r="C483" s="69"/>
      <c r="D483" s="96"/>
      <c r="E483" s="65"/>
      <c r="F483" s="66"/>
      <c r="G483" s="66"/>
      <c r="H483" s="66"/>
      <c r="K483">
        <v>2</v>
      </c>
      <c r="L483" s="44">
        <v>1.7999999999999976</v>
      </c>
      <c r="M483">
        <v>-9.9929557664586071</v>
      </c>
      <c r="N483">
        <v>-0.63848313422843006</v>
      </c>
      <c r="O483">
        <v>0</v>
      </c>
      <c r="P483">
        <v>0</v>
      </c>
      <c r="Q483">
        <v>2.7677664997480204E-6</v>
      </c>
      <c r="R483">
        <v>2.3458889896343341E-6</v>
      </c>
      <c r="T483" s="60"/>
      <c r="Y483" s="98"/>
    </row>
    <row r="484" spans="3:25" x14ac:dyDescent="0.2">
      <c r="C484" s="70"/>
      <c r="D484" s="97"/>
      <c r="E484" s="29"/>
      <c r="F484" s="67"/>
      <c r="G484" s="67"/>
      <c r="H484" s="67"/>
      <c r="K484">
        <v>2</v>
      </c>
      <c r="L484" s="44">
        <v>1.8249999999999975</v>
      </c>
      <c r="M484">
        <v>-9.9929557664586071</v>
      </c>
      <c r="N484">
        <v>-0.88830702838989239</v>
      </c>
      <c r="O484">
        <v>0</v>
      </c>
      <c r="P484">
        <v>0</v>
      </c>
      <c r="Q484">
        <v>2.8263759155371135E-6</v>
      </c>
      <c r="R484">
        <v>2.342689781347899E-6</v>
      </c>
      <c r="T484" s="60"/>
      <c r="Y484" s="98"/>
    </row>
    <row r="485" spans="3:25" x14ac:dyDescent="0.2">
      <c r="C485" s="68"/>
      <c r="D485" s="95"/>
      <c r="E485" s="65"/>
      <c r="F485" s="66"/>
      <c r="G485" s="66"/>
      <c r="H485" s="66"/>
      <c r="K485">
        <v>2</v>
      </c>
      <c r="L485" s="44">
        <v>1.8499999999999974</v>
      </c>
      <c r="M485">
        <v>-9.9929557664586071</v>
      </c>
      <c r="N485">
        <v>-1.1381309225513583</v>
      </c>
      <c r="O485">
        <v>0</v>
      </c>
      <c r="P485">
        <v>0</v>
      </c>
      <c r="Q485">
        <v>2.8848922642081541E-6</v>
      </c>
      <c r="R485">
        <v>2.3384436201901138E-6</v>
      </c>
      <c r="T485" s="60"/>
      <c r="Y485" s="98"/>
    </row>
    <row r="486" spans="3:25" x14ac:dyDescent="0.2">
      <c r="C486" s="69"/>
      <c r="D486" s="96"/>
      <c r="E486" s="29"/>
      <c r="F486" s="67"/>
      <c r="G486" s="67"/>
      <c r="H486" s="67"/>
      <c r="K486">
        <v>2</v>
      </c>
      <c r="L486" s="44">
        <v>1.8749999999999973</v>
      </c>
      <c r="M486">
        <v>-9.9929557664586071</v>
      </c>
      <c r="N486">
        <v>-1.3879548167128242</v>
      </c>
      <c r="O486">
        <v>0</v>
      </c>
      <c r="P486">
        <v>0</v>
      </c>
      <c r="Q486">
        <v>2.9432893719393578E-6</v>
      </c>
      <c r="R486">
        <v>2.3331505061609792E-6</v>
      </c>
      <c r="T486" s="60"/>
      <c r="Y486" s="98"/>
    </row>
    <row r="487" spans="3:25" x14ac:dyDescent="0.2">
      <c r="C487" s="70"/>
      <c r="D487" s="97"/>
      <c r="E487" s="65"/>
      <c r="F487" s="66"/>
      <c r="G487" s="66"/>
      <c r="H487" s="66"/>
      <c r="K487">
        <v>2</v>
      </c>
      <c r="L487" s="44">
        <v>1.8999999999999972</v>
      </c>
      <c r="M487">
        <v>-9.9929557664586071</v>
      </c>
      <c r="N487">
        <v>-1.6377787108742865</v>
      </c>
      <c r="O487">
        <v>0</v>
      </c>
      <c r="P487">
        <v>0</v>
      </c>
      <c r="Q487">
        <v>3.0015410649089416E-6</v>
      </c>
      <c r="R487">
        <v>2.326810439260495E-6</v>
      </c>
      <c r="T487" s="60"/>
      <c r="Y487" s="98"/>
    </row>
    <row r="488" spans="3:25" x14ac:dyDescent="0.2">
      <c r="C488" s="68"/>
      <c r="D488" s="95"/>
      <c r="E488" s="29"/>
      <c r="F488" s="67"/>
      <c r="G488" s="67"/>
      <c r="H488" s="67"/>
      <c r="K488">
        <v>2</v>
      </c>
      <c r="L488" s="44">
        <v>1.9249999999999972</v>
      </c>
      <c r="M488">
        <v>-9.9929557664586071</v>
      </c>
      <c r="N488">
        <v>-1.8876026050357524</v>
      </c>
      <c r="O488">
        <v>0</v>
      </c>
      <c r="P488">
        <v>0</v>
      </c>
      <c r="Q488">
        <v>3.0596211692951206E-6</v>
      </c>
      <c r="R488">
        <v>2.3194234194886611E-6</v>
      </c>
      <c r="T488" s="60"/>
      <c r="Y488" s="98"/>
    </row>
    <row r="489" spans="3:25" x14ac:dyDescent="0.2">
      <c r="C489" s="69"/>
      <c r="D489" s="96"/>
      <c r="E489" s="65"/>
      <c r="F489" s="66"/>
      <c r="G489" s="66"/>
      <c r="H489" s="66"/>
      <c r="K489">
        <v>2</v>
      </c>
      <c r="L489" s="44">
        <v>1.9499999999999971</v>
      </c>
      <c r="M489">
        <v>-9.9929557664586071</v>
      </c>
      <c r="N489">
        <v>-2.1374264991972147</v>
      </c>
      <c r="O489">
        <v>0</v>
      </c>
      <c r="P489">
        <v>0</v>
      </c>
      <c r="Q489">
        <v>3.1175035112761123E-6</v>
      </c>
      <c r="R489">
        <v>2.3109894468454774E-6</v>
      </c>
      <c r="T489" s="60"/>
      <c r="Y489" s="98"/>
    </row>
    <row r="490" spans="3:25" x14ac:dyDescent="0.2">
      <c r="C490" s="70"/>
      <c r="D490" s="97"/>
      <c r="E490" s="29"/>
      <c r="F490" s="67"/>
      <c r="G490" s="67"/>
      <c r="H490" s="67"/>
      <c r="K490">
        <v>2</v>
      </c>
      <c r="L490" s="44">
        <v>1.974999999999997</v>
      </c>
      <c r="M490">
        <v>-9.9929557664586071</v>
      </c>
      <c r="N490">
        <v>-2.3872503933586806</v>
      </c>
      <c r="O490">
        <v>0</v>
      </c>
      <c r="P490">
        <v>0</v>
      </c>
      <c r="Q490">
        <v>3.1751619170301327E-6</v>
      </c>
      <c r="R490">
        <v>2.301508521330944E-6</v>
      </c>
      <c r="T490" s="60"/>
      <c r="Y490" s="98"/>
    </row>
    <row r="491" spans="3:25" x14ac:dyDescent="0.2">
      <c r="C491" s="68"/>
      <c r="D491" s="95"/>
      <c r="E491" s="65"/>
      <c r="F491" s="66"/>
      <c r="G491" s="66"/>
      <c r="H491" s="66"/>
      <c r="K491">
        <v>2</v>
      </c>
      <c r="L491" s="44">
        <v>1.9999999999999969</v>
      </c>
      <c r="M491">
        <v>-9.9929557664586071</v>
      </c>
      <c r="N491">
        <v>-2.6370742875201429</v>
      </c>
      <c r="O491">
        <v>0</v>
      </c>
      <c r="P491">
        <v>0</v>
      </c>
      <c r="Q491">
        <v>3.2325702127353979E-6</v>
      </c>
      <c r="R491">
        <v>2.290980642945061E-6</v>
      </c>
      <c r="T491" s="60"/>
      <c r="Y491" s="98"/>
    </row>
    <row r="492" spans="3:25" x14ac:dyDescent="0.2">
      <c r="C492" s="69"/>
      <c r="D492" s="96"/>
      <c r="E492" s="29"/>
      <c r="F492" s="67"/>
      <c r="G492" s="67"/>
      <c r="H492" s="67"/>
      <c r="K492">
        <v>2</v>
      </c>
      <c r="L492" s="44">
        <v>2.0249999999999968</v>
      </c>
      <c r="M492">
        <v>7.0442335413929413E-3</v>
      </c>
      <c r="N492">
        <v>-2.6368981816816408</v>
      </c>
      <c r="O492">
        <v>0</v>
      </c>
      <c r="P492">
        <v>0</v>
      </c>
      <c r="Q492">
        <v>3.2897065899488282E-6</v>
      </c>
      <c r="R492">
        <v>2.2799296571324686E-6</v>
      </c>
      <c r="T492" s="60"/>
      <c r="Y492" s="98"/>
    </row>
    <row r="493" spans="3:25" x14ac:dyDescent="0.2">
      <c r="C493" s="70"/>
      <c r="D493" s="97"/>
      <c r="E493" s="65"/>
      <c r="F493" s="66"/>
      <c r="G493" s="66"/>
      <c r="H493" s="66"/>
      <c r="K493">
        <v>2</v>
      </c>
      <c r="L493" s="44">
        <v>2.0499999999999967</v>
      </c>
      <c r="M493">
        <v>7.0442335413929413E-3</v>
      </c>
      <c r="N493">
        <v>-2.6367220758431031</v>
      </c>
      <c r="O493">
        <v>0</v>
      </c>
      <c r="P493">
        <v>0</v>
      </c>
      <c r="Q493">
        <v>3.3465667017421695E-6</v>
      </c>
      <c r="R493">
        <v>2.2688794093378062E-6</v>
      </c>
      <c r="T493" s="60"/>
      <c r="Y493" s="98"/>
    </row>
    <row r="494" spans="3:25" x14ac:dyDescent="0.2">
      <c r="C494" s="68"/>
      <c r="D494" s="95"/>
      <c r="E494" s="29"/>
      <c r="F494" s="67"/>
      <c r="G494" s="67"/>
      <c r="H494" s="67"/>
      <c r="K494">
        <v>2</v>
      </c>
      <c r="L494" s="44">
        <v>2.0749999999999966</v>
      </c>
      <c r="M494">
        <v>7.0442335413929413E-3</v>
      </c>
      <c r="N494">
        <v>-2.6365459700045726</v>
      </c>
      <c r="O494">
        <v>0</v>
      </c>
      <c r="P494">
        <v>0</v>
      </c>
      <c r="Q494">
        <v>3.4031505665658679E-6</v>
      </c>
      <c r="R494">
        <v>2.2578298995610737E-6</v>
      </c>
      <c r="T494" s="60"/>
      <c r="Y494" s="98"/>
    </row>
    <row r="495" spans="3:25" x14ac:dyDescent="0.2">
      <c r="C495" s="69"/>
      <c r="D495" s="96"/>
      <c r="E495" s="65"/>
      <c r="F495" s="66"/>
      <c r="G495" s="66"/>
      <c r="H495" s="66"/>
      <c r="K495">
        <v>2</v>
      </c>
      <c r="L495" s="44">
        <v>2.0999999999999965</v>
      </c>
      <c r="M495">
        <v>7.0442335413929413E-3</v>
      </c>
      <c r="N495">
        <v>-2.6363698641660349</v>
      </c>
      <c r="O495">
        <v>0</v>
      </c>
      <c r="P495">
        <v>0</v>
      </c>
      <c r="Q495">
        <v>3.459458202870372E-6</v>
      </c>
      <c r="R495">
        <v>2.2467811278022724E-6</v>
      </c>
      <c r="T495" s="60"/>
      <c r="Y495" s="98"/>
    </row>
    <row r="496" spans="3:25" x14ac:dyDescent="0.2">
      <c r="C496" s="70"/>
      <c r="D496" s="97"/>
      <c r="E496" s="29"/>
      <c r="F496" s="67"/>
      <c r="G496" s="67"/>
      <c r="H496" s="67"/>
      <c r="K496">
        <v>2</v>
      </c>
      <c r="L496" s="44">
        <v>2.1249999999999964</v>
      </c>
      <c r="M496">
        <v>7.0442335413929413E-3</v>
      </c>
      <c r="N496">
        <v>-2.6361937583275008</v>
      </c>
      <c r="O496">
        <v>0</v>
      </c>
      <c r="P496">
        <v>0</v>
      </c>
      <c r="Q496">
        <v>3.5154896291061311E-6</v>
      </c>
      <c r="R496">
        <v>2.2357330940614006E-6</v>
      </c>
      <c r="T496" s="60"/>
      <c r="Y496" s="98"/>
    </row>
    <row r="497" spans="3:25" x14ac:dyDescent="0.2">
      <c r="C497" s="68"/>
      <c r="D497" s="95"/>
      <c r="E497" s="65"/>
      <c r="F497" s="66"/>
      <c r="G497" s="66"/>
      <c r="H497" s="66"/>
      <c r="K497">
        <v>2</v>
      </c>
      <c r="L497" s="44">
        <v>2.1499999999999964</v>
      </c>
      <c r="M497">
        <v>7.0442335413929413E-3</v>
      </c>
      <c r="N497">
        <v>-2.6360176524889667</v>
      </c>
      <c r="O497">
        <v>0</v>
      </c>
      <c r="P497">
        <v>0</v>
      </c>
      <c r="Q497">
        <v>3.5712448637235915E-6</v>
      </c>
      <c r="R497">
        <v>2.2246857983384587E-6</v>
      </c>
      <c r="T497" s="60"/>
      <c r="Y497" s="98"/>
    </row>
    <row r="498" spans="3:25" x14ac:dyDescent="0.2">
      <c r="C498" s="69"/>
      <c r="D498" s="96"/>
      <c r="E498" s="29"/>
      <c r="F498" s="67"/>
      <c r="G498" s="67"/>
      <c r="H498" s="67"/>
      <c r="K498">
        <v>2</v>
      </c>
      <c r="L498" s="44">
        <v>2.1749999999999963</v>
      </c>
      <c r="M498">
        <v>7.0442335413929413E-3</v>
      </c>
      <c r="N498">
        <v>-2.635841546650429</v>
      </c>
      <c r="O498">
        <v>0</v>
      </c>
      <c r="P498">
        <v>0</v>
      </c>
      <c r="Q498">
        <v>3.6267239251732032E-6</v>
      </c>
      <c r="R498">
        <v>2.213639240633448E-6</v>
      </c>
      <c r="T498" s="60"/>
      <c r="Y498" s="98"/>
    </row>
    <row r="499" spans="3:25" x14ac:dyDescent="0.2">
      <c r="C499" s="70"/>
      <c r="D499" s="97"/>
      <c r="E499" s="65"/>
      <c r="F499" s="66"/>
      <c r="G499" s="66"/>
      <c r="H499" s="66"/>
      <c r="K499">
        <v>2</v>
      </c>
      <c r="L499" s="44">
        <v>2.1999999999999962</v>
      </c>
      <c r="M499">
        <v>7.0442335413929413E-3</v>
      </c>
      <c r="N499">
        <v>-2.6356654408118985</v>
      </c>
      <c r="O499">
        <v>0</v>
      </c>
      <c r="P499">
        <v>0</v>
      </c>
      <c r="Q499">
        <v>3.6819268319054129E-6</v>
      </c>
      <c r="R499">
        <v>2.202593420946368E-6</v>
      </c>
      <c r="T499" s="60"/>
      <c r="Y499" s="98"/>
    </row>
    <row r="500" spans="3:25" x14ac:dyDescent="0.2">
      <c r="C500" s="68"/>
      <c r="D500" s="95"/>
      <c r="E500" s="29"/>
      <c r="F500" s="67"/>
      <c r="G500" s="67"/>
      <c r="H500" s="67"/>
      <c r="K500">
        <v>2</v>
      </c>
      <c r="L500" s="44">
        <v>2.2249999999999961</v>
      </c>
      <c r="M500">
        <v>7.0442335413929413E-3</v>
      </c>
      <c r="N500">
        <v>-2.6354893349733608</v>
      </c>
      <c r="O500">
        <v>0</v>
      </c>
      <c r="P500">
        <v>0</v>
      </c>
      <c r="Q500">
        <v>3.7368536023706707E-6</v>
      </c>
      <c r="R500">
        <v>2.1915483392772172E-6</v>
      </c>
      <c r="T500" s="60"/>
      <c r="Y500" s="98"/>
    </row>
    <row r="501" spans="3:25" x14ac:dyDescent="0.2">
      <c r="C501" s="69"/>
      <c r="D501" s="96"/>
      <c r="E501" s="65"/>
      <c r="F501" s="66"/>
      <c r="G501" s="66"/>
      <c r="H501" s="66"/>
      <c r="K501">
        <v>2</v>
      </c>
      <c r="L501" s="44">
        <v>2.249999999999996</v>
      </c>
      <c r="M501">
        <v>7.0442335413929413E-3</v>
      </c>
      <c r="N501">
        <v>-2.6353132291348267</v>
      </c>
      <c r="O501">
        <v>0</v>
      </c>
      <c r="P501">
        <v>0</v>
      </c>
      <c r="Q501">
        <v>3.7915042550194228E-6</v>
      </c>
      <c r="R501">
        <v>2.1805039956259971E-6</v>
      </c>
      <c r="T501" s="60"/>
      <c r="Y501" s="98"/>
    </row>
    <row r="502" spans="3:25" x14ac:dyDescent="0.2">
      <c r="C502" s="70"/>
      <c r="D502" s="97"/>
      <c r="E502" s="29"/>
      <c r="F502" s="67"/>
      <c r="G502" s="67"/>
      <c r="H502" s="67"/>
      <c r="K502">
        <v>2</v>
      </c>
      <c r="L502" s="44">
        <v>2.2749999999999959</v>
      </c>
      <c r="M502">
        <v>7.0442335413929413E-3</v>
      </c>
      <c r="N502">
        <v>-2.6351371232962926</v>
      </c>
      <c r="O502">
        <v>0</v>
      </c>
      <c r="P502">
        <v>0</v>
      </c>
      <c r="Q502">
        <v>3.845878808302119E-6</v>
      </c>
      <c r="R502">
        <v>2.1694603899927081E-6</v>
      </c>
      <c r="T502" s="60"/>
      <c r="Y502" s="98"/>
    </row>
    <row r="503" spans="3:25" x14ac:dyDescent="0.2">
      <c r="C503" s="68"/>
      <c r="D503" s="95"/>
      <c r="E503" s="65"/>
      <c r="F503" s="66"/>
      <c r="G503" s="66"/>
      <c r="H503" s="66"/>
      <c r="K503">
        <v>2</v>
      </c>
      <c r="L503" s="44">
        <v>2.2999999999999958</v>
      </c>
      <c r="M503">
        <v>7.0442335413929413E-3</v>
      </c>
      <c r="N503">
        <v>-2.6349610174577585</v>
      </c>
      <c r="O503">
        <v>0</v>
      </c>
      <c r="P503">
        <v>0</v>
      </c>
      <c r="Q503">
        <v>3.8999772806692065E-6</v>
      </c>
      <c r="R503">
        <v>2.1584175223773491E-6</v>
      </c>
      <c r="T503" s="60"/>
      <c r="Y503" s="98"/>
    </row>
    <row r="504" spans="3:25" x14ac:dyDescent="0.2">
      <c r="C504" s="69"/>
      <c r="D504" s="96"/>
      <c r="E504" s="29"/>
      <c r="F504" s="67"/>
      <c r="G504" s="67"/>
      <c r="H504" s="67"/>
      <c r="K504">
        <v>2</v>
      </c>
      <c r="L504" s="44">
        <v>2.3249999999999957</v>
      </c>
      <c r="M504">
        <v>7.0442335413929413E-3</v>
      </c>
      <c r="N504">
        <v>-2.6347849116192208</v>
      </c>
      <c r="O504">
        <v>0</v>
      </c>
      <c r="P504">
        <v>0</v>
      </c>
      <c r="Q504">
        <v>3.9537996905711362E-6</v>
      </c>
      <c r="R504">
        <v>2.1473753927799196E-6</v>
      </c>
      <c r="T504" s="60"/>
      <c r="Y504" s="98"/>
    </row>
    <row r="505" spans="3:25" x14ac:dyDescent="0.2">
      <c r="C505" s="70"/>
      <c r="D505" s="97"/>
      <c r="E505" s="65"/>
      <c r="F505" s="66"/>
      <c r="G505" s="66"/>
      <c r="H505" s="66"/>
      <c r="K505">
        <v>2</v>
      </c>
      <c r="L505" s="44">
        <v>2.3499999999999956</v>
      </c>
      <c r="M505">
        <v>7.0442335413929413E-3</v>
      </c>
      <c r="N505">
        <v>-2.6346088057806867</v>
      </c>
      <c r="O505">
        <v>0</v>
      </c>
      <c r="P505">
        <v>0</v>
      </c>
      <c r="Q505">
        <v>4.0073460564583523E-6</v>
      </c>
      <c r="R505">
        <v>2.1363340012004217E-6</v>
      </c>
      <c r="T505" s="60"/>
      <c r="Y505" s="98"/>
    </row>
    <row r="506" spans="3:25" x14ac:dyDescent="0.2">
      <c r="C506" s="68"/>
      <c r="D506" s="95"/>
      <c r="E506" s="29"/>
      <c r="F506" s="67"/>
      <c r="G506" s="67"/>
      <c r="H506" s="67"/>
      <c r="K506">
        <v>2</v>
      </c>
      <c r="L506" s="44">
        <v>2.3749999999999956</v>
      </c>
      <c r="M506">
        <v>7.0442335413929413E-3</v>
      </c>
      <c r="N506">
        <v>-2.6344326999421561</v>
      </c>
      <c r="O506">
        <v>0</v>
      </c>
      <c r="P506">
        <v>0</v>
      </c>
      <c r="Q506">
        <v>4.0606163967813052E-6</v>
      </c>
      <c r="R506">
        <v>2.1252933476388533E-6</v>
      </c>
      <c r="T506" s="60"/>
      <c r="Y506" s="98"/>
    </row>
    <row r="507" spans="3:25" x14ac:dyDescent="0.2">
      <c r="C507" s="69"/>
      <c r="D507" s="96"/>
      <c r="E507" s="65"/>
      <c r="F507" s="66"/>
      <c r="G507" s="66"/>
      <c r="H507" s="66"/>
      <c r="K507">
        <v>2</v>
      </c>
      <c r="L507" s="44">
        <v>2.3999999999999955</v>
      </c>
      <c r="M507">
        <v>7.0442335413929413E-3</v>
      </c>
      <c r="N507">
        <v>-2.6342565941036185</v>
      </c>
      <c r="O507">
        <v>0</v>
      </c>
      <c r="P507">
        <v>0</v>
      </c>
      <c r="Q507">
        <v>4.1136107299904443E-6</v>
      </c>
      <c r="R507">
        <v>2.1142534320952157E-6</v>
      </c>
      <c r="T507" s="60"/>
      <c r="Y507" s="98"/>
    </row>
    <row r="508" spans="3:25" x14ac:dyDescent="0.2">
      <c r="C508" s="70"/>
      <c r="D508" s="97"/>
      <c r="E508" s="29"/>
      <c r="F508" s="67"/>
      <c r="G508" s="67"/>
      <c r="H508" s="67"/>
      <c r="K508">
        <v>2</v>
      </c>
      <c r="L508" s="44">
        <v>2.4249999999999954</v>
      </c>
      <c r="M508">
        <v>7.0442335413929413E-3</v>
      </c>
      <c r="N508">
        <v>-2.6340804882650843</v>
      </c>
      <c r="O508">
        <v>0</v>
      </c>
      <c r="P508">
        <v>0</v>
      </c>
      <c r="Q508">
        <v>4.1663290745362155E-6</v>
      </c>
      <c r="R508">
        <v>2.1032142545695075E-6</v>
      </c>
      <c r="T508" s="60"/>
      <c r="Y508" s="98"/>
    </row>
    <row r="509" spans="3:25" x14ac:dyDescent="0.2">
      <c r="C509" s="68"/>
      <c r="D509" s="95"/>
      <c r="E509" s="65"/>
      <c r="F509" s="66"/>
      <c r="G509" s="66"/>
      <c r="H509" s="66"/>
      <c r="K509">
        <v>2</v>
      </c>
      <c r="L509" s="44">
        <v>2.4499999999999953</v>
      </c>
      <c r="M509">
        <v>7.0442335413929413E-3</v>
      </c>
      <c r="N509">
        <v>-2.6339043824265467</v>
      </c>
      <c r="O509">
        <v>0</v>
      </c>
      <c r="P509">
        <v>0</v>
      </c>
      <c r="Q509">
        <v>4.2187714488690684E-6</v>
      </c>
      <c r="R509">
        <v>2.0921758150617302E-6</v>
      </c>
      <c r="T509" s="60"/>
      <c r="Y509" s="98"/>
    </row>
    <row r="510" spans="3:25" x14ac:dyDescent="0.2">
      <c r="C510" s="69"/>
      <c r="D510" s="96"/>
      <c r="E510" s="29"/>
      <c r="F510" s="67"/>
      <c r="G510" s="67"/>
      <c r="H510" s="67"/>
      <c r="K510">
        <v>2</v>
      </c>
      <c r="L510" s="44">
        <v>2.4749999999999952</v>
      </c>
      <c r="M510">
        <v>7.0442335413929413E-3</v>
      </c>
      <c r="N510">
        <v>-2.6337282765880126</v>
      </c>
      <c r="O510">
        <v>0</v>
      </c>
      <c r="P510">
        <v>0</v>
      </c>
      <c r="Q510">
        <v>4.2709378714394499E-6</v>
      </c>
      <c r="R510">
        <v>2.0811381135718831E-6</v>
      </c>
      <c r="T510" s="60"/>
      <c r="Y510" s="98"/>
    </row>
    <row r="511" spans="3:25" x14ac:dyDescent="0.2">
      <c r="C511" s="70"/>
      <c r="D511" s="97"/>
      <c r="E511" s="65"/>
      <c r="F511" s="66"/>
      <c r="G511" s="66"/>
      <c r="H511" s="66"/>
      <c r="K511">
        <v>2</v>
      </c>
      <c r="L511" s="44">
        <v>2.4999999999999951</v>
      </c>
      <c r="M511">
        <v>7.0442335413929413E-3</v>
      </c>
      <c r="N511">
        <v>-2.6335521707494784</v>
      </c>
      <c r="O511">
        <v>0</v>
      </c>
      <c r="P511">
        <v>0</v>
      </c>
      <c r="Q511">
        <v>4.322828360697811E-6</v>
      </c>
      <c r="R511">
        <v>2.0701011500999669E-6</v>
      </c>
      <c r="T511" s="60"/>
      <c r="Y511" s="98"/>
    </row>
    <row r="512" spans="3:25" x14ac:dyDescent="0.2">
      <c r="C512" s="68"/>
      <c r="D512" s="95"/>
      <c r="E512" s="29"/>
      <c r="F512" s="67"/>
      <c r="G512" s="67"/>
      <c r="H512" s="67"/>
      <c r="K512">
        <v>2</v>
      </c>
      <c r="L512" s="44">
        <v>2.524999999999995</v>
      </c>
      <c r="M512">
        <v>7.0442335413929413E-3</v>
      </c>
      <c r="N512">
        <v>-2.6333760649109443</v>
      </c>
      <c r="O512">
        <v>0</v>
      </c>
      <c r="P512">
        <v>0</v>
      </c>
      <c r="Q512">
        <v>4.3744429350945962E-6</v>
      </c>
      <c r="R512">
        <v>2.0590649246459801E-6</v>
      </c>
      <c r="T512" s="60"/>
      <c r="Y512" s="98"/>
    </row>
    <row r="513" spans="3:25" x14ac:dyDescent="0.2">
      <c r="C513" s="69"/>
      <c r="D513" s="96"/>
      <c r="E513" s="65"/>
      <c r="F513" s="66"/>
      <c r="G513" s="66"/>
      <c r="H513" s="66"/>
      <c r="K513">
        <v>2</v>
      </c>
      <c r="L513" s="44">
        <v>2.5499999999999949</v>
      </c>
      <c r="M513">
        <v>7.0442335413929413E-3</v>
      </c>
      <c r="N513">
        <v>-2.6331999590724067</v>
      </c>
      <c r="O513">
        <v>0</v>
      </c>
      <c r="P513">
        <v>0</v>
      </c>
      <c r="Q513">
        <v>4.4257816130802582E-6</v>
      </c>
      <c r="R513">
        <v>2.0480294372099249E-6</v>
      </c>
      <c r="T513" s="60"/>
      <c r="Y513" s="98"/>
    </row>
    <row r="514" spans="3:25" x14ac:dyDescent="0.2">
      <c r="C514" s="70"/>
      <c r="D514" s="97"/>
      <c r="E514" s="29"/>
      <c r="F514" s="67"/>
      <c r="G514" s="67"/>
      <c r="H514" s="67"/>
      <c r="K514">
        <v>2</v>
      </c>
      <c r="L514" s="44">
        <v>2.5749999999999948</v>
      </c>
      <c r="M514">
        <v>7.0442335413929413E-3</v>
      </c>
      <c r="N514">
        <v>-2.6330238532338761</v>
      </c>
      <c r="O514">
        <v>0</v>
      </c>
      <c r="P514">
        <v>0</v>
      </c>
      <c r="Q514">
        <v>4.4768444131052431E-6</v>
      </c>
      <c r="R514">
        <v>2.0369946877917992E-6</v>
      </c>
      <c r="T514" s="60"/>
      <c r="Y514" s="98"/>
    </row>
    <row r="515" spans="3:25" x14ac:dyDescent="0.2">
      <c r="C515" s="68"/>
      <c r="D515" s="95"/>
      <c r="E515" s="65"/>
      <c r="F515" s="66"/>
      <c r="G515" s="66"/>
      <c r="H515" s="66"/>
      <c r="K515">
        <v>2</v>
      </c>
      <c r="L515" s="44">
        <v>2.5999999999999948</v>
      </c>
      <c r="M515">
        <v>7.0442335413929413E-3</v>
      </c>
      <c r="N515">
        <v>-2.6328477473953384</v>
      </c>
      <c r="O515">
        <v>0</v>
      </c>
      <c r="P515">
        <v>0</v>
      </c>
      <c r="Q515">
        <v>4.5276313536199987E-6</v>
      </c>
      <c r="R515">
        <v>2.0259606763916031E-6</v>
      </c>
      <c r="T515" s="60"/>
      <c r="Y515" s="98"/>
    </row>
    <row r="516" spans="3:25" x14ac:dyDescent="0.2">
      <c r="C516" s="69"/>
      <c r="D516" s="96"/>
      <c r="E516" s="29"/>
      <c r="F516" s="67"/>
      <c r="G516" s="67"/>
      <c r="H516" s="67"/>
      <c r="K516">
        <v>2</v>
      </c>
      <c r="L516" s="44">
        <v>2.6249999999999947</v>
      </c>
      <c r="M516">
        <v>7.0442335413929413E-3</v>
      </c>
      <c r="N516">
        <v>-2.6326716415568043</v>
      </c>
      <c r="O516">
        <v>0</v>
      </c>
      <c r="P516">
        <v>0</v>
      </c>
      <c r="Q516">
        <v>4.5781424530749717E-6</v>
      </c>
      <c r="R516">
        <v>2.0149274030093381E-6</v>
      </c>
      <c r="T516" s="60"/>
      <c r="Y516" s="98"/>
    </row>
    <row r="517" spans="3:25" x14ac:dyDescent="0.2">
      <c r="C517" s="70"/>
      <c r="D517" s="97"/>
      <c r="E517" s="65"/>
      <c r="F517" s="66"/>
      <c r="G517" s="66"/>
      <c r="H517" s="66"/>
      <c r="K517">
        <v>2</v>
      </c>
      <c r="L517" s="44">
        <v>2.6499999999999946</v>
      </c>
      <c r="M517">
        <v>7.0442335413929413E-3</v>
      </c>
      <c r="N517">
        <v>-2.6324955357182702</v>
      </c>
      <c r="O517">
        <v>0</v>
      </c>
      <c r="P517">
        <v>0</v>
      </c>
      <c r="Q517">
        <v>4.6283777299206134E-6</v>
      </c>
      <c r="R517">
        <v>2.0038948676450034E-6</v>
      </c>
      <c r="T517" s="60"/>
      <c r="Y517" s="98"/>
    </row>
    <row r="518" spans="3:25" x14ac:dyDescent="0.2">
      <c r="C518" s="68"/>
      <c r="D518" s="95"/>
      <c r="E518" s="29"/>
      <c r="F518" s="67"/>
      <c r="G518" s="67"/>
      <c r="H518" s="67"/>
      <c r="K518">
        <v>2</v>
      </c>
      <c r="L518" s="44">
        <v>2.6749999999999945</v>
      </c>
      <c r="M518">
        <v>7.0442335413929413E-3</v>
      </c>
      <c r="N518">
        <v>-2.6323194298797326</v>
      </c>
      <c r="O518">
        <v>0</v>
      </c>
      <c r="P518">
        <v>0</v>
      </c>
      <c r="Q518">
        <v>4.6783372026073716E-6</v>
      </c>
      <c r="R518">
        <v>1.9928630702985991E-6</v>
      </c>
      <c r="T518" s="60"/>
      <c r="Y518" s="98"/>
    </row>
    <row r="519" spans="3:25" x14ac:dyDescent="0.2">
      <c r="C519" s="69"/>
      <c r="D519" s="96"/>
      <c r="E519" s="65"/>
      <c r="F519" s="66"/>
      <c r="G519" s="66"/>
      <c r="H519" s="66"/>
      <c r="K519">
        <v>2</v>
      </c>
      <c r="L519" s="44">
        <v>2.6999999999999944</v>
      </c>
      <c r="M519">
        <v>7.0442335413929413E-3</v>
      </c>
      <c r="N519">
        <v>-2.632143324041202</v>
      </c>
      <c r="O519">
        <v>0</v>
      </c>
      <c r="P519">
        <v>0</v>
      </c>
      <c r="Q519">
        <v>4.7280208895856921E-6</v>
      </c>
      <c r="R519">
        <v>1.9818320109701251E-6</v>
      </c>
      <c r="T519" s="60"/>
      <c r="Y519" s="98"/>
    </row>
    <row r="520" spans="3:25" x14ac:dyDescent="0.2">
      <c r="C520" s="70"/>
      <c r="D520" s="97"/>
      <c r="E520" s="29"/>
      <c r="F520" s="67"/>
      <c r="G520" s="67"/>
      <c r="H520" s="67"/>
      <c r="K520">
        <v>2</v>
      </c>
      <c r="L520" s="44">
        <v>2.7249999999999943</v>
      </c>
      <c r="M520">
        <v>7.0442335413929413E-3</v>
      </c>
      <c r="N520">
        <v>-2.6319672182026643</v>
      </c>
      <c r="O520">
        <v>0</v>
      </c>
      <c r="P520">
        <v>0</v>
      </c>
      <c r="Q520">
        <v>4.7774288093060271E-6</v>
      </c>
      <c r="R520">
        <v>1.9708016896595824E-6</v>
      </c>
      <c r="T520" s="60"/>
      <c r="Y520" s="98"/>
    </row>
    <row r="521" spans="3:25" x14ac:dyDescent="0.2">
      <c r="C521" s="68"/>
      <c r="D521" s="95"/>
      <c r="E521" s="65"/>
      <c r="F521" s="66"/>
      <c r="G521" s="66"/>
      <c r="H521" s="66"/>
      <c r="K521">
        <v>2</v>
      </c>
      <c r="L521" s="44">
        <v>2.7499999999999942</v>
      </c>
      <c r="M521">
        <v>7.0442335413929413E-3</v>
      </c>
      <c r="N521">
        <v>-2.6317911123641302</v>
      </c>
      <c r="O521">
        <v>0</v>
      </c>
      <c r="P521">
        <v>0</v>
      </c>
      <c r="Q521">
        <v>4.8265609802188208E-6</v>
      </c>
      <c r="R521">
        <v>1.9597721063669691E-6</v>
      </c>
      <c r="T521" s="60"/>
      <c r="Y521" s="98"/>
    </row>
    <row r="522" spans="3:25" x14ac:dyDescent="0.2">
      <c r="C522" s="69"/>
      <c r="D522" s="96"/>
      <c r="E522" s="29"/>
      <c r="F522" s="67"/>
      <c r="G522" s="67"/>
      <c r="H522" s="67"/>
      <c r="K522">
        <v>2</v>
      </c>
      <c r="L522" s="44">
        <v>2.7749999999999941</v>
      </c>
      <c r="M522">
        <v>7.0442335413929413E-3</v>
      </c>
      <c r="N522">
        <v>-2.6316150065255961</v>
      </c>
      <c r="O522">
        <v>0</v>
      </c>
      <c r="P522">
        <v>0</v>
      </c>
      <c r="Q522">
        <v>4.8754174207745244E-6</v>
      </c>
      <c r="R522">
        <v>1.9487432610922849E-6</v>
      </c>
      <c r="T522" s="60"/>
      <c r="Y522" s="98"/>
    </row>
    <row r="523" spans="3:25" x14ac:dyDescent="0.2">
      <c r="C523" s="70"/>
      <c r="D523" s="97"/>
      <c r="E523" s="65"/>
      <c r="F523" s="66"/>
      <c r="G523" s="66"/>
      <c r="H523" s="66"/>
      <c r="K523">
        <v>2</v>
      </c>
      <c r="L523" s="44">
        <v>2.799999999999994</v>
      </c>
      <c r="M523">
        <v>7.0442335413929413E-3</v>
      </c>
      <c r="N523">
        <v>-2.631438900687062</v>
      </c>
      <c r="O523">
        <v>0</v>
      </c>
      <c r="P523">
        <v>0</v>
      </c>
      <c r="Q523">
        <v>4.9239981494235857E-6</v>
      </c>
      <c r="R523">
        <v>1.9377151538355323E-6</v>
      </c>
      <c r="T523" s="60"/>
      <c r="Y523" s="98"/>
    </row>
    <row r="524" spans="3:25" x14ac:dyDescent="0.2">
      <c r="C524" s="68"/>
      <c r="D524" s="95"/>
      <c r="E524" s="29"/>
      <c r="F524" s="67"/>
      <c r="G524" s="67"/>
      <c r="H524" s="67"/>
      <c r="K524">
        <v>2</v>
      </c>
      <c r="L524" s="44">
        <v>2.824999999999994</v>
      </c>
      <c r="M524">
        <v>7.0442335413929413E-3</v>
      </c>
      <c r="N524">
        <v>-2.6312627948485243</v>
      </c>
      <c r="O524">
        <v>0</v>
      </c>
      <c r="P524">
        <v>0</v>
      </c>
      <c r="Q524">
        <v>4.9723031846164489E-6</v>
      </c>
      <c r="R524">
        <v>1.9266877845967108E-6</v>
      </c>
      <c r="T524" s="60"/>
      <c r="Y524" s="98"/>
    </row>
    <row r="525" spans="3:25" x14ac:dyDescent="0.2">
      <c r="C525" s="69"/>
      <c r="D525" s="96"/>
      <c r="E525" s="65"/>
      <c r="F525" s="66"/>
      <c r="G525" s="66"/>
      <c r="H525" s="66"/>
      <c r="K525">
        <v>2</v>
      </c>
      <c r="L525" s="44">
        <v>2.8499999999999939</v>
      </c>
      <c r="M525">
        <v>7.0442335413929413E-3</v>
      </c>
      <c r="N525">
        <v>-2.6310866890099902</v>
      </c>
      <c r="O525">
        <v>0</v>
      </c>
      <c r="P525">
        <v>0</v>
      </c>
      <c r="Q525">
        <v>5.0203325448035678E-6</v>
      </c>
      <c r="R525">
        <v>1.9156611533758177E-6</v>
      </c>
      <c r="T525" s="60"/>
      <c r="Y525" s="98"/>
    </row>
    <row r="526" spans="3:25" x14ac:dyDescent="0.2">
      <c r="C526" s="70"/>
      <c r="D526" s="97"/>
      <c r="E526" s="29"/>
      <c r="F526" s="67"/>
      <c r="G526" s="67"/>
      <c r="H526" s="67"/>
      <c r="K526">
        <v>2</v>
      </c>
      <c r="L526" s="44">
        <v>2.8749999999999938</v>
      </c>
      <c r="M526">
        <v>7.0442335413929413E-3</v>
      </c>
      <c r="N526">
        <v>-2.6309105831714596</v>
      </c>
      <c r="O526">
        <v>0</v>
      </c>
      <c r="P526">
        <v>0</v>
      </c>
      <c r="Q526">
        <v>5.0680862484353892E-6</v>
      </c>
      <c r="R526">
        <v>1.9046352601728563E-6</v>
      </c>
      <c r="T526" s="60"/>
      <c r="Y526" s="98"/>
    </row>
    <row r="527" spans="3:25" x14ac:dyDescent="0.2">
      <c r="C527" s="68"/>
      <c r="D527" s="95"/>
      <c r="E527" s="65"/>
      <c r="F527" s="66"/>
      <c r="G527" s="66"/>
      <c r="H527" s="66"/>
      <c r="K527">
        <v>2</v>
      </c>
      <c r="L527" s="44">
        <v>2.8999999999999937</v>
      </c>
      <c r="M527">
        <v>7.0442335413929413E-3</v>
      </c>
      <c r="N527">
        <v>-2.630734477332922</v>
      </c>
      <c r="O527">
        <v>0</v>
      </c>
      <c r="P527">
        <v>0</v>
      </c>
      <c r="Q527">
        <v>5.115564313962361E-6</v>
      </c>
      <c r="R527">
        <v>1.8936101049878261E-6</v>
      </c>
      <c r="T527" s="60"/>
      <c r="Y527" s="98"/>
    </row>
    <row r="528" spans="3:25" x14ac:dyDescent="0.2">
      <c r="C528" s="69"/>
      <c r="D528" s="96"/>
      <c r="E528" s="29"/>
      <c r="F528" s="67"/>
      <c r="G528" s="67"/>
      <c r="H528" s="67"/>
      <c r="K528">
        <v>2</v>
      </c>
      <c r="L528" s="44">
        <v>2.9249999999999936</v>
      </c>
      <c r="M528">
        <v>7.0442335413929413E-3</v>
      </c>
      <c r="N528">
        <v>-2.6305583714943879</v>
      </c>
      <c r="O528">
        <v>0</v>
      </c>
      <c r="P528">
        <v>0</v>
      </c>
      <c r="Q528">
        <v>5.1627667598349273E-6</v>
      </c>
      <c r="R528">
        <v>1.8825856878207252E-6</v>
      </c>
      <c r="T528" s="60"/>
      <c r="Y528" s="98"/>
    </row>
    <row r="529" spans="3:25" x14ac:dyDescent="0.2">
      <c r="C529" s="70"/>
      <c r="D529" s="97"/>
      <c r="E529" s="65"/>
      <c r="F529" s="66"/>
      <c r="G529" s="66"/>
      <c r="H529" s="66"/>
      <c r="K529">
        <v>2</v>
      </c>
      <c r="L529" s="44">
        <v>2.9499999999999935</v>
      </c>
      <c r="M529">
        <v>7.0442335413929413E-3</v>
      </c>
      <c r="N529">
        <v>-2.6303822656558502</v>
      </c>
      <c r="O529">
        <v>0</v>
      </c>
      <c r="P529">
        <v>0</v>
      </c>
      <c r="Q529">
        <v>5.2096936045035462E-6</v>
      </c>
      <c r="R529">
        <v>1.8715620086715542E-6</v>
      </c>
      <c r="T529" s="60"/>
      <c r="Y529" s="98"/>
    </row>
    <row r="530" spans="3:25" x14ac:dyDescent="0.2">
      <c r="C530" s="68"/>
      <c r="D530" s="95"/>
      <c r="E530" s="29"/>
      <c r="F530" s="67"/>
      <c r="G530" s="67"/>
      <c r="H530" s="67"/>
      <c r="K530">
        <v>2</v>
      </c>
      <c r="L530" s="44">
        <v>2.9749999999999934</v>
      </c>
      <c r="M530">
        <v>7.0442335413929413E-3</v>
      </c>
      <c r="N530">
        <v>-2.6302061598173161</v>
      </c>
      <c r="O530">
        <v>0</v>
      </c>
      <c r="P530">
        <v>0</v>
      </c>
      <c r="Q530">
        <v>5.2563448664186586E-6</v>
      </c>
      <c r="R530">
        <v>1.8605390675403127E-6</v>
      </c>
      <c r="T530" s="60"/>
      <c r="Y530" s="98"/>
    </row>
    <row r="531" spans="3:25" x14ac:dyDescent="0.2">
      <c r="C531" s="69"/>
      <c r="D531" s="96"/>
      <c r="E531" s="65"/>
      <c r="F531" s="66"/>
      <c r="G531" s="66"/>
      <c r="H531" s="66"/>
      <c r="K531">
        <v>2</v>
      </c>
      <c r="L531" s="44">
        <v>2.9999999999999933</v>
      </c>
      <c r="M531">
        <v>7.0442335413929413E-3</v>
      </c>
      <c r="N531">
        <v>-2.630030053978782</v>
      </c>
      <c r="O531">
        <v>0</v>
      </c>
      <c r="P531">
        <v>0</v>
      </c>
      <c r="Q531">
        <v>5.3027205640307131E-6</v>
      </c>
      <c r="R531">
        <v>1.8495168644270027E-6</v>
      </c>
      <c r="T531" s="60"/>
      <c r="Y531" s="98"/>
    </row>
    <row r="532" spans="3:25" x14ac:dyDescent="0.2">
      <c r="C532" s="70"/>
      <c r="D532" s="97"/>
      <c r="E532" s="29"/>
      <c r="F532" s="67"/>
      <c r="G532" s="67"/>
      <c r="H532" s="67"/>
      <c r="K532">
        <v>2</v>
      </c>
      <c r="L532" s="44">
        <v>3.0249999999999932</v>
      </c>
      <c r="M532">
        <v>7.0442335413929413E-3</v>
      </c>
      <c r="N532">
        <v>-2.6298539481402479</v>
      </c>
      <c r="O532">
        <v>0</v>
      </c>
      <c r="P532">
        <v>0</v>
      </c>
      <c r="Q532">
        <v>5.3488207157901558E-6</v>
      </c>
      <c r="R532">
        <v>1.8384953993316242E-6</v>
      </c>
      <c r="T532" s="60"/>
      <c r="Y532" s="98"/>
    </row>
    <row r="533" spans="3:25" x14ac:dyDescent="0.2">
      <c r="C533" s="68"/>
      <c r="D533" s="95"/>
      <c r="E533" s="65"/>
      <c r="F533" s="66"/>
      <c r="G533" s="66"/>
      <c r="H533" s="66"/>
      <c r="K533">
        <v>2</v>
      </c>
      <c r="L533" s="44">
        <v>3.0499999999999932</v>
      </c>
      <c r="M533">
        <v>7.0442335413929413E-3</v>
      </c>
      <c r="N533">
        <v>-2.6296778423017102</v>
      </c>
      <c r="O533">
        <v>0</v>
      </c>
      <c r="P533">
        <v>0</v>
      </c>
      <c r="Q533">
        <v>5.3946453401474419E-6</v>
      </c>
      <c r="R533">
        <v>1.8274746722541748E-6</v>
      </c>
      <c r="T533" s="60"/>
      <c r="Y533" s="98"/>
    </row>
    <row r="534" spans="3:25" x14ac:dyDescent="0.2">
      <c r="C534" s="69"/>
      <c r="D534" s="96"/>
      <c r="E534" s="29"/>
      <c r="F534" s="67"/>
      <c r="G534" s="67"/>
      <c r="H534" s="67"/>
      <c r="K534">
        <v>2</v>
      </c>
      <c r="L534" s="44">
        <v>3.0749999999999931</v>
      </c>
      <c r="M534">
        <v>7.0442335413929413E-3</v>
      </c>
      <c r="N534">
        <v>-2.6295017364631796</v>
      </c>
      <c r="O534">
        <v>0</v>
      </c>
      <c r="P534">
        <v>0</v>
      </c>
      <c r="Q534">
        <v>5.4401944555530125E-6</v>
      </c>
      <c r="R534">
        <v>1.8164546831946555E-6</v>
      </c>
      <c r="T534" s="60"/>
      <c r="Y534" s="98"/>
    </row>
    <row r="535" spans="3:25" x14ac:dyDescent="0.2">
      <c r="C535" s="70"/>
      <c r="D535" s="97"/>
      <c r="E535" s="65"/>
      <c r="F535" s="66"/>
      <c r="G535" s="66"/>
      <c r="H535" s="66"/>
      <c r="K535">
        <v>2</v>
      </c>
      <c r="L535" s="44">
        <v>3.099999999999993</v>
      </c>
      <c r="M535">
        <v>7.0442335413929413E-3</v>
      </c>
      <c r="N535">
        <v>-2.629325630624642</v>
      </c>
      <c r="O535">
        <v>0</v>
      </c>
      <c r="P535">
        <v>0</v>
      </c>
      <c r="Q535">
        <v>5.4854680804573229E-6</v>
      </c>
      <c r="R535">
        <v>1.8054354321530668E-6</v>
      </c>
      <c r="T535" s="60"/>
      <c r="Y535" s="98"/>
    </row>
    <row r="536" spans="3:25" x14ac:dyDescent="0.2">
      <c r="C536" s="68"/>
      <c r="D536" s="95"/>
      <c r="E536" s="29"/>
      <c r="F536" s="67"/>
      <c r="G536" s="67"/>
      <c r="H536" s="67"/>
      <c r="K536">
        <v>2</v>
      </c>
      <c r="L536" s="44">
        <v>3.1249999999999929</v>
      </c>
      <c r="M536">
        <v>7.0442335413929413E-3</v>
      </c>
      <c r="N536">
        <v>-2.6291495247861079</v>
      </c>
      <c r="O536">
        <v>0</v>
      </c>
      <c r="P536">
        <v>0</v>
      </c>
      <c r="Q536">
        <v>5.5304662333108158E-6</v>
      </c>
      <c r="R536">
        <v>1.7944169191294084E-6</v>
      </c>
      <c r="T536" s="60"/>
      <c r="Y536" s="98"/>
    </row>
    <row r="537" spans="3:25" x14ac:dyDescent="0.2">
      <c r="C537" s="69"/>
      <c r="D537" s="96"/>
      <c r="E537" s="65"/>
      <c r="F537" s="66"/>
      <c r="G537" s="66"/>
      <c r="H537" s="66"/>
      <c r="K537">
        <v>2</v>
      </c>
      <c r="L537" s="44">
        <v>3.1499999999999928</v>
      </c>
      <c r="M537">
        <v>7.0442335413929413E-3</v>
      </c>
      <c r="N537">
        <v>-2.6289734189475737</v>
      </c>
      <c r="O537">
        <v>0</v>
      </c>
      <c r="P537">
        <v>0</v>
      </c>
      <c r="Q537">
        <v>5.5751889325639423E-6</v>
      </c>
      <c r="R537">
        <v>1.7833991441236804E-6</v>
      </c>
      <c r="T537" s="60"/>
      <c r="Y537" s="98"/>
    </row>
    <row r="538" spans="3:25" x14ac:dyDescent="0.2">
      <c r="C538" s="70"/>
      <c r="D538" s="97"/>
      <c r="E538" s="29"/>
      <c r="F538" s="67"/>
      <c r="G538" s="67"/>
      <c r="H538" s="67"/>
      <c r="K538">
        <v>2</v>
      </c>
      <c r="L538" s="44">
        <v>3.1749999999999927</v>
      </c>
      <c r="M538">
        <v>7.0442335413929413E-3</v>
      </c>
      <c r="N538">
        <v>-2.6287973131090361</v>
      </c>
      <c r="O538">
        <v>0</v>
      </c>
      <c r="P538">
        <v>0</v>
      </c>
      <c r="Q538">
        <v>5.6196361966671502E-6</v>
      </c>
      <c r="R538">
        <v>1.7723821071358835E-6</v>
      </c>
      <c r="T538" s="60"/>
      <c r="Y538" s="98"/>
    </row>
    <row r="539" spans="3:25" x14ac:dyDescent="0.2">
      <c r="C539" s="68"/>
      <c r="D539" s="95"/>
      <c r="E539" s="65"/>
      <c r="F539" s="66"/>
      <c r="G539" s="66"/>
      <c r="H539" s="66"/>
      <c r="K539">
        <v>2</v>
      </c>
      <c r="L539" s="44">
        <v>3.1999999999999926</v>
      </c>
      <c r="M539">
        <v>7.0442335413929413E-3</v>
      </c>
      <c r="N539">
        <v>-2.6286212072705055</v>
      </c>
      <c r="O539">
        <v>0</v>
      </c>
      <c r="P539">
        <v>0</v>
      </c>
      <c r="Q539">
        <v>5.6638080440708838E-6</v>
      </c>
      <c r="R539">
        <v>1.7613658081660149E-6</v>
      </c>
      <c r="T539" s="60"/>
      <c r="Y539" s="98"/>
    </row>
    <row r="540" spans="3:25" x14ac:dyDescent="0.2">
      <c r="C540" s="69"/>
      <c r="D540" s="96"/>
      <c r="E540" s="29"/>
      <c r="F540" s="67"/>
      <c r="G540" s="67"/>
      <c r="H540" s="67"/>
      <c r="K540">
        <v>2</v>
      </c>
      <c r="L540" s="44">
        <v>3.2249999999999925</v>
      </c>
      <c r="M540">
        <v>7.0442335413929413E-3</v>
      </c>
      <c r="N540">
        <v>-2.6284451014319714</v>
      </c>
      <c r="O540">
        <v>0</v>
      </c>
      <c r="P540">
        <v>0</v>
      </c>
      <c r="Q540">
        <v>5.7077044932255984E-6</v>
      </c>
      <c r="R540">
        <v>1.7503502472140789E-6</v>
      </c>
      <c r="T540" s="60"/>
      <c r="Y540" s="98"/>
    </row>
    <row r="541" spans="3:25" x14ac:dyDescent="0.2">
      <c r="C541" s="70"/>
      <c r="D541" s="97"/>
      <c r="E541" s="65"/>
      <c r="F541" s="66"/>
      <c r="G541" s="66"/>
      <c r="H541" s="66"/>
      <c r="K541">
        <v>2</v>
      </c>
      <c r="L541" s="44">
        <v>3.2499999999999925</v>
      </c>
      <c r="M541">
        <v>7.0442335413929413E-3</v>
      </c>
      <c r="N541">
        <v>-2.6282689955934302</v>
      </c>
      <c r="O541">
        <v>0</v>
      </c>
      <c r="P541">
        <v>0</v>
      </c>
      <c r="Q541">
        <v>5.7513255625817376E-6</v>
      </c>
      <c r="R541">
        <v>1.7393354242800723E-6</v>
      </c>
      <c r="T541" s="60"/>
      <c r="Y541" s="98"/>
    </row>
    <row r="542" spans="3:25" x14ac:dyDescent="0.2">
      <c r="C542" s="68"/>
      <c r="D542" s="95"/>
      <c r="E542" s="29"/>
      <c r="F542" s="67"/>
      <c r="G542" s="67"/>
      <c r="H542" s="67"/>
      <c r="K542">
        <v>2</v>
      </c>
      <c r="L542" s="44">
        <v>3.2749999999999924</v>
      </c>
      <c r="M542">
        <v>7.0442335413929413E-3</v>
      </c>
      <c r="N542">
        <v>-2.6280928897548996</v>
      </c>
      <c r="O542">
        <v>0</v>
      </c>
      <c r="P542">
        <v>0</v>
      </c>
      <c r="Q542">
        <v>5.79467127058975E-6</v>
      </c>
      <c r="R542">
        <v>1.7283213393639957E-6</v>
      </c>
      <c r="T542" s="60"/>
      <c r="Y542" s="98"/>
    </row>
    <row r="543" spans="3:25" x14ac:dyDescent="0.2">
      <c r="C543" s="69"/>
      <c r="D543" s="96"/>
      <c r="E543" s="65"/>
      <c r="F543" s="66"/>
      <c r="G543" s="66"/>
      <c r="H543" s="66"/>
      <c r="K543">
        <v>2</v>
      </c>
      <c r="L543" s="44">
        <v>3.2999999999999923</v>
      </c>
      <c r="M543">
        <v>7.0442335413929413E-3</v>
      </c>
      <c r="N543">
        <v>-2.6279167839163655</v>
      </c>
      <c r="O543">
        <v>0</v>
      </c>
      <c r="P543">
        <v>0</v>
      </c>
      <c r="Q543">
        <v>5.8377416357000867E-6</v>
      </c>
      <c r="R543">
        <v>1.7173079924658493E-6</v>
      </c>
      <c r="T543" s="60"/>
      <c r="Y543" s="98"/>
    </row>
    <row r="544" spans="3:25" x14ac:dyDescent="0.2">
      <c r="C544" s="70"/>
      <c r="D544" s="97"/>
      <c r="E544" s="29"/>
      <c r="F544" s="67"/>
      <c r="G544" s="67"/>
      <c r="H544" s="67"/>
      <c r="K544">
        <v>2</v>
      </c>
      <c r="L544" s="44">
        <v>3.3249999999999922</v>
      </c>
      <c r="M544">
        <v>7.0442335413929413E-3</v>
      </c>
      <c r="N544">
        <v>-2.6277406780778314</v>
      </c>
      <c r="O544">
        <v>0</v>
      </c>
      <c r="P544">
        <v>0</v>
      </c>
      <c r="Q544">
        <v>5.8805366763631937E-6</v>
      </c>
      <c r="R544">
        <v>1.7062953835856335E-6</v>
      </c>
      <c r="T544" s="60"/>
      <c r="Y544" s="98"/>
    </row>
    <row r="545" spans="3:25" x14ac:dyDescent="0.2">
      <c r="C545" s="68"/>
      <c r="D545" s="95"/>
      <c r="E545" s="65"/>
      <c r="F545" s="66"/>
      <c r="G545" s="66"/>
      <c r="H545" s="66"/>
      <c r="K545">
        <v>2</v>
      </c>
      <c r="L545" s="44">
        <v>3.3499999999999921</v>
      </c>
      <c r="M545">
        <v>7.0442335413929413E-3</v>
      </c>
      <c r="N545">
        <v>-2.6275645722392902</v>
      </c>
      <c r="O545">
        <v>0</v>
      </c>
      <c r="P545">
        <v>0</v>
      </c>
      <c r="Q545">
        <v>5.9230564110295179E-6</v>
      </c>
      <c r="R545">
        <v>1.6952835127233469E-6</v>
      </c>
      <c r="T545" s="60"/>
      <c r="Y545" s="98"/>
    </row>
    <row r="546" spans="3:25" x14ac:dyDescent="0.2">
      <c r="C546" s="69"/>
      <c r="D546" s="96"/>
      <c r="E546" s="29"/>
      <c r="F546" s="67"/>
      <c r="G546" s="67"/>
      <c r="H546" s="67"/>
      <c r="K546">
        <v>2</v>
      </c>
      <c r="L546" s="44">
        <v>3.374999999999992</v>
      </c>
      <c r="M546">
        <v>7.0442335413929413E-3</v>
      </c>
      <c r="N546">
        <v>-2.6273884664007561</v>
      </c>
      <c r="O546">
        <v>0</v>
      </c>
      <c r="P546">
        <v>0</v>
      </c>
      <c r="Q546">
        <v>5.9653008581495096E-6</v>
      </c>
      <c r="R546">
        <v>1.684272379878993E-6</v>
      </c>
      <c r="T546" s="60"/>
      <c r="Y546" s="98"/>
    </row>
    <row r="547" spans="3:25" x14ac:dyDescent="0.2">
      <c r="C547" s="70"/>
      <c r="D547" s="97"/>
      <c r="E547" s="65"/>
      <c r="F547" s="66"/>
      <c r="G547" s="66"/>
      <c r="H547" s="66"/>
      <c r="K547">
        <v>2</v>
      </c>
      <c r="L547" s="44">
        <v>3.3999999999999919</v>
      </c>
      <c r="M547">
        <v>7.0442335413929413E-3</v>
      </c>
      <c r="N547">
        <v>-2.6272123605622255</v>
      </c>
      <c r="O547">
        <v>0</v>
      </c>
      <c r="P547">
        <v>0</v>
      </c>
      <c r="Q547">
        <v>6.0072700361736157E-6</v>
      </c>
      <c r="R547">
        <v>1.6732619850525666E-6</v>
      </c>
      <c r="T547" s="60"/>
      <c r="Y547" s="98"/>
    </row>
    <row r="548" spans="3:25" x14ac:dyDescent="0.2">
      <c r="C548" s="68"/>
      <c r="D548" s="95"/>
      <c r="E548" s="29"/>
      <c r="F548" s="67"/>
      <c r="G548" s="67"/>
      <c r="H548" s="67"/>
      <c r="K548">
        <v>2</v>
      </c>
      <c r="L548" s="44">
        <v>3.4249999999999918</v>
      </c>
      <c r="M548">
        <v>7.0442335413929413E-3</v>
      </c>
      <c r="N548">
        <v>-2.6270362547236914</v>
      </c>
      <c r="O548">
        <v>0</v>
      </c>
      <c r="P548">
        <v>0</v>
      </c>
      <c r="Q548">
        <v>6.048963963552289E-6</v>
      </c>
      <c r="R548">
        <v>1.6622523282440721E-6</v>
      </c>
      <c r="T548" s="60"/>
      <c r="Y548" s="98"/>
    </row>
    <row r="549" spans="3:25" x14ac:dyDescent="0.2">
      <c r="C549" s="69"/>
      <c r="D549" s="96"/>
      <c r="E549" s="65"/>
      <c r="F549" s="66"/>
      <c r="G549" s="66"/>
      <c r="H549" s="66"/>
      <c r="K549">
        <v>2</v>
      </c>
      <c r="L549" s="44">
        <v>3.4499999999999917</v>
      </c>
      <c r="M549">
        <v>7.0442335413929413E-3</v>
      </c>
      <c r="N549">
        <v>-2.6268601488851573</v>
      </c>
      <c r="O549">
        <v>0</v>
      </c>
      <c r="P549">
        <v>0</v>
      </c>
      <c r="Q549">
        <v>6.0903826587359706E-6</v>
      </c>
      <c r="R549">
        <v>1.6512434094535093E-6</v>
      </c>
      <c r="T549" s="60"/>
      <c r="Y549" s="98"/>
    </row>
    <row r="550" spans="3:25" x14ac:dyDescent="0.2">
      <c r="C550" s="70"/>
      <c r="D550" s="97"/>
      <c r="E550" s="29"/>
      <c r="F550" s="67"/>
      <c r="G550" s="67"/>
      <c r="H550" s="67"/>
      <c r="K550">
        <v>2</v>
      </c>
      <c r="L550" s="44">
        <v>3.4749999999999917</v>
      </c>
      <c r="M550">
        <v>7.0442335413929413E-3</v>
      </c>
      <c r="N550">
        <v>-2.6266840430466196</v>
      </c>
      <c r="O550">
        <v>0</v>
      </c>
      <c r="P550">
        <v>0</v>
      </c>
      <c r="Q550">
        <v>6.1315261401751122E-6</v>
      </c>
      <c r="R550">
        <v>1.6402352286808754E-6</v>
      </c>
      <c r="T550" s="60"/>
      <c r="Y550" s="98"/>
    </row>
    <row r="551" spans="3:25" x14ac:dyDescent="0.2">
      <c r="C551" s="68"/>
      <c r="D551" s="95"/>
      <c r="E551" s="65"/>
      <c r="F551" s="66"/>
      <c r="G551" s="66"/>
      <c r="H551" s="66"/>
      <c r="K551">
        <v>2</v>
      </c>
      <c r="L551" s="44">
        <v>3.4999999999999916</v>
      </c>
      <c r="M551">
        <v>7.0442335413929413E-3</v>
      </c>
      <c r="N551">
        <v>-2.6265079372080855</v>
      </c>
      <c r="O551">
        <v>0</v>
      </c>
      <c r="P551">
        <v>0</v>
      </c>
      <c r="Q551">
        <v>6.1723944263201635E-6</v>
      </c>
      <c r="R551">
        <v>1.629227785926172E-6</v>
      </c>
      <c r="T551" s="60"/>
      <c r="Y551" s="98"/>
    </row>
    <row r="552" spans="3:25" x14ac:dyDescent="0.2">
      <c r="C552" s="69"/>
      <c r="D552" s="96"/>
      <c r="E552" s="29"/>
      <c r="F552" s="67"/>
      <c r="G552" s="67"/>
      <c r="H552" s="67"/>
      <c r="K552">
        <v>2</v>
      </c>
      <c r="L552" s="44">
        <v>3.5249999999999915</v>
      </c>
      <c r="M552">
        <v>7.0442335413929413E-3</v>
      </c>
      <c r="N552">
        <v>-2.6263318313695514</v>
      </c>
      <c r="O552">
        <v>0</v>
      </c>
      <c r="P552">
        <v>0</v>
      </c>
      <c r="Q552">
        <v>6.2129875356215687E-6</v>
      </c>
      <c r="R552">
        <v>1.6182210811893984E-6</v>
      </c>
      <c r="T552" s="60"/>
      <c r="Y552" s="98"/>
    </row>
    <row r="553" spans="3:25" x14ac:dyDescent="0.2">
      <c r="C553" s="70"/>
      <c r="D553" s="97"/>
      <c r="E553" s="65"/>
      <c r="F553" s="66"/>
      <c r="G553" s="66"/>
      <c r="H553" s="66"/>
      <c r="K553">
        <v>2</v>
      </c>
      <c r="L553" s="44">
        <v>3.5499999999999914</v>
      </c>
      <c r="M553">
        <v>7.0442335413929413E-3</v>
      </c>
      <c r="N553">
        <v>-2.6261557255310173</v>
      </c>
      <c r="O553">
        <v>0</v>
      </c>
      <c r="P553">
        <v>0</v>
      </c>
      <c r="Q553">
        <v>6.2533054865297807E-6</v>
      </c>
      <c r="R553">
        <v>1.6072151144705567E-6</v>
      </c>
      <c r="T553" s="60"/>
      <c r="Y553" s="98"/>
    </row>
    <row r="554" spans="3:25" x14ac:dyDescent="0.2">
      <c r="C554" s="68"/>
      <c r="D554" s="95"/>
      <c r="E554" s="29"/>
      <c r="F554" s="67"/>
      <c r="G554" s="67"/>
      <c r="H554" s="67"/>
      <c r="K554">
        <v>2</v>
      </c>
      <c r="L554" s="44">
        <v>3.5749999999999913</v>
      </c>
      <c r="M554">
        <v>7.0442335413929413E-3</v>
      </c>
      <c r="N554">
        <v>-2.6259796196924761</v>
      </c>
      <c r="O554">
        <v>0</v>
      </c>
      <c r="P554">
        <v>0</v>
      </c>
      <c r="Q554">
        <v>6.2933482974952497E-6</v>
      </c>
      <c r="R554">
        <v>1.596209885769643E-6</v>
      </c>
      <c r="T554" s="60"/>
      <c r="Y554" s="98"/>
    </row>
    <row r="555" spans="3:25" x14ac:dyDescent="0.2">
      <c r="C555" s="69"/>
      <c r="D555" s="96"/>
      <c r="E555" s="65"/>
      <c r="F555" s="66"/>
      <c r="G555" s="66"/>
      <c r="H555" s="66"/>
      <c r="K555">
        <v>2</v>
      </c>
      <c r="L555" s="44">
        <v>3.5999999999999912</v>
      </c>
      <c r="M555">
        <v>7.0442335413929413E-3</v>
      </c>
      <c r="N555">
        <v>-2.6258035138539455</v>
      </c>
      <c r="O555">
        <v>0</v>
      </c>
      <c r="P555">
        <v>0</v>
      </c>
      <c r="Q555">
        <v>6.3331159869684133E-6</v>
      </c>
      <c r="R555">
        <v>1.5852053950866619E-6</v>
      </c>
      <c r="T555" s="60"/>
      <c r="Y555" s="98"/>
    </row>
    <row r="556" spans="3:25" x14ac:dyDescent="0.2">
      <c r="C556" s="70"/>
      <c r="D556" s="97"/>
      <c r="E556" s="29"/>
      <c r="F556" s="67"/>
      <c r="G556" s="67"/>
      <c r="H556" s="67"/>
      <c r="K556">
        <v>2</v>
      </c>
      <c r="L556" s="44">
        <v>3.6249999999999911</v>
      </c>
      <c r="M556">
        <v>7.0442335413929413E-3</v>
      </c>
      <c r="N556">
        <v>-2.6256274080154114</v>
      </c>
      <c r="O556">
        <v>0</v>
      </c>
      <c r="P556">
        <v>0</v>
      </c>
      <c r="Q556">
        <v>6.3726085733997295E-6</v>
      </c>
      <c r="R556">
        <v>1.5742016424216089E-6</v>
      </c>
      <c r="T556" s="60"/>
      <c r="Y556" s="98"/>
    </row>
    <row r="557" spans="3:25" x14ac:dyDescent="0.2">
      <c r="C557" s="68"/>
      <c r="D557" s="95"/>
      <c r="E557" s="65"/>
      <c r="F557" s="66"/>
      <c r="G557" s="66"/>
      <c r="H557" s="66"/>
      <c r="K557">
        <v>2</v>
      </c>
      <c r="L557" s="44">
        <v>3.649999999999991</v>
      </c>
      <c r="M557">
        <v>7.0442335413929413E-3</v>
      </c>
      <c r="N557">
        <v>-2.6254513021768773</v>
      </c>
      <c r="O557">
        <v>0</v>
      </c>
      <c r="P557">
        <v>0</v>
      </c>
      <c r="Q557">
        <v>6.4118260752396426E-6</v>
      </c>
      <c r="R557">
        <v>1.5631986277744881E-6</v>
      </c>
      <c r="T557" s="60"/>
      <c r="Y557" s="98"/>
    </row>
    <row r="558" spans="3:25" x14ac:dyDescent="0.2">
      <c r="C558" s="69"/>
      <c r="D558" s="96"/>
      <c r="E558" s="29"/>
      <c r="F558" s="67"/>
      <c r="G558" s="67"/>
      <c r="H558" s="67"/>
      <c r="K558">
        <v>2</v>
      </c>
      <c r="L558" s="44">
        <v>3.6749999999999909</v>
      </c>
      <c r="M558">
        <v>7.0442335413929413E-3</v>
      </c>
      <c r="N558">
        <v>-2.6252751963383467</v>
      </c>
      <c r="O558">
        <v>0</v>
      </c>
      <c r="P558">
        <v>0</v>
      </c>
      <c r="Q558">
        <v>6.4507685109386002E-6</v>
      </c>
      <c r="R558">
        <v>1.5521963511452968E-6</v>
      </c>
      <c r="T558" s="60"/>
      <c r="Y558" s="98"/>
    </row>
    <row r="559" spans="3:25" x14ac:dyDescent="0.2">
      <c r="C559" s="70"/>
      <c r="D559" s="97"/>
      <c r="E559" s="65"/>
      <c r="F559" s="66"/>
      <c r="G559" s="66"/>
      <c r="H559" s="66"/>
      <c r="K559">
        <v>2</v>
      </c>
      <c r="L559" s="44">
        <v>3.6999999999999909</v>
      </c>
      <c r="M559">
        <v>7.0442335413929413E-3</v>
      </c>
      <c r="N559">
        <v>-2.6250990904998055</v>
      </c>
      <c r="O559">
        <v>0</v>
      </c>
      <c r="P559">
        <v>0</v>
      </c>
      <c r="Q559">
        <v>6.4894358989470587E-6</v>
      </c>
      <c r="R559">
        <v>1.5411948125340371E-6</v>
      </c>
      <c r="T559" s="60"/>
      <c r="Y559" s="98"/>
    </row>
    <row r="560" spans="3:25" x14ac:dyDescent="0.2">
      <c r="C560" s="68"/>
      <c r="D560" s="95"/>
      <c r="E560" s="29"/>
      <c r="F560" s="67"/>
      <c r="G560" s="67"/>
      <c r="H560" s="67"/>
      <c r="K560">
        <v>2</v>
      </c>
      <c r="L560" s="44">
        <v>3.7249999999999908</v>
      </c>
      <c r="M560">
        <v>7.0442335413929413E-3</v>
      </c>
      <c r="N560">
        <v>-2.6249229846612714</v>
      </c>
      <c r="O560">
        <v>0</v>
      </c>
      <c r="P560">
        <v>0</v>
      </c>
      <c r="Q560">
        <v>6.5278282577154547E-6</v>
      </c>
      <c r="R560">
        <v>1.5301940119407042E-6</v>
      </c>
      <c r="T560" s="60"/>
      <c r="Y560" s="98"/>
    </row>
    <row r="561" spans="3:25" x14ac:dyDescent="0.2">
      <c r="C561" s="69"/>
      <c r="D561" s="96"/>
      <c r="E561" s="65"/>
      <c r="F561" s="66"/>
      <c r="G561" s="66"/>
      <c r="H561" s="66"/>
      <c r="K561">
        <v>2</v>
      </c>
      <c r="L561" s="44">
        <v>3.7499999999999907</v>
      </c>
      <c r="M561">
        <v>7.0442335413929413E-3</v>
      </c>
      <c r="N561">
        <v>-2.6247468788227373</v>
      </c>
      <c r="O561">
        <v>0</v>
      </c>
      <c r="P561">
        <v>0</v>
      </c>
      <c r="Q561">
        <v>6.5659456056942429E-6</v>
      </c>
      <c r="R561">
        <v>1.5191939493653037E-6</v>
      </c>
      <c r="T561" s="60"/>
      <c r="Y561" s="98"/>
    </row>
    <row r="562" spans="3:25" x14ac:dyDescent="0.2">
      <c r="C562" s="70"/>
      <c r="D562" s="97"/>
      <c r="E562" s="29"/>
      <c r="F562" s="67"/>
      <c r="G562" s="67"/>
      <c r="H562" s="67"/>
      <c r="K562">
        <v>2</v>
      </c>
      <c r="L562" s="44">
        <v>3.7749999999999906</v>
      </c>
      <c r="M562">
        <v>7.0442335413929413E-3</v>
      </c>
      <c r="N562">
        <v>-2.6245707729842032</v>
      </c>
      <c r="O562">
        <v>0</v>
      </c>
      <c r="P562">
        <v>0</v>
      </c>
      <c r="Q562">
        <v>6.6037879613338674E-6</v>
      </c>
      <c r="R562">
        <v>1.5081946248078361E-6</v>
      </c>
      <c r="T562" s="60"/>
      <c r="Y562" s="98"/>
    </row>
    <row r="563" spans="3:25" x14ac:dyDescent="0.2">
      <c r="C563" s="68"/>
      <c r="D563" s="95"/>
      <c r="E563" s="65"/>
      <c r="F563" s="66"/>
      <c r="G563" s="66"/>
      <c r="H563" s="66"/>
      <c r="K563">
        <v>2</v>
      </c>
      <c r="L563" s="44">
        <v>3.7999999999999905</v>
      </c>
      <c r="M563">
        <v>7.0442335413929413E-3</v>
      </c>
      <c r="N563">
        <v>-2.6243946671456655</v>
      </c>
      <c r="O563">
        <v>0</v>
      </c>
      <c r="P563">
        <v>0</v>
      </c>
      <c r="Q563">
        <v>6.6413553430847829E-6</v>
      </c>
      <c r="R563">
        <v>1.4971960382682952E-6</v>
      </c>
      <c r="T563" s="60"/>
      <c r="Y563" s="98"/>
    </row>
    <row r="564" spans="3:25" x14ac:dyDescent="0.2">
      <c r="C564" s="69"/>
      <c r="D564" s="96"/>
      <c r="E564" s="29"/>
      <c r="F564" s="67"/>
      <c r="G564" s="67"/>
      <c r="H564" s="67"/>
      <c r="K564">
        <v>2</v>
      </c>
      <c r="L564" s="44">
        <v>3.8249999999999904</v>
      </c>
      <c r="M564">
        <v>7.0442335413929413E-3</v>
      </c>
      <c r="N564">
        <v>-2.6242185613071314</v>
      </c>
      <c r="O564">
        <v>0</v>
      </c>
      <c r="P564">
        <v>0</v>
      </c>
      <c r="Q564">
        <v>6.6786477693974336E-6</v>
      </c>
      <c r="R564">
        <v>1.486198189746686E-6</v>
      </c>
      <c r="T564" s="60"/>
      <c r="Y564" s="98"/>
    </row>
    <row r="565" spans="3:25" x14ac:dyDescent="0.2">
      <c r="C565" s="70"/>
      <c r="D565" s="97"/>
      <c r="E565" s="65"/>
      <c r="F565" s="66"/>
      <c r="G565" s="66"/>
      <c r="H565" s="66"/>
      <c r="K565">
        <v>2</v>
      </c>
      <c r="L565" s="44">
        <v>3.8499999999999903</v>
      </c>
      <c r="M565">
        <v>7.0442335413929413E-3</v>
      </c>
      <c r="N565">
        <v>-2.6240424554685973</v>
      </c>
      <c r="O565">
        <v>0</v>
      </c>
      <c r="P565">
        <v>0</v>
      </c>
      <c r="Q565">
        <v>6.7156652587222649E-6</v>
      </c>
      <c r="R565">
        <v>1.4752010792430081E-6</v>
      </c>
      <c r="T565" s="60"/>
      <c r="Y565" s="98"/>
    </row>
    <row r="566" spans="3:25" x14ac:dyDescent="0.2">
      <c r="C566" s="68"/>
      <c r="D566" s="95"/>
      <c r="E566" s="29"/>
      <c r="F566" s="67"/>
      <c r="G566" s="67"/>
      <c r="H566" s="67"/>
      <c r="K566">
        <v>2</v>
      </c>
      <c r="L566" s="44">
        <v>3.8749999999999902</v>
      </c>
      <c r="M566">
        <v>7.0442335413929413E-3</v>
      </c>
      <c r="N566">
        <v>-2.6238663496300667</v>
      </c>
      <c r="O566">
        <v>0</v>
      </c>
      <c r="P566">
        <v>0</v>
      </c>
      <c r="Q566">
        <v>6.7524078295097303E-6</v>
      </c>
      <c r="R566">
        <v>1.4642047067572604E-6</v>
      </c>
      <c r="T566" s="60"/>
      <c r="Y566" s="98"/>
    </row>
    <row r="567" spans="3:25" x14ac:dyDescent="0.2">
      <c r="C567" s="69"/>
      <c r="D567" s="96"/>
      <c r="E567" s="65"/>
      <c r="F567" s="66"/>
      <c r="G567" s="66"/>
      <c r="H567" s="66"/>
      <c r="K567">
        <v>2</v>
      </c>
      <c r="L567" s="44">
        <v>3.8999999999999901</v>
      </c>
      <c r="M567">
        <v>7.0442335413929413E-3</v>
      </c>
      <c r="N567">
        <v>-2.6236902437915326</v>
      </c>
      <c r="O567">
        <v>0</v>
      </c>
      <c r="P567">
        <v>0</v>
      </c>
      <c r="Q567">
        <v>6.7888755002102776E-6</v>
      </c>
      <c r="R567">
        <v>1.4532090722894409E-6</v>
      </c>
      <c r="T567" s="60"/>
      <c r="Y567" s="98"/>
    </row>
    <row r="568" spans="3:25" x14ac:dyDescent="0.2">
      <c r="C568" s="70"/>
      <c r="D568" s="97"/>
      <c r="E568" s="29"/>
      <c r="F568" s="67"/>
      <c r="G568" s="67"/>
      <c r="H568" s="67"/>
      <c r="K568">
        <v>2</v>
      </c>
      <c r="L568" s="44">
        <v>3.9249999999999901</v>
      </c>
      <c r="M568">
        <v>7.0442335413929413E-3</v>
      </c>
      <c r="N568">
        <v>-2.6235141379529914</v>
      </c>
      <c r="O568">
        <v>0</v>
      </c>
      <c r="P568">
        <v>0</v>
      </c>
      <c r="Q568">
        <v>6.8250682892743545E-6</v>
      </c>
      <c r="R568">
        <v>1.4422141758395541E-6</v>
      </c>
      <c r="T568" s="60"/>
      <c r="Y568" s="98"/>
    </row>
    <row r="569" spans="3:25" x14ac:dyDescent="0.2">
      <c r="C569" s="68"/>
      <c r="D569" s="95"/>
      <c r="E569" s="65"/>
      <c r="F569" s="66"/>
      <c r="G569" s="66"/>
      <c r="H569" s="66"/>
      <c r="K569">
        <v>2</v>
      </c>
      <c r="L569" s="44">
        <v>3.94999999999999</v>
      </c>
      <c r="M569">
        <v>7.0442335413929413E-3</v>
      </c>
      <c r="N569">
        <v>-2.6233380321144573</v>
      </c>
      <c r="O569">
        <v>0</v>
      </c>
      <c r="P569">
        <v>0</v>
      </c>
      <c r="Q569">
        <v>6.8609862151524063E-6</v>
      </c>
      <c r="R569">
        <v>1.4312200174075963E-6</v>
      </c>
      <c r="T569" s="60"/>
      <c r="Y569" s="98"/>
    </row>
    <row r="570" spans="3:25" x14ac:dyDescent="0.2">
      <c r="C570" s="69"/>
      <c r="D570" s="96"/>
      <c r="E570" s="29"/>
      <c r="F570" s="67"/>
      <c r="G570" s="67"/>
      <c r="H570" s="67"/>
      <c r="K570">
        <v>2</v>
      </c>
      <c r="L570" s="44">
        <v>3.9749999999999899</v>
      </c>
      <c r="M570">
        <v>7.0442335413929413E-3</v>
      </c>
      <c r="N570">
        <v>-2.6231619262759232</v>
      </c>
      <c r="O570">
        <v>0</v>
      </c>
      <c r="P570">
        <v>0</v>
      </c>
      <c r="Q570">
        <v>6.8966292962948841E-6</v>
      </c>
      <c r="R570">
        <v>1.4202265969935664E-6</v>
      </c>
      <c r="T570" s="60"/>
      <c r="Y570" s="98"/>
    </row>
    <row r="571" spans="3:25" x14ac:dyDescent="0.2">
      <c r="C571" s="70"/>
      <c r="D571" s="97"/>
      <c r="E571" s="65"/>
      <c r="F571" s="66"/>
      <c r="G571" s="66"/>
      <c r="H571" s="66"/>
      <c r="K571">
        <v>2</v>
      </c>
      <c r="L571" s="44">
        <v>3.9999999999999898</v>
      </c>
      <c r="M571">
        <v>7.0442335413929413E-3</v>
      </c>
      <c r="N571">
        <v>-2.6229858204373926</v>
      </c>
      <c r="O571">
        <v>0</v>
      </c>
      <c r="P571">
        <v>0</v>
      </c>
      <c r="Q571">
        <v>6.931997551152233E-6</v>
      </c>
      <c r="R571">
        <v>1.4092339145974716E-6</v>
      </c>
      <c r="T571" s="60"/>
      <c r="Y571" s="98"/>
    </row>
    <row r="572" spans="3:25" x14ac:dyDescent="0.2">
      <c r="C572" s="68"/>
      <c r="D572" s="95"/>
      <c r="E572" s="29"/>
      <c r="F572" s="67"/>
      <c r="G572" s="67"/>
      <c r="H572" s="67"/>
      <c r="K572">
        <v>2</v>
      </c>
      <c r="L572" s="44">
        <v>4.0249999999999897</v>
      </c>
      <c r="M572">
        <v>7.0442335413929413E-3</v>
      </c>
      <c r="N572">
        <v>-2.6228097145988514</v>
      </c>
      <c r="O572">
        <v>0</v>
      </c>
      <c r="P572">
        <v>0</v>
      </c>
      <c r="Q572">
        <v>6.9670909981749025E-6</v>
      </c>
      <c r="R572">
        <v>1.3982419702193049E-6</v>
      </c>
      <c r="T572" s="60"/>
      <c r="Y572" s="98"/>
    </row>
    <row r="573" spans="3:25" x14ac:dyDescent="0.2">
      <c r="C573" s="69"/>
      <c r="D573" s="96"/>
      <c r="E573" s="65"/>
      <c r="F573" s="66"/>
      <c r="G573" s="66"/>
      <c r="H573" s="66"/>
      <c r="K573">
        <v>2</v>
      </c>
      <c r="L573" s="44">
        <v>4.0499999999999901</v>
      </c>
      <c r="M573">
        <v>7.0442335413929413E-3</v>
      </c>
      <c r="N573">
        <v>-2.6226336087603208</v>
      </c>
      <c r="O573">
        <v>0</v>
      </c>
      <c r="P573">
        <v>0</v>
      </c>
      <c r="Q573">
        <v>7.0019096558133454E-6</v>
      </c>
      <c r="R573">
        <v>1.3872507638590685E-6</v>
      </c>
      <c r="T573" s="60"/>
      <c r="Y573" s="98"/>
    </row>
    <row r="574" spans="3:25" x14ac:dyDescent="0.2">
      <c r="C574" s="70"/>
      <c r="D574" s="97"/>
      <c r="E574" s="29"/>
      <c r="F574" s="67"/>
      <c r="G574" s="67"/>
      <c r="H574" s="67"/>
      <c r="K574">
        <v>2</v>
      </c>
      <c r="L574" s="44">
        <v>4.0749999999999904</v>
      </c>
      <c r="M574">
        <v>7.0442335413929413E-3</v>
      </c>
      <c r="N574">
        <v>-2.6224575029217831</v>
      </c>
      <c r="O574">
        <v>0</v>
      </c>
      <c r="P574">
        <v>0</v>
      </c>
      <c r="Q574">
        <v>7.0364535425180086E-6</v>
      </c>
      <c r="R574">
        <v>1.3762602955167624E-6</v>
      </c>
      <c r="T574" s="60"/>
      <c r="Y574" s="98"/>
    </row>
    <row r="575" spans="3:25" x14ac:dyDescent="0.2">
      <c r="C575" s="68"/>
      <c r="D575" s="95"/>
      <c r="E575" s="65"/>
      <c r="F575" s="66"/>
      <c r="G575" s="66"/>
      <c r="H575" s="66"/>
      <c r="K575">
        <v>2</v>
      </c>
      <c r="L575" s="44">
        <v>4.0999999999999908</v>
      </c>
      <c r="M575">
        <v>7.0442335413929413E-3</v>
      </c>
      <c r="N575">
        <v>-2.6222813970832526</v>
      </c>
      <c r="O575">
        <v>0</v>
      </c>
      <c r="P575">
        <v>0</v>
      </c>
      <c r="Q575">
        <v>7.0707226767393365E-6</v>
      </c>
      <c r="R575">
        <v>1.3652705651923855E-6</v>
      </c>
      <c r="T575" s="60"/>
      <c r="Y575" s="98"/>
    </row>
    <row r="576" spans="3:25" x14ac:dyDescent="0.2">
      <c r="C576" s="69"/>
      <c r="D576" s="96"/>
      <c r="E576" s="29"/>
      <c r="F576" s="67"/>
      <c r="G576" s="67"/>
      <c r="H576" s="67"/>
      <c r="K576">
        <v>2</v>
      </c>
      <c r="L576" s="44">
        <v>4.1249999999999911</v>
      </c>
      <c r="M576">
        <v>7.0442335413929413E-3</v>
      </c>
      <c r="N576">
        <v>-2.6221052912447149</v>
      </c>
      <c r="O576">
        <v>0</v>
      </c>
      <c r="P576">
        <v>0</v>
      </c>
      <c r="Q576">
        <v>7.1047170769277768E-6</v>
      </c>
      <c r="R576">
        <v>1.3542815728859426E-6</v>
      </c>
      <c r="T576" s="60"/>
      <c r="Y576" s="98"/>
    </row>
    <row r="577" spans="3:25" x14ac:dyDescent="0.2">
      <c r="C577" s="70"/>
      <c r="D577" s="97"/>
      <c r="E577" s="65"/>
      <c r="F577" s="66"/>
      <c r="G577" s="66"/>
      <c r="H577" s="66"/>
      <c r="K577">
        <v>2</v>
      </c>
      <c r="L577" s="44">
        <v>4.1499999999999915</v>
      </c>
      <c r="M577">
        <v>7.0442335413929413E-3</v>
      </c>
      <c r="N577">
        <v>-2.6219291854061773</v>
      </c>
      <c r="O577">
        <v>0</v>
      </c>
      <c r="P577">
        <v>0</v>
      </c>
      <c r="Q577">
        <v>7.1384367615337815E-6</v>
      </c>
      <c r="R577">
        <v>1.3432933185974251E-6</v>
      </c>
      <c r="T577" s="60"/>
      <c r="Y577" s="98"/>
    </row>
    <row r="578" spans="3:25" x14ac:dyDescent="0.2">
      <c r="C578" s="68"/>
      <c r="D578" s="95"/>
      <c r="E578" s="29"/>
      <c r="F578" s="67"/>
      <c r="G578" s="67"/>
      <c r="H578" s="67"/>
      <c r="K578">
        <v>2</v>
      </c>
      <c r="L578" s="44">
        <v>4.1749999999999918</v>
      </c>
      <c r="M578">
        <v>7.0442335413929413E-3</v>
      </c>
      <c r="N578">
        <v>-2.6217530795676467</v>
      </c>
      <c r="O578">
        <v>0</v>
      </c>
      <c r="P578">
        <v>0</v>
      </c>
      <c r="Q578">
        <v>7.1718817490077991E-6</v>
      </c>
      <c r="R578">
        <v>1.3323058023268391E-6</v>
      </c>
      <c r="T578" s="60"/>
      <c r="Y578" s="98"/>
    </row>
    <row r="579" spans="3:25" x14ac:dyDescent="0.2">
      <c r="C579" s="69"/>
      <c r="D579" s="96"/>
      <c r="E579" s="65"/>
      <c r="F579" s="66"/>
      <c r="G579" s="66"/>
      <c r="H579" s="66"/>
      <c r="K579">
        <v>2</v>
      </c>
      <c r="L579" s="44">
        <v>4.1999999999999922</v>
      </c>
      <c r="M579">
        <v>7.0442335413929413E-3</v>
      </c>
      <c r="N579">
        <v>-2.621576973729109</v>
      </c>
      <c r="O579">
        <v>0</v>
      </c>
      <c r="P579">
        <v>0</v>
      </c>
      <c r="Q579">
        <v>7.2050520578002724E-6</v>
      </c>
      <c r="R579">
        <v>1.3213190240741858E-6</v>
      </c>
      <c r="T579" s="60"/>
      <c r="Y579" s="98"/>
    </row>
    <row r="580" spans="3:25" x14ac:dyDescent="0.2">
      <c r="C580" s="70"/>
      <c r="D580" s="97"/>
      <c r="E580" s="29"/>
      <c r="F580" s="67"/>
      <c r="G580" s="67"/>
      <c r="H580" s="67"/>
      <c r="K580">
        <v>2</v>
      </c>
      <c r="L580" s="44">
        <v>4.2249999999999925</v>
      </c>
      <c r="M580">
        <v>7.0442335413929413E-3</v>
      </c>
      <c r="N580">
        <v>-2.6214008678905785</v>
      </c>
      <c r="O580">
        <v>0</v>
      </c>
      <c r="P580">
        <v>0</v>
      </c>
      <c r="Q580">
        <v>7.2379477063616575E-6</v>
      </c>
      <c r="R580">
        <v>1.3103329838394616E-6</v>
      </c>
      <c r="T580" s="60"/>
      <c r="Y580" s="98"/>
    </row>
    <row r="581" spans="3:25" x14ac:dyDescent="0.2">
      <c r="C581" s="68"/>
      <c r="D581" s="95"/>
      <c r="E581" s="65"/>
      <c r="F581" s="66"/>
      <c r="G581" s="66"/>
      <c r="H581" s="66"/>
      <c r="K581">
        <v>2</v>
      </c>
      <c r="L581" s="44">
        <v>4.2499999999999929</v>
      </c>
      <c r="M581">
        <v>7.0442335413929413E-3</v>
      </c>
      <c r="N581">
        <v>-2.6212247620520408</v>
      </c>
      <c r="O581">
        <v>0</v>
      </c>
      <c r="P581">
        <v>0</v>
      </c>
      <c r="Q581">
        <v>7.270568713142397E-6</v>
      </c>
      <c r="R581">
        <v>1.2993476816226677E-6</v>
      </c>
      <c r="T581" s="60"/>
      <c r="Y581" s="98"/>
    </row>
    <row r="582" spans="3:25" x14ac:dyDescent="0.2">
      <c r="C582" s="69"/>
      <c r="D582" s="96"/>
      <c r="E582" s="29"/>
      <c r="F582" s="67"/>
      <c r="G582" s="67"/>
      <c r="H582" s="67"/>
      <c r="K582">
        <v>2</v>
      </c>
      <c r="L582" s="44">
        <v>4.2749999999999932</v>
      </c>
      <c r="M582">
        <v>7.0442335413929413E-3</v>
      </c>
      <c r="N582">
        <v>-2.6210486562135031</v>
      </c>
      <c r="O582">
        <v>0</v>
      </c>
      <c r="P582">
        <v>0</v>
      </c>
      <c r="Q582">
        <v>7.3029150965929431E-6</v>
      </c>
      <c r="R582">
        <v>1.2883631174238055E-6</v>
      </c>
      <c r="T582" s="60"/>
      <c r="Y582" s="98"/>
    </row>
    <row r="583" spans="3:25" x14ac:dyDescent="0.2">
      <c r="C583" s="70"/>
      <c r="D583" s="97"/>
      <c r="E583" s="65"/>
      <c r="F583" s="66"/>
      <c r="G583" s="66"/>
      <c r="H583" s="66"/>
      <c r="K583">
        <v>2</v>
      </c>
      <c r="L583" s="44">
        <v>4.2999999999999936</v>
      </c>
      <c r="M583">
        <v>7.0442335413929413E-3</v>
      </c>
      <c r="N583">
        <v>-2.6208725503749726</v>
      </c>
      <c r="O583">
        <v>0</v>
      </c>
      <c r="P583">
        <v>0</v>
      </c>
      <c r="Q583">
        <v>7.3349868751637391E-6</v>
      </c>
      <c r="R583">
        <v>1.2773792912428723E-6</v>
      </c>
      <c r="T583" s="60"/>
      <c r="Y583" s="98"/>
    </row>
    <row r="584" spans="3:25" x14ac:dyDescent="0.2">
      <c r="C584" s="68"/>
      <c r="D584" s="95"/>
      <c r="E584" s="29"/>
      <c r="F584" s="67"/>
      <c r="G584" s="67"/>
      <c r="H584" s="67"/>
      <c r="K584">
        <v>2</v>
      </c>
      <c r="L584" s="44">
        <v>4.324999999999994</v>
      </c>
      <c r="M584">
        <v>7.0442335413929413E-3</v>
      </c>
      <c r="N584">
        <v>-2.6206964445364349</v>
      </c>
      <c r="O584">
        <v>0</v>
      </c>
      <c r="P584">
        <v>0</v>
      </c>
      <c r="Q584">
        <v>7.366784067305237E-6</v>
      </c>
      <c r="R584">
        <v>1.2663962030798684E-6</v>
      </c>
      <c r="T584" s="60"/>
      <c r="Y584" s="98"/>
    </row>
    <row r="585" spans="3:25" x14ac:dyDescent="0.2">
      <c r="C585" s="69"/>
      <c r="D585" s="96"/>
      <c r="E585" s="65"/>
      <c r="F585" s="66"/>
      <c r="G585" s="66"/>
      <c r="H585" s="66"/>
      <c r="K585">
        <v>2</v>
      </c>
      <c r="L585" s="44">
        <v>4.3499999999999943</v>
      </c>
      <c r="M585">
        <v>7.0442335413929413E-3</v>
      </c>
      <c r="N585">
        <v>-2.6205203386979044</v>
      </c>
      <c r="O585">
        <v>0</v>
      </c>
      <c r="P585">
        <v>0</v>
      </c>
      <c r="Q585">
        <v>7.3983066914678821E-6</v>
      </c>
      <c r="R585">
        <v>1.2554138529347963E-6</v>
      </c>
      <c r="T585" s="60"/>
      <c r="Y585" s="98"/>
    </row>
    <row r="586" spans="3:25" x14ac:dyDescent="0.2">
      <c r="C586" s="70"/>
      <c r="D586" s="97"/>
      <c r="E586" s="29"/>
      <c r="F586" s="67"/>
      <c r="G586" s="67"/>
      <c r="H586" s="67"/>
      <c r="K586">
        <v>2</v>
      </c>
      <c r="L586" s="44">
        <v>4.3749999999999947</v>
      </c>
      <c r="M586">
        <v>7.0442335413929413E-3</v>
      </c>
      <c r="N586">
        <v>-2.6203442328593667</v>
      </c>
      <c r="O586">
        <v>0</v>
      </c>
      <c r="P586">
        <v>0</v>
      </c>
      <c r="Q586">
        <v>7.4295547661021297E-6</v>
      </c>
      <c r="R586">
        <v>1.2444322408076529E-6</v>
      </c>
      <c r="T586" s="60"/>
      <c r="Y586" s="98"/>
    </row>
    <row r="587" spans="3:25" x14ac:dyDescent="0.2">
      <c r="C587" s="68"/>
      <c r="D587" s="95"/>
      <c r="E587" s="65"/>
      <c r="F587" s="66"/>
      <c r="G587" s="66"/>
      <c r="H587" s="66"/>
      <c r="K587">
        <v>2</v>
      </c>
      <c r="L587" s="44">
        <v>4.399999999999995</v>
      </c>
      <c r="M587">
        <v>7.0442335413929413E-3</v>
      </c>
      <c r="N587">
        <v>-2.620168127020829</v>
      </c>
      <c r="O587">
        <v>0</v>
      </c>
      <c r="P587">
        <v>0</v>
      </c>
      <c r="Q587">
        <v>7.46052830965842E-6</v>
      </c>
      <c r="R587">
        <v>1.233451366698441E-6</v>
      </c>
      <c r="T587" s="60"/>
      <c r="Y587" s="98"/>
    </row>
    <row r="588" spans="3:25" x14ac:dyDescent="0.2">
      <c r="C588" s="69"/>
      <c r="D588" s="96"/>
      <c r="E588" s="29"/>
      <c r="F588" s="67"/>
      <c r="G588" s="67"/>
      <c r="H588" s="67"/>
      <c r="K588">
        <v>2</v>
      </c>
      <c r="L588" s="44">
        <v>4.4249999999999954</v>
      </c>
      <c r="M588">
        <v>7.0442335413929413E-3</v>
      </c>
      <c r="N588">
        <v>-2.6199920211822985</v>
      </c>
      <c r="O588">
        <v>0</v>
      </c>
      <c r="P588">
        <v>0</v>
      </c>
      <c r="Q588">
        <v>7.491227340587198E-6</v>
      </c>
      <c r="R588">
        <v>1.2224712306071608E-6</v>
      </c>
      <c r="T588" s="60"/>
      <c r="Y588" s="98"/>
    </row>
    <row r="589" spans="3:25" x14ac:dyDescent="0.2">
      <c r="C589" s="70"/>
      <c r="D589" s="97"/>
      <c r="E589" s="65"/>
      <c r="F589" s="66"/>
      <c r="G589" s="66"/>
      <c r="H589" s="66"/>
      <c r="K589">
        <v>2</v>
      </c>
      <c r="L589" s="44">
        <v>4.4499999999999957</v>
      </c>
      <c r="M589">
        <v>7.0442335413929413E-3</v>
      </c>
      <c r="N589">
        <v>-2.6198159153437608</v>
      </c>
      <c r="O589">
        <v>0</v>
      </c>
      <c r="P589">
        <v>0</v>
      </c>
      <c r="Q589">
        <v>7.5216518773389243E-6</v>
      </c>
      <c r="R589">
        <v>1.2114918325338073E-6</v>
      </c>
      <c r="T589" s="60"/>
      <c r="Y589" s="98"/>
    </row>
    <row r="590" spans="3:25" x14ac:dyDescent="0.2">
      <c r="C590" s="68"/>
      <c r="D590" s="95"/>
      <c r="E590" s="29"/>
      <c r="F590" s="67"/>
      <c r="G590" s="67"/>
      <c r="H590" s="67"/>
      <c r="K590">
        <v>2</v>
      </c>
      <c r="L590" s="44">
        <v>4.4749999999999961</v>
      </c>
      <c r="M590">
        <v>7.0442335413929413E-3</v>
      </c>
      <c r="N590">
        <v>-2.6196398095052302</v>
      </c>
      <c r="O590">
        <v>0</v>
      </c>
      <c r="P590">
        <v>0</v>
      </c>
      <c r="Q590">
        <v>7.5518019383640407E-6</v>
      </c>
      <c r="R590">
        <v>1.2005131724783876E-6</v>
      </c>
      <c r="T590" s="60"/>
      <c r="Y590" s="98"/>
    </row>
    <row r="591" spans="3:25" x14ac:dyDescent="0.2">
      <c r="C591" s="69"/>
      <c r="D591" s="96"/>
      <c r="E591" s="65"/>
      <c r="F591" s="66"/>
      <c r="G591" s="66"/>
      <c r="H591" s="66"/>
      <c r="K591">
        <v>2</v>
      </c>
      <c r="L591" s="44">
        <v>4.4999999999999964</v>
      </c>
      <c r="M591">
        <v>7.0442335413929413E-3</v>
      </c>
      <c r="N591">
        <v>-2.6194637036666926</v>
      </c>
      <c r="O591">
        <v>0</v>
      </c>
      <c r="P591">
        <v>0</v>
      </c>
      <c r="Q591">
        <v>7.5816775421129966E-6</v>
      </c>
      <c r="R591">
        <v>1.1895352504408971E-6</v>
      </c>
      <c r="T591" s="60"/>
      <c r="Y591" s="98"/>
    </row>
    <row r="592" spans="3:25" x14ac:dyDescent="0.2">
      <c r="C592" s="70"/>
      <c r="D592" s="97"/>
      <c r="E592" s="29"/>
      <c r="F592" s="67"/>
      <c r="G592" s="67"/>
      <c r="H592" s="67"/>
      <c r="K592">
        <v>2</v>
      </c>
      <c r="L592" s="44">
        <v>4.5249999999999968</v>
      </c>
      <c r="M592">
        <v>7.0442335413929413E-3</v>
      </c>
      <c r="N592">
        <v>-2.6192875978281549</v>
      </c>
      <c r="O592">
        <v>0</v>
      </c>
      <c r="P592">
        <v>0</v>
      </c>
      <c r="Q592">
        <v>7.6112787070362405E-6</v>
      </c>
      <c r="R592">
        <v>1.1785580664213357E-6</v>
      </c>
      <c r="T592" s="60"/>
      <c r="Y592" s="98"/>
    </row>
    <row r="593" spans="3:25" x14ac:dyDescent="0.2">
      <c r="C593" s="68"/>
      <c r="D593" s="95"/>
      <c r="E593" s="65"/>
      <c r="F593" s="66"/>
      <c r="G593" s="66"/>
      <c r="H593" s="66"/>
      <c r="K593">
        <v>2</v>
      </c>
      <c r="L593" s="44">
        <v>4.5499999999999972</v>
      </c>
      <c r="M593">
        <v>7.0442335413929413E-3</v>
      </c>
      <c r="N593">
        <v>-2.6191114919896243</v>
      </c>
      <c r="O593">
        <v>0</v>
      </c>
      <c r="P593">
        <v>0</v>
      </c>
      <c r="Q593">
        <v>7.6406054515842178E-6</v>
      </c>
      <c r="R593">
        <v>1.1675816204197062E-6</v>
      </c>
      <c r="T593" s="60"/>
      <c r="Y593" s="98"/>
    </row>
    <row r="594" spans="3:25" x14ac:dyDescent="0.2">
      <c r="C594" s="69"/>
      <c r="D594" s="96"/>
      <c r="E594" s="29"/>
      <c r="F594" s="67"/>
      <c r="G594" s="67"/>
      <c r="H594" s="67"/>
      <c r="K594">
        <v>2</v>
      </c>
      <c r="L594" s="44">
        <v>4.5749999999999975</v>
      </c>
      <c r="M594">
        <v>7.0442335413929413E-3</v>
      </c>
      <c r="N594">
        <v>-2.6189353861510867</v>
      </c>
      <c r="O594">
        <v>0</v>
      </c>
      <c r="P594">
        <v>0</v>
      </c>
      <c r="Q594">
        <v>7.6696577942073727E-6</v>
      </c>
      <c r="R594">
        <v>1.1566059124360076E-6</v>
      </c>
      <c r="T594" s="60"/>
      <c r="Y594" s="98"/>
    </row>
    <row r="595" spans="3:25" x14ac:dyDescent="0.2">
      <c r="C595" s="70"/>
      <c r="D595" s="97"/>
      <c r="E595" s="65"/>
      <c r="F595" s="66"/>
      <c r="G595" s="66"/>
      <c r="H595" s="66"/>
      <c r="K595">
        <v>2</v>
      </c>
      <c r="L595" s="44">
        <v>4.5999999999999979</v>
      </c>
      <c r="M595">
        <v>7.0442335413929413E-3</v>
      </c>
      <c r="N595">
        <v>-2.6187592803125561</v>
      </c>
      <c r="O595">
        <v>0</v>
      </c>
      <c r="P595">
        <v>0</v>
      </c>
      <c r="Q595">
        <v>7.6984357533561615E-6</v>
      </c>
      <c r="R595">
        <v>1.1456309424702385E-6</v>
      </c>
      <c r="T595" s="60"/>
      <c r="Y595" s="98"/>
    </row>
    <row r="596" spans="3:25" x14ac:dyDescent="0.2">
      <c r="C596" s="68"/>
      <c r="D596" s="95"/>
      <c r="E596" s="29"/>
      <c r="F596" s="67"/>
      <c r="G596" s="67"/>
      <c r="H596" s="67"/>
      <c r="K596">
        <v>2</v>
      </c>
      <c r="L596" s="44">
        <v>4.6249999999999982</v>
      </c>
      <c r="M596">
        <v>7.0442335413929413E-3</v>
      </c>
      <c r="N596">
        <v>-2.6185831744740184</v>
      </c>
      <c r="O596">
        <v>0</v>
      </c>
      <c r="P596">
        <v>0</v>
      </c>
      <c r="Q596">
        <v>7.7269393474810319E-6</v>
      </c>
      <c r="R596">
        <v>1.1346567105224008E-6</v>
      </c>
      <c r="T596" s="60"/>
      <c r="Y596" s="98"/>
    </row>
    <row r="597" spans="3:25" x14ac:dyDescent="0.2">
      <c r="C597" s="69"/>
      <c r="D597" s="96"/>
      <c r="E597" s="65"/>
      <c r="F597" s="66"/>
      <c r="G597" s="66"/>
      <c r="H597" s="66"/>
      <c r="K597">
        <v>2</v>
      </c>
      <c r="L597" s="44">
        <v>4.6499999999999986</v>
      </c>
      <c r="M597">
        <v>7.0442335413929413E-3</v>
      </c>
      <c r="N597">
        <v>-2.6184070686354808</v>
      </c>
      <c r="O597">
        <v>0</v>
      </c>
      <c r="P597">
        <v>0</v>
      </c>
      <c r="Q597">
        <v>7.755168595032435E-6</v>
      </c>
      <c r="R597">
        <v>1.1236832165924922E-6</v>
      </c>
      <c r="T597" s="60"/>
      <c r="Y597" s="98"/>
    </row>
    <row r="598" spans="3:25" x14ac:dyDescent="0.2">
      <c r="C598" s="70"/>
      <c r="D598" s="97"/>
      <c r="E598" s="29"/>
      <c r="F598" s="67"/>
      <c r="G598" s="67"/>
      <c r="H598" s="67"/>
      <c r="K598">
        <v>2</v>
      </c>
      <c r="L598" s="44">
        <v>4.6749999999999989</v>
      </c>
      <c r="M598">
        <v>7.0442335413929413E-3</v>
      </c>
      <c r="N598">
        <v>-2.6182309627969502</v>
      </c>
      <c r="O598">
        <v>0</v>
      </c>
      <c r="P598">
        <v>0</v>
      </c>
      <c r="Q598">
        <v>7.7831235144608101E-6</v>
      </c>
      <c r="R598">
        <v>1.1127104606805152E-6</v>
      </c>
      <c r="T598" s="60"/>
      <c r="Y598" s="98"/>
    </row>
    <row r="599" spans="3:25" x14ac:dyDescent="0.2">
      <c r="C599" s="68"/>
      <c r="D599" s="95"/>
      <c r="E599" s="65"/>
      <c r="F599" s="66"/>
      <c r="G599" s="66"/>
      <c r="H599" s="66"/>
      <c r="K599">
        <v>2</v>
      </c>
      <c r="L599" s="44">
        <v>4.6999999999999993</v>
      </c>
      <c r="M599">
        <v>7.0442335413929413E-3</v>
      </c>
      <c r="N599">
        <v>-2.6180548569584126</v>
      </c>
      <c r="O599">
        <v>0</v>
      </c>
      <c r="P599">
        <v>0</v>
      </c>
      <c r="Q599">
        <v>7.8108041242166117E-6</v>
      </c>
      <c r="R599">
        <v>1.1017384427864674E-6</v>
      </c>
      <c r="T599" s="60"/>
      <c r="Y599" s="98"/>
    </row>
    <row r="600" spans="3:25" x14ac:dyDescent="0.2">
      <c r="C600" s="69"/>
      <c r="D600" s="96"/>
      <c r="E600" s="29"/>
      <c r="F600" s="67"/>
      <c r="G600" s="67"/>
      <c r="H600" s="67"/>
      <c r="K600">
        <v>2</v>
      </c>
      <c r="L600" s="44">
        <v>4.7249999999999996</v>
      </c>
      <c r="M600">
        <v>7.0442335413929413E-3</v>
      </c>
      <c r="N600">
        <v>-2.617878751119882</v>
      </c>
      <c r="O600">
        <v>0</v>
      </c>
      <c r="P600">
        <v>0</v>
      </c>
      <c r="Q600">
        <v>7.8382104427502808E-6</v>
      </c>
      <c r="R600">
        <v>1.0907671629103511E-6</v>
      </c>
      <c r="T600" s="60"/>
      <c r="Y600" s="98"/>
    </row>
    <row r="601" spans="3:25" x14ac:dyDescent="0.2">
      <c r="C601" s="70"/>
      <c r="D601" s="97"/>
      <c r="E601" s="65"/>
      <c r="F601" s="66"/>
      <c r="G601" s="66"/>
      <c r="H601" s="66"/>
      <c r="K601">
        <v>2</v>
      </c>
      <c r="L601" s="44">
        <v>4.75</v>
      </c>
      <c r="M601">
        <v>7.0442335413929413E-3</v>
      </c>
      <c r="N601">
        <v>-2.6177026452813443</v>
      </c>
      <c r="O601">
        <v>0</v>
      </c>
      <c r="P601">
        <v>0</v>
      </c>
      <c r="Q601">
        <v>7.8653424885122803E-6</v>
      </c>
      <c r="R601">
        <v>1.0797966210521615E-6</v>
      </c>
      <c r="T601" s="60"/>
      <c r="Y601" s="98"/>
    </row>
    <row r="602" spans="3:25" x14ac:dyDescent="0.2">
      <c r="C602" s="68"/>
      <c r="D602" s="95"/>
      <c r="E602" s="29"/>
      <c r="F602" s="67"/>
      <c r="G602" s="67"/>
      <c r="H602" s="67"/>
      <c r="K602">
        <v>2</v>
      </c>
      <c r="L602" s="44">
        <v>4.7750000000000004</v>
      </c>
      <c r="M602">
        <v>7.0442335413929413E-3</v>
      </c>
      <c r="N602">
        <v>-2.6175265394428067</v>
      </c>
      <c r="O602">
        <v>0</v>
      </c>
      <c r="P602">
        <v>0</v>
      </c>
      <c r="Q602">
        <v>7.8922002799530394E-6</v>
      </c>
      <c r="R602">
        <v>1.0688268172119033E-6</v>
      </c>
      <c r="T602" s="60"/>
      <c r="Y602" s="98"/>
    </row>
    <row r="603" spans="3:25" x14ac:dyDescent="0.2">
      <c r="C603" s="69"/>
      <c r="D603" s="96"/>
      <c r="E603" s="65"/>
      <c r="F603" s="66"/>
      <c r="G603" s="66"/>
      <c r="H603" s="66"/>
      <c r="K603">
        <v>2</v>
      </c>
      <c r="L603" s="44">
        <v>4.8000000000000007</v>
      </c>
      <c r="M603">
        <v>7.0442335413929413E-3</v>
      </c>
      <c r="N603">
        <v>-2.6173504336042761</v>
      </c>
      <c r="O603">
        <v>0</v>
      </c>
      <c r="P603">
        <v>0</v>
      </c>
      <c r="Q603">
        <v>7.9187838355230227E-6</v>
      </c>
      <c r="R603">
        <v>1.0578577513895767E-6</v>
      </c>
      <c r="T603" s="60"/>
      <c r="Y603" s="98"/>
    </row>
    <row r="604" spans="3:25" x14ac:dyDescent="0.2">
      <c r="C604" s="70"/>
      <c r="D604" s="97"/>
      <c r="E604" s="29"/>
      <c r="F604" s="67"/>
      <c r="G604" s="67"/>
      <c r="H604" s="67"/>
      <c r="K604">
        <v>2</v>
      </c>
      <c r="L604" s="44">
        <v>4.8250000000000011</v>
      </c>
      <c r="M604">
        <v>7.0442335413929413E-3</v>
      </c>
      <c r="N604">
        <v>-2.6171743277657384</v>
      </c>
      <c r="O604">
        <v>0</v>
      </c>
      <c r="P604">
        <v>0</v>
      </c>
      <c r="Q604">
        <v>7.9450931736726764E-6</v>
      </c>
      <c r="R604">
        <v>1.0468894235851794E-6</v>
      </c>
      <c r="T604" s="60"/>
      <c r="Y604" s="98"/>
    </row>
    <row r="605" spans="3:25" x14ac:dyDescent="0.2">
      <c r="C605" s="68"/>
      <c r="D605" s="95"/>
      <c r="E605" s="65"/>
      <c r="F605" s="66"/>
      <c r="G605" s="66"/>
      <c r="H605" s="66"/>
      <c r="K605">
        <v>2</v>
      </c>
      <c r="L605" s="44">
        <v>4.8500000000000014</v>
      </c>
      <c r="M605">
        <v>7.0442335413929413E-3</v>
      </c>
      <c r="N605">
        <v>-2.6169982219272079</v>
      </c>
      <c r="O605">
        <v>0</v>
      </c>
      <c r="P605">
        <v>0</v>
      </c>
      <c r="Q605">
        <v>7.9711283128524345E-6</v>
      </c>
      <c r="R605">
        <v>1.0359218337987135E-6</v>
      </c>
      <c r="T605" s="60"/>
      <c r="Y605" s="98"/>
    </row>
    <row r="606" spans="3:25" x14ac:dyDescent="0.2">
      <c r="C606" s="69"/>
      <c r="D606" s="96"/>
      <c r="E606" s="29"/>
      <c r="F606" s="67"/>
      <c r="G606" s="67"/>
      <c r="H606" s="67"/>
      <c r="K606">
        <v>2</v>
      </c>
      <c r="L606" s="44">
        <v>4.8750000000000018</v>
      </c>
      <c r="M606">
        <v>7.0442335413929413E-3</v>
      </c>
      <c r="N606">
        <v>-2.6168221160886702</v>
      </c>
      <c r="O606">
        <v>0</v>
      </c>
      <c r="P606">
        <v>0</v>
      </c>
      <c r="Q606">
        <v>7.9968892715127584E-6</v>
      </c>
      <c r="R606">
        <v>1.024954982030179E-6</v>
      </c>
      <c r="T606" s="60"/>
      <c r="Y606" s="98"/>
    </row>
    <row r="607" spans="3:25" x14ac:dyDescent="0.2">
      <c r="C607" s="70"/>
      <c r="D607" s="97"/>
      <c r="E607" s="65"/>
      <c r="F607" s="66"/>
      <c r="G607" s="66"/>
      <c r="H607" s="66"/>
      <c r="K607">
        <v>2</v>
      </c>
      <c r="L607" s="44">
        <v>4.9000000000000021</v>
      </c>
      <c r="M607">
        <v>7.0442335413929413E-3</v>
      </c>
      <c r="N607">
        <v>-2.6166460102501325</v>
      </c>
      <c r="O607">
        <v>0</v>
      </c>
      <c r="P607">
        <v>0</v>
      </c>
      <c r="Q607">
        <v>8.022376068104089E-6</v>
      </c>
      <c r="R607">
        <v>1.0139888682795762E-6</v>
      </c>
      <c r="T607" s="60"/>
      <c r="Y607" s="98"/>
    </row>
    <row r="608" spans="3:25" x14ac:dyDescent="0.2">
      <c r="C608" s="68"/>
      <c r="D608" s="95"/>
      <c r="E608" s="29"/>
      <c r="F608" s="67"/>
      <c r="G608" s="67"/>
      <c r="H608" s="67"/>
      <c r="K608">
        <v>2</v>
      </c>
      <c r="L608" s="44">
        <v>4.9250000000000025</v>
      </c>
      <c r="M608">
        <v>7.0442335413929413E-3</v>
      </c>
      <c r="N608">
        <v>-2.616469904411602</v>
      </c>
      <c r="O608">
        <v>0</v>
      </c>
      <c r="P608">
        <v>0</v>
      </c>
      <c r="Q608">
        <v>8.0475887210768842E-6</v>
      </c>
      <c r="R608">
        <v>1.0030234925469E-6</v>
      </c>
      <c r="T608" s="60"/>
      <c r="Y608" s="98"/>
    </row>
    <row r="609" spans="3:25" x14ac:dyDescent="0.2">
      <c r="C609" s="69"/>
      <c r="D609" s="96"/>
      <c r="E609" s="65"/>
      <c r="F609" s="66"/>
      <c r="G609" s="66"/>
      <c r="H609" s="66"/>
      <c r="K609">
        <v>2</v>
      </c>
      <c r="L609" s="44">
        <v>4.9500000000000028</v>
      </c>
      <c r="M609">
        <v>7.0442335413929413E-3</v>
      </c>
      <c r="N609">
        <v>-2.6162937985730643</v>
      </c>
      <c r="O609">
        <v>0</v>
      </c>
      <c r="P609">
        <v>0</v>
      </c>
      <c r="Q609">
        <v>8.0725272488815885E-6</v>
      </c>
      <c r="R609">
        <v>9.9205885483215294E-7</v>
      </c>
      <c r="T609" s="60"/>
      <c r="Y609" s="98"/>
    </row>
    <row r="610" spans="3:25" x14ac:dyDescent="0.2">
      <c r="C610" s="70"/>
      <c r="D610" s="97"/>
      <c r="E610" s="29"/>
      <c r="F610" s="67"/>
      <c r="G610" s="67"/>
      <c r="H610" s="67"/>
      <c r="K610">
        <v>2</v>
      </c>
      <c r="L610" s="44">
        <v>4.9750000000000032</v>
      </c>
      <c r="M610">
        <v>7.0442335413929413E-3</v>
      </c>
      <c r="N610">
        <v>-2.6161176927345338</v>
      </c>
      <c r="O610">
        <v>0</v>
      </c>
      <c r="P610">
        <v>0</v>
      </c>
      <c r="Q610">
        <v>8.0971916699686443E-6</v>
      </c>
      <c r="R610">
        <v>9.810949551353398E-7</v>
      </c>
      <c r="T610" s="60"/>
      <c r="Y610" s="98"/>
    </row>
    <row r="611" spans="3:25" x14ac:dyDescent="0.2">
      <c r="C611" s="68"/>
      <c r="D611" s="95"/>
      <c r="E611" s="65"/>
      <c r="F611" s="66"/>
      <c r="G611" s="66"/>
      <c r="H611" s="66"/>
      <c r="K611">
        <v>2</v>
      </c>
      <c r="L611" s="44">
        <v>5.0000000000000036</v>
      </c>
      <c r="M611">
        <v>7.0442335413929413E-3</v>
      </c>
      <c r="N611">
        <v>-2.6159415868959961</v>
      </c>
      <c r="O611">
        <v>0</v>
      </c>
      <c r="P611">
        <v>0</v>
      </c>
      <c r="Q611">
        <v>8.1215820027885064E-6</v>
      </c>
      <c r="R611">
        <v>9.7013179345645574E-7</v>
      </c>
      <c r="T611" s="60"/>
      <c r="Y611" s="98"/>
    </row>
    <row r="612" spans="3:25" x14ac:dyDescent="0.2">
      <c r="C612" s="69"/>
      <c r="D612" s="96"/>
      <c r="E612" s="29"/>
      <c r="F612" s="67"/>
      <c r="G612" s="67"/>
      <c r="H612" s="67"/>
      <c r="K612">
        <v>2</v>
      </c>
      <c r="L612" s="44">
        <v>5.0250000000000039</v>
      </c>
      <c r="M612">
        <v>7.0442335413929413E-3</v>
      </c>
      <c r="N612">
        <v>-2.6157654810574584</v>
      </c>
      <c r="O612">
        <v>0</v>
      </c>
      <c r="P612">
        <v>0</v>
      </c>
      <c r="Q612">
        <v>8.1456982657916156E-6</v>
      </c>
      <c r="R612">
        <v>9.5916936979550096E-7</v>
      </c>
      <c r="T612" s="60"/>
      <c r="Y612" s="98"/>
    </row>
    <row r="613" spans="3:25" x14ac:dyDescent="0.2">
      <c r="C613" s="70"/>
      <c r="D613" s="97"/>
      <c r="E613" s="65"/>
      <c r="F613" s="66"/>
      <c r="G613" s="66"/>
      <c r="H613" s="66"/>
      <c r="K613">
        <v>2</v>
      </c>
      <c r="L613" s="44">
        <v>5.0500000000000043</v>
      </c>
      <c r="M613">
        <v>7.0442335413929413E-3</v>
      </c>
      <c r="N613">
        <v>-2.6155893752189279</v>
      </c>
      <c r="O613">
        <v>0</v>
      </c>
      <c r="P613">
        <v>0</v>
      </c>
      <c r="Q613">
        <v>8.1695404774284331E-6</v>
      </c>
      <c r="R613">
        <v>9.4820768415247759E-7</v>
      </c>
      <c r="T613" s="60"/>
      <c r="Y613" s="98"/>
    </row>
    <row r="614" spans="3:25" x14ac:dyDescent="0.2">
      <c r="C614" s="68"/>
      <c r="D614" s="95"/>
      <c r="E614" s="29"/>
      <c r="F614" s="67"/>
      <c r="G614" s="67"/>
      <c r="H614" s="67"/>
      <c r="K614">
        <v>2</v>
      </c>
      <c r="L614" s="44">
        <v>5.0750000000000046</v>
      </c>
      <c r="M614">
        <v>7.0442335413929413E-3</v>
      </c>
      <c r="N614">
        <v>-2.6154132693803902</v>
      </c>
      <c r="O614">
        <v>0</v>
      </c>
      <c r="P614">
        <v>0</v>
      </c>
      <c r="Q614">
        <v>8.1931086561493916E-6</v>
      </c>
      <c r="R614">
        <v>9.3724673652738571E-7</v>
      </c>
      <c r="T614" s="60"/>
      <c r="Y614" s="98"/>
    </row>
    <row r="615" spans="3:25" x14ac:dyDescent="0.2">
      <c r="C615" s="69"/>
      <c r="D615" s="96"/>
      <c r="E615" s="65"/>
      <c r="F615" s="66"/>
      <c r="G615" s="66"/>
      <c r="H615" s="66"/>
      <c r="K615">
        <v>2</v>
      </c>
      <c r="L615" s="44">
        <v>5.100000000000005</v>
      </c>
      <c r="M615">
        <v>7.0442335413929413E-3</v>
      </c>
      <c r="N615">
        <v>-2.6152371635418596</v>
      </c>
      <c r="O615">
        <v>0</v>
      </c>
      <c r="P615">
        <v>0</v>
      </c>
      <c r="Q615">
        <v>8.2164028204049506E-6</v>
      </c>
      <c r="R615">
        <v>9.2628652692022058E-7</v>
      </c>
      <c r="T615" s="60"/>
      <c r="Y615" s="98"/>
    </row>
    <row r="616" spans="3:25" x14ac:dyDescent="0.2">
      <c r="C616" s="70"/>
      <c r="D616" s="97"/>
      <c r="E616" s="29"/>
      <c r="F616" s="67"/>
      <c r="G616" s="67"/>
      <c r="H616" s="67"/>
      <c r="K616">
        <v>2</v>
      </c>
      <c r="L616" s="44">
        <v>5.1250000000000053</v>
      </c>
      <c r="M616">
        <v>7.0442335413929413E-3</v>
      </c>
      <c r="N616">
        <v>-2.615061057703322</v>
      </c>
      <c r="O616">
        <v>0</v>
      </c>
      <c r="P616">
        <v>0</v>
      </c>
      <c r="Q616">
        <v>8.2394229886455511E-6</v>
      </c>
      <c r="R616">
        <v>9.1532705533099426E-7</v>
      </c>
      <c r="T616" s="60"/>
      <c r="Y616" s="98"/>
    </row>
    <row r="617" spans="3:25" x14ac:dyDescent="0.2">
      <c r="C617" s="68"/>
      <c r="D617" s="95"/>
      <c r="E617" s="65"/>
      <c r="F617" s="66"/>
      <c r="G617" s="66"/>
      <c r="H617" s="66"/>
      <c r="K617">
        <v>2</v>
      </c>
      <c r="L617" s="44">
        <v>5.1500000000000057</v>
      </c>
      <c r="M617">
        <v>7.0442335413929413E-3</v>
      </c>
      <c r="N617">
        <v>-2.6148849518647843</v>
      </c>
      <c r="O617">
        <v>0</v>
      </c>
      <c r="P617">
        <v>0</v>
      </c>
      <c r="Q617">
        <v>8.2621691793216442E-6</v>
      </c>
      <c r="R617">
        <v>9.0436832175968981E-7</v>
      </c>
      <c r="T617" s="60"/>
      <c r="Y617" s="98"/>
    </row>
    <row r="618" spans="3:25" x14ac:dyDescent="0.2">
      <c r="C618" s="69"/>
      <c r="D618" s="96"/>
      <c r="E618" s="29"/>
      <c r="F618" s="67"/>
      <c r="G618" s="67"/>
      <c r="H618" s="67"/>
      <c r="K618">
        <v>2</v>
      </c>
      <c r="L618" s="44">
        <v>5.175000000000006</v>
      </c>
      <c r="M618">
        <v>7.0442335413929413E-3</v>
      </c>
      <c r="N618">
        <v>-2.6147088460262538</v>
      </c>
      <c r="O618">
        <v>0</v>
      </c>
      <c r="P618">
        <v>0</v>
      </c>
      <c r="Q618">
        <v>8.2846414108836827E-6</v>
      </c>
      <c r="R618">
        <v>8.9341032620631687E-7</v>
      </c>
      <c r="T618" s="60"/>
      <c r="Y618" s="98"/>
    </row>
    <row r="619" spans="3:25" x14ac:dyDescent="0.2">
      <c r="C619" s="70"/>
      <c r="D619" s="97"/>
      <c r="E619" s="65"/>
      <c r="F619" s="66"/>
      <c r="G619" s="66"/>
      <c r="H619" s="66"/>
      <c r="K619">
        <v>2</v>
      </c>
      <c r="L619" s="44">
        <v>5.2000000000000064</v>
      </c>
      <c r="M619">
        <v>7.0442335413929413E-3</v>
      </c>
      <c r="N619">
        <v>-2.6145327401877161</v>
      </c>
      <c r="O619">
        <v>0</v>
      </c>
      <c r="P619">
        <v>0</v>
      </c>
      <c r="Q619">
        <v>8.3068397017821127E-6</v>
      </c>
      <c r="R619">
        <v>8.8245306867087299E-7</v>
      </c>
      <c r="T619" s="60"/>
      <c r="Y619" s="98"/>
    </row>
    <row r="620" spans="3:25" x14ac:dyDescent="0.2">
      <c r="C620" s="68"/>
      <c r="D620" s="95"/>
      <c r="E620" s="29"/>
      <c r="F620" s="67"/>
      <c r="G620" s="67"/>
      <c r="H620" s="67"/>
      <c r="K620">
        <v>2</v>
      </c>
      <c r="L620" s="44">
        <v>5.2250000000000068</v>
      </c>
      <c r="M620">
        <v>7.0442335413929413E-3</v>
      </c>
      <c r="N620">
        <v>-2.6143566343491855</v>
      </c>
      <c r="O620">
        <v>0</v>
      </c>
      <c r="P620">
        <v>0</v>
      </c>
      <c r="Q620">
        <v>8.3287640704673768E-6</v>
      </c>
      <c r="R620">
        <v>8.7149654915336317E-7</v>
      </c>
      <c r="T620" s="60"/>
      <c r="Y620" s="98"/>
    </row>
    <row r="621" spans="3:25" x14ac:dyDescent="0.2">
      <c r="C621" s="69"/>
      <c r="D621" s="96"/>
      <c r="E621" s="65"/>
      <c r="F621" s="66"/>
      <c r="G621" s="66"/>
      <c r="H621" s="66"/>
      <c r="K621">
        <v>2</v>
      </c>
      <c r="L621" s="44">
        <v>5.2500000000000071</v>
      </c>
      <c r="M621">
        <v>7.0442335413929413E-3</v>
      </c>
      <c r="N621">
        <v>-2.6141805285106479</v>
      </c>
      <c r="O621">
        <v>0</v>
      </c>
      <c r="P621">
        <v>0</v>
      </c>
      <c r="Q621">
        <v>8.3504145353899295E-6</v>
      </c>
      <c r="R621">
        <v>8.6054076765378241E-7</v>
      </c>
      <c r="T621" s="60"/>
      <c r="Y621" s="98"/>
    </row>
    <row r="622" spans="3:25" x14ac:dyDescent="0.2">
      <c r="C622" s="70"/>
      <c r="D622" s="97"/>
      <c r="E622" s="29"/>
      <c r="F622" s="67"/>
      <c r="G622" s="67"/>
      <c r="H622" s="67"/>
      <c r="K622">
        <v>2</v>
      </c>
      <c r="L622" s="44">
        <v>5.2750000000000075</v>
      </c>
      <c r="M622">
        <v>7.0442335413929413E-3</v>
      </c>
      <c r="N622">
        <v>-2.6140044226721102</v>
      </c>
      <c r="O622">
        <v>0</v>
      </c>
      <c r="P622">
        <v>0</v>
      </c>
      <c r="Q622">
        <v>8.3717911150002186E-6</v>
      </c>
      <c r="R622">
        <v>8.4958572417213073E-7</v>
      </c>
      <c r="T622" s="60"/>
      <c r="Y622" s="98"/>
    </row>
    <row r="623" spans="3:25" x14ac:dyDescent="0.2">
      <c r="C623" s="68"/>
      <c r="D623" s="95"/>
      <c r="E623" s="65"/>
      <c r="F623" s="66"/>
      <c r="G623" s="66"/>
      <c r="H623" s="66"/>
      <c r="K623">
        <v>2</v>
      </c>
      <c r="L623" s="44">
        <v>5.3000000000000078</v>
      </c>
      <c r="M623">
        <v>7.0442335413929413E-3</v>
      </c>
      <c r="N623">
        <v>-2.6138283168335796</v>
      </c>
      <c r="O623">
        <v>0</v>
      </c>
      <c r="P623">
        <v>0</v>
      </c>
      <c r="Q623">
        <v>8.3928938277486885E-6</v>
      </c>
      <c r="R623">
        <v>8.3863141870841298E-7</v>
      </c>
      <c r="T623" s="60"/>
      <c r="Y623" s="98"/>
    </row>
    <row r="624" spans="3:25" x14ac:dyDescent="0.2">
      <c r="C624" s="69"/>
      <c r="D624" s="96"/>
      <c r="E624" s="29"/>
      <c r="F624" s="67"/>
      <c r="G624" s="67"/>
      <c r="H624" s="67"/>
      <c r="K624">
        <v>2</v>
      </c>
      <c r="L624" s="44">
        <v>5.3250000000000082</v>
      </c>
      <c r="M624">
        <v>7.0442335413929413E-3</v>
      </c>
      <c r="N624">
        <v>-2.613652210995042</v>
      </c>
      <c r="O624">
        <v>0</v>
      </c>
      <c r="P624">
        <v>0</v>
      </c>
      <c r="Q624">
        <v>8.4137226920857902E-6</v>
      </c>
      <c r="R624">
        <v>8.2767785126262209E-7</v>
      </c>
      <c r="T624" s="60"/>
      <c r="Y624" s="98"/>
    </row>
    <row r="625" spans="3:25" x14ac:dyDescent="0.2">
      <c r="C625" s="70"/>
      <c r="D625" s="97"/>
      <c r="E625" s="65"/>
      <c r="F625" s="66"/>
      <c r="G625" s="66"/>
      <c r="H625" s="66"/>
      <c r="K625">
        <v>2</v>
      </c>
      <c r="L625" s="44">
        <v>5.3500000000000085</v>
      </c>
      <c r="M625">
        <v>7.0442335413929413E-3</v>
      </c>
      <c r="N625">
        <v>-2.6134761051565114</v>
      </c>
      <c r="O625">
        <v>0</v>
      </c>
      <c r="P625">
        <v>0</v>
      </c>
      <c r="Q625">
        <v>8.4342777264619681E-6</v>
      </c>
      <c r="R625">
        <v>8.1672502183476259E-7</v>
      </c>
      <c r="T625" s="60"/>
      <c r="Y625" s="98"/>
    </row>
    <row r="626" spans="3:25" x14ac:dyDescent="0.2">
      <c r="C626" s="68"/>
      <c r="D626" s="95"/>
      <c r="E626" s="29"/>
      <c r="F626" s="67"/>
      <c r="G626" s="67"/>
      <c r="H626" s="67"/>
      <c r="K626">
        <v>2</v>
      </c>
      <c r="L626" s="44">
        <v>5.3750000000000089</v>
      </c>
      <c r="M626">
        <v>7.0442335413929413E-3</v>
      </c>
      <c r="N626">
        <v>-2.6132999993179737</v>
      </c>
      <c r="O626">
        <v>0</v>
      </c>
      <c r="P626">
        <v>0</v>
      </c>
      <c r="Q626">
        <v>8.4545589493276802E-6</v>
      </c>
      <c r="R626">
        <v>8.0577293042483227E-7</v>
      </c>
      <c r="T626" s="60"/>
      <c r="Y626" s="98"/>
    </row>
    <row r="627" spans="3:25" x14ac:dyDescent="0.2">
      <c r="C627" s="69"/>
      <c r="D627" s="96"/>
      <c r="E627" s="65"/>
      <c r="F627" s="66"/>
      <c r="G627" s="66"/>
      <c r="H627" s="66"/>
      <c r="K627">
        <v>2</v>
      </c>
      <c r="L627" s="44">
        <v>5.4000000000000092</v>
      </c>
      <c r="M627">
        <v>7.0442335413929413E-3</v>
      </c>
      <c r="N627">
        <v>-2.6131238934794361</v>
      </c>
      <c r="O627">
        <v>0</v>
      </c>
      <c r="P627">
        <v>0</v>
      </c>
      <c r="Q627">
        <v>8.4745663791333656E-6</v>
      </c>
      <c r="R627">
        <v>7.9482157703283345E-7</v>
      </c>
      <c r="T627" s="60"/>
      <c r="Y627" s="98"/>
    </row>
    <row r="628" spans="3:25" x14ac:dyDescent="0.2">
      <c r="C628" s="70"/>
      <c r="D628" s="97"/>
      <c r="E628" s="29"/>
      <c r="F628" s="67"/>
      <c r="G628" s="67"/>
      <c r="H628" s="67"/>
      <c r="K628">
        <v>2</v>
      </c>
      <c r="L628" s="44">
        <v>5.4250000000000096</v>
      </c>
      <c r="M628">
        <v>7.0442335413929413E-3</v>
      </c>
      <c r="N628">
        <v>-2.6129477876409055</v>
      </c>
      <c r="O628">
        <v>0</v>
      </c>
      <c r="P628">
        <v>0</v>
      </c>
      <c r="Q628">
        <v>8.4943000343294705E-6</v>
      </c>
      <c r="R628">
        <v>7.8387096165876848E-7</v>
      </c>
      <c r="T628" s="60"/>
      <c r="Y628" s="98"/>
    </row>
    <row r="629" spans="3:25" x14ac:dyDescent="0.2">
      <c r="C629" s="68"/>
      <c r="D629" s="95"/>
      <c r="E629" s="65"/>
      <c r="F629" s="66"/>
      <c r="G629" s="66"/>
      <c r="H629" s="66"/>
      <c r="K629">
        <v>2</v>
      </c>
      <c r="L629" s="44">
        <v>5.4500000000000099</v>
      </c>
      <c r="M629">
        <v>7.0442335413929413E-3</v>
      </c>
      <c r="N629">
        <v>-2.6127716818023679</v>
      </c>
      <c r="O629">
        <v>0</v>
      </c>
      <c r="P629">
        <v>0</v>
      </c>
      <c r="Q629">
        <v>8.5137599333664527E-6</v>
      </c>
      <c r="R629">
        <v>7.7292108430263045E-7</v>
      </c>
      <c r="T629" s="60"/>
      <c r="Y629" s="98"/>
    </row>
    <row r="630" spans="3:25" x14ac:dyDescent="0.2">
      <c r="C630" s="69"/>
      <c r="D630" s="96"/>
      <c r="E630" s="29"/>
      <c r="F630" s="67"/>
      <c r="G630" s="67"/>
      <c r="H630" s="67"/>
      <c r="K630">
        <v>2</v>
      </c>
      <c r="L630" s="44">
        <v>5.4750000000000103</v>
      </c>
      <c r="M630">
        <v>7.0442335413929413E-3</v>
      </c>
      <c r="N630">
        <v>-2.6125955759638373</v>
      </c>
      <c r="O630">
        <v>0</v>
      </c>
      <c r="P630">
        <v>0</v>
      </c>
      <c r="Q630">
        <v>8.5329460946947531E-6</v>
      </c>
      <c r="R630">
        <v>7.6197194496441906E-7</v>
      </c>
      <c r="T630" s="60"/>
      <c r="Y630" s="98"/>
    </row>
    <row r="631" spans="3:25" x14ac:dyDescent="0.2">
      <c r="C631" s="70"/>
      <c r="D631" s="97"/>
      <c r="E631" s="65"/>
      <c r="F631" s="66"/>
      <c r="G631" s="66"/>
      <c r="H631" s="66"/>
      <c r="K631">
        <v>2</v>
      </c>
      <c r="L631" s="44">
        <v>5.5000000000000107</v>
      </c>
      <c r="M631">
        <v>7.0442335413929413E-3</v>
      </c>
      <c r="N631">
        <v>-2.6124194701252996</v>
      </c>
      <c r="O631">
        <v>0</v>
      </c>
      <c r="P631">
        <v>0</v>
      </c>
      <c r="Q631">
        <v>8.5518585367648197E-6</v>
      </c>
      <c r="R631">
        <v>7.5102354364414627E-7</v>
      </c>
      <c r="T631" s="60"/>
      <c r="Y631" s="98"/>
    </row>
    <row r="632" spans="3:25" x14ac:dyDescent="0.2">
      <c r="C632" s="68"/>
      <c r="D632" s="95"/>
      <c r="E632" s="29"/>
      <c r="F632" s="67"/>
      <c r="G632" s="67"/>
      <c r="H632" s="67"/>
      <c r="K632">
        <v>2</v>
      </c>
      <c r="L632" s="44">
        <v>5.525000000000011</v>
      </c>
      <c r="M632">
        <v>7.0442335413929413E-3</v>
      </c>
      <c r="N632">
        <v>-2.612243364286762</v>
      </c>
      <c r="O632">
        <v>0</v>
      </c>
      <c r="P632">
        <v>0</v>
      </c>
      <c r="Q632">
        <v>8.5704972780271034E-6</v>
      </c>
      <c r="R632">
        <v>7.4007588034179789E-7</v>
      </c>
      <c r="T632" s="60"/>
      <c r="Y632" s="98"/>
    </row>
    <row r="633" spans="3:25" x14ac:dyDescent="0.2">
      <c r="C633" s="69"/>
      <c r="D633" s="96"/>
      <c r="E633" s="65"/>
      <c r="F633" s="66"/>
      <c r="G633" s="66"/>
      <c r="H633" s="66"/>
      <c r="K633">
        <v>2</v>
      </c>
      <c r="L633" s="44">
        <v>5.5500000000000114</v>
      </c>
      <c r="M633">
        <v>7.0442335413929413E-3</v>
      </c>
      <c r="N633">
        <v>-2.6120672584482314</v>
      </c>
      <c r="O633">
        <v>0</v>
      </c>
      <c r="P633">
        <v>0</v>
      </c>
      <c r="Q633">
        <v>8.5888623369320571E-6</v>
      </c>
      <c r="R633">
        <v>7.2912895505737879E-7</v>
      </c>
      <c r="T633" s="60"/>
      <c r="Y633" s="98"/>
    </row>
    <row r="634" spans="3:25" x14ac:dyDescent="0.2">
      <c r="C634" s="70"/>
      <c r="D634" s="97"/>
      <c r="E634" s="29"/>
      <c r="F634" s="67"/>
      <c r="G634" s="67"/>
      <c r="H634" s="67"/>
      <c r="K634">
        <v>2</v>
      </c>
      <c r="L634" s="44">
        <v>5.5750000000000117</v>
      </c>
      <c r="M634">
        <v>7.0442335413929413E-3</v>
      </c>
      <c r="N634">
        <v>-2.6118911526096937</v>
      </c>
      <c r="O634">
        <v>0</v>
      </c>
      <c r="P634">
        <v>0</v>
      </c>
      <c r="Q634">
        <v>8.6069537319301268E-6</v>
      </c>
      <c r="R634">
        <v>7.1818276779089342E-7</v>
      </c>
      <c r="T634" s="60"/>
      <c r="Y634" s="98"/>
    </row>
    <row r="635" spans="3:25" x14ac:dyDescent="0.2">
      <c r="C635" s="68"/>
      <c r="D635" s="95"/>
      <c r="E635" s="65"/>
      <c r="F635" s="66"/>
      <c r="G635" s="66"/>
      <c r="H635" s="66"/>
      <c r="K635">
        <v>2</v>
      </c>
      <c r="L635" s="44">
        <v>5.6000000000000121</v>
      </c>
      <c r="M635">
        <v>7.0442335413929413E-3</v>
      </c>
      <c r="N635">
        <v>-2.6117150467711632</v>
      </c>
      <c r="O635">
        <v>0</v>
      </c>
      <c r="P635">
        <v>0</v>
      </c>
      <c r="Q635">
        <v>8.6247714814717569E-6</v>
      </c>
      <c r="R635">
        <v>7.0723731854233723E-7</v>
      </c>
      <c r="T635" s="60"/>
      <c r="Y635" s="98"/>
    </row>
    <row r="636" spans="3:25" x14ac:dyDescent="0.2">
      <c r="C636" s="69"/>
      <c r="D636" s="96"/>
      <c r="E636" s="29"/>
      <c r="F636" s="67"/>
      <c r="G636" s="67"/>
      <c r="H636" s="67"/>
      <c r="K636">
        <v>2</v>
      </c>
      <c r="L636" s="44">
        <v>5.6250000000000124</v>
      </c>
      <c r="M636">
        <v>7.0442335413929413E-3</v>
      </c>
      <c r="N636">
        <v>-2.6115389409326255</v>
      </c>
      <c r="O636">
        <v>0</v>
      </c>
      <c r="P636">
        <v>0</v>
      </c>
      <c r="Q636">
        <v>8.6423156040073883E-6</v>
      </c>
      <c r="R636">
        <v>6.9629260731171255E-7</v>
      </c>
      <c r="T636" s="60"/>
      <c r="Y636" s="98"/>
    </row>
    <row r="637" spans="3:25" x14ac:dyDescent="0.2">
      <c r="C637" s="70"/>
      <c r="D637" s="97"/>
      <c r="E637" s="65"/>
      <c r="F637" s="66"/>
      <c r="G637" s="66"/>
      <c r="H637" s="66"/>
      <c r="K637">
        <v>2</v>
      </c>
      <c r="L637" s="44">
        <v>5.6500000000000128</v>
      </c>
      <c r="M637">
        <v>7.0442335413929413E-3</v>
      </c>
      <c r="N637">
        <v>-2.6113628350940878</v>
      </c>
      <c r="O637">
        <v>0</v>
      </c>
      <c r="P637">
        <v>0</v>
      </c>
      <c r="Q637">
        <v>8.6595861179874943E-6</v>
      </c>
      <c r="R637">
        <v>6.8534863409901471E-7</v>
      </c>
      <c r="T637" s="60"/>
      <c r="Y637" s="98"/>
    </row>
    <row r="638" spans="3:25" x14ac:dyDescent="0.2">
      <c r="C638" s="68"/>
      <c r="D638" s="95"/>
      <c r="E638" s="29"/>
      <c r="F638" s="67"/>
      <c r="G638" s="67"/>
      <c r="H638" s="67"/>
      <c r="K638">
        <v>2</v>
      </c>
      <c r="L638" s="44">
        <v>5.6750000000000131</v>
      </c>
      <c r="M638">
        <v>7.0442335413929413E-3</v>
      </c>
      <c r="N638">
        <v>-2.6111867292555573</v>
      </c>
      <c r="O638">
        <v>0</v>
      </c>
      <c r="P638">
        <v>0</v>
      </c>
      <c r="Q638">
        <v>8.6765830418624869E-6</v>
      </c>
      <c r="R638">
        <v>6.7440539890425537E-7</v>
      </c>
      <c r="T638" s="60"/>
      <c r="Y638" s="98"/>
    </row>
    <row r="639" spans="3:25" x14ac:dyDescent="0.2">
      <c r="C639" s="69"/>
      <c r="D639" s="96"/>
      <c r="E639" s="65"/>
      <c r="F639" s="66"/>
      <c r="G639" s="66"/>
      <c r="H639" s="66"/>
      <c r="K639">
        <v>2</v>
      </c>
      <c r="L639" s="44">
        <v>5.7000000000000135</v>
      </c>
      <c r="M639">
        <v>7.0442335413929413E-3</v>
      </c>
      <c r="N639">
        <v>-2.6110106234170196</v>
      </c>
      <c r="O639">
        <v>0</v>
      </c>
      <c r="P639">
        <v>0</v>
      </c>
      <c r="Q639">
        <v>8.6933063940828461E-6</v>
      </c>
      <c r="R639">
        <v>6.63462901727418E-7</v>
      </c>
      <c r="T639" s="60"/>
      <c r="Y639" s="98"/>
    </row>
    <row r="640" spans="3:25" x14ac:dyDescent="0.2">
      <c r="C640" s="70"/>
      <c r="D640" s="97"/>
      <c r="E640" s="29"/>
      <c r="F640" s="67"/>
      <c r="G640" s="67"/>
      <c r="H640" s="67"/>
      <c r="K640">
        <v>2</v>
      </c>
      <c r="L640" s="44">
        <v>5.7250000000000139</v>
      </c>
      <c r="M640">
        <v>7.0442335413929413E-3</v>
      </c>
      <c r="N640">
        <v>-2.6108345175784891</v>
      </c>
      <c r="O640">
        <v>0</v>
      </c>
      <c r="P640">
        <v>0</v>
      </c>
      <c r="Q640">
        <v>8.7097561930990214E-6</v>
      </c>
      <c r="R640">
        <v>6.5252114256850737E-7</v>
      </c>
      <c r="T640" s="60"/>
      <c r="Y640" s="98"/>
    </row>
    <row r="641" spans="3:25" x14ac:dyDescent="0.2">
      <c r="C641" s="68"/>
      <c r="D641" s="95"/>
      <c r="E641" s="65"/>
      <c r="F641" s="66"/>
      <c r="G641" s="66"/>
      <c r="H641" s="66"/>
      <c r="K641">
        <v>2</v>
      </c>
      <c r="L641" s="44">
        <v>5.7500000000000142</v>
      </c>
      <c r="M641">
        <v>7.0442335413929413E-3</v>
      </c>
      <c r="N641">
        <v>-2.6106584117399514</v>
      </c>
      <c r="O641">
        <v>0</v>
      </c>
      <c r="P641">
        <v>0</v>
      </c>
      <c r="Q641">
        <v>8.7259324573614197E-6</v>
      </c>
      <c r="R641">
        <v>6.4158012142753799E-7</v>
      </c>
      <c r="T641" s="60"/>
      <c r="Y641" s="98"/>
    </row>
    <row r="642" spans="3:25" x14ac:dyDescent="0.2">
      <c r="C642" s="69"/>
      <c r="D642" s="96"/>
      <c r="E642" s="29"/>
      <c r="F642" s="67"/>
      <c r="G642" s="67"/>
      <c r="H642" s="67"/>
      <c r="K642">
        <v>2</v>
      </c>
      <c r="L642" s="44">
        <v>5.7750000000000146</v>
      </c>
      <c r="M642">
        <v>7.0442335413929413E-3</v>
      </c>
      <c r="N642">
        <v>-2.6104823059014137</v>
      </c>
      <c r="O642">
        <v>0</v>
      </c>
      <c r="P642">
        <v>0</v>
      </c>
      <c r="Q642">
        <v>8.7418352053205499E-6</v>
      </c>
      <c r="R642">
        <v>6.3063983830449282E-7</v>
      </c>
      <c r="T642" s="60"/>
      <c r="Y642" s="98"/>
    </row>
    <row r="643" spans="3:25" x14ac:dyDescent="0.2">
      <c r="C643" s="70"/>
      <c r="D643" s="97"/>
      <c r="E643" s="65"/>
      <c r="F643" s="66"/>
      <c r="G643" s="66"/>
      <c r="H643" s="66"/>
      <c r="K643">
        <v>2</v>
      </c>
      <c r="L643" s="44">
        <v>5.8000000000000149</v>
      </c>
      <c r="M643">
        <v>7.0442335413929413E-3</v>
      </c>
      <c r="N643">
        <v>-2.6103062000628832</v>
      </c>
      <c r="O643">
        <v>0</v>
      </c>
      <c r="P643">
        <v>0</v>
      </c>
      <c r="Q643">
        <v>8.7574644554267987E-6</v>
      </c>
      <c r="R643">
        <v>6.1970029319938158E-7</v>
      </c>
      <c r="T643" s="60"/>
      <c r="Y643" s="98"/>
    </row>
    <row r="644" spans="3:25" x14ac:dyDescent="0.2">
      <c r="C644" s="68"/>
      <c r="D644" s="95"/>
      <c r="E644" s="29"/>
      <c r="F644" s="67"/>
      <c r="G644" s="67"/>
      <c r="H644" s="67"/>
      <c r="K644">
        <v>2</v>
      </c>
      <c r="L644" s="44">
        <v>5.8250000000000153</v>
      </c>
      <c r="M644">
        <v>7.0442335413929413E-3</v>
      </c>
      <c r="N644">
        <v>-2.6101300942243455</v>
      </c>
      <c r="O644">
        <v>0</v>
      </c>
      <c r="P644">
        <v>0</v>
      </c>
      <c r="Q644">
        <v>8.7728202261306544E-6</v>
      </c>
      <c r="R644">
        <v>6.0876148611219708E-7</v>
      </c>
      <c r="T644" s="60"/>
      <c r="Y644" s="98"/>
    </row>
    <row r="645" spans="3:25" x14ac:dyDescent="0.2">
      <c r="C645" s="69"/>
      <c r="D645" s="96"/>
      <c r="E645" s="65"/>
      <c r="F645" s="66"/>
      <c r="G645" s="66"/>
      <c r="H645" s="66"/>
      <c r="K645">
        <v>2</v>
      </c>
      <c r="L645" s="44">
        <v>5.8500000000000156</v>
      </c>
      <c r="M645">
        <v>7.0442335413929413E-3</v>
      </c>
      <c r="N645">
        <v>-2.6099539883858149</v>
      </c>
      <c r="O645">
        <v>0</v>
      </c>
      <c r="P645">
        <v>0</v>
      </c>
      <c r="Q645">
        <v>8.7879025358825581E-6</v>
      </c>
      <c r="R645">
        <v>5.9782341704294663E-7</v>
      </c>
      <c r="T645" s="60"/>
      <c r="Y645" s="98"/>
    </row>
    <row r="646" spans="3:25" x14ac:dyDescent="0.2">
      <c r="C646" s="70"/>
      <c r="D646" s="97"/>
      <c r="E646" s="29"/>
      <c r="F646" s="67"/>
      <c r="G646" s="67"/>
      <c r="H646" s="67"/>
      <c r="K646">
        <v>2</v>
      </c>
      <c r="L646" s="44">
        <v>5.875000000000016</v>
      </c>
      <c r="M646">
        <v>7.0442335413929413E-3</v>
      </c>
      <c r="N646">
        <v>-2.6097778825472773</v>
      </c>
      <c r="O646">
        <v>0</v>
      </c>
      <c r="P646">
        <v>0</v>
      </c>
      <c r="Q646">
        <v>8.8027114031329507E-6</v>
      </c>
      <c r="R646">
        <v>5.8688608599162758E-7</v>
      </c>
      <c r="T646" s="60"/>
      <c r="Y646" s="98"/>
    </row>
    <row r="647" spans="3:25" x14ac:dyDescent="0.2">
      <c r="C647" s="68"/>
      <c r="D647" s="95"/>
      <c r="E647" s="65"/>
      <c r="F647" s="66"/>
      <c r="G647" s="66"/>
      <c r="H647" s="66"/>
      <c r="K647">
        <v>2</v>
      </c>
      <c r="L647" s="44">
        <v>5.9000000000000163</v>
      </c>
      <c r="M647">
        <v>7.0442335413929413E-3</v>
      </c>
      <c r="N647">
        <v>-2.6096017767087396</v>
      </c>
      <c r="O647">
        <v>0</v>
      </c>
      <c r="P647">
        <v>0</v>
      </c>
      <c r="Q647">
        <v>8.8172468463322952E-6</v>
      </c>
      <c r="R647">
        <v>5.7594949295823051E-7</v>
      </c>
      <c r="T647" s="60"/>
      <c r="Y647" s="98"/>
    </row>
    <row r="648" spans="3:25" x14ac:dyDescent="0.2">
      <c r="C648" s="69"/>
      <c r="D648" s="96"/>
      <c r="E648" s="29"/>
      <c r="F648" s="67"/>
      <c r="G648" s="67"/>
      <c r="H648" s="67"/>
      <c r="K648">
        <v>2</v>
      </c>
      <c r="L648" s="44">
        <v>5.9250000000000167</v>
      </c>
      <c r="M648">
        <v>7.0442335413929413E-3</v>
      </c>
      <c r="N648">
        <v>-2.609425670870209</v>
      </c>
      <c r="O648">
        <v>0</v>
      </c>
      <c r="P648">
        <v>0</v>
      </c>
      <c r="Q648">
        <v>8.8315088839310122E-6</v>
      </c>
      <c r="R648">
        <v>5.6501363794277204E-7</v>
      </c>
      <c r="T648" s="60"/>
      <c r="Y648" s="98"/>
    </row>
    <row r="649" spans="3:25" x14ac:dyDescent="0.2">
      <c r="C649" s="70"/>
      <c r="D649" s="97"/>
      <c r="E649" s="65"/>
      <c r="F649" s="66"/>
      <c r="G649" s="66"/>
      <c r="H649" s="66"/>
      <c r="K649">
        <v>2</v>
      </c>
      <c r="L649" s="44">
        <v>5.9500000000000171</v>
      </c>
      <c r="M649">
        <v>7.0442335413929413E-3</v>
      </c>
      <c r="N649">
        <v>-2.6092495650316714</v>
      </c>
      <c r="O649">
        <v>0</v>
      </c>
      <c r="P649">
        <v>0</v>
      </c>
      <c r="Q649">
        <v>8.8454975343795766E-6</v>
      </c>
      <c r="R649">
        <v>5.5407852094523554E-7</v>
      </c>
      <c r="T649" s="60"/>
      <c r="Y649" s="98"/>
    </row>
    <row r="650" spans="3:25" x14ac:dyDescent="0.2">
      <c r="C650" s="68"/>
      <c r="D650" s="95"/>
      <c r="E650" s="29"/>
      <c r="F650" s="67"/>
      <c r="G650" s="67"/>
      <c r="H650" s="67"/>
      <c r="K650">
        <v>2</v>
      </c>
      <c r="L650" s="44">
        <v>5.9750000000000174</v>
      </c>
      <c r="M650">
        <v>7.0442335413929413E-3</v>
      </c>
      <c r="N650">
        <v>-2.6090734591931408</v>
      </c>
      <c r="O650">
        <v>0</v>
      </c>
      <c r="P650">
        <v>0</v>
      </c>
      <c r="Q650">
        <v>8.8592128161284226E-6</v>
      </c>
      <c r="R650">
        <v>5.4314414196563785E-7</v>
      </c>
      <c r="T650" s="60"/>
      <c r="Y650" s="98"/>
    </row>
    <row r="651" spans="3:25" x14ac:dyDescent="0.2">
      <c r="C651" s="69"/>
      <c r="D651" s="96"/>
      <c r="E651" s="65"/>
      <c r="F651" s="66"/>
      <c r="G651" s="66"/>
      <c r="H651" s="66"/>
      <c r="K651">
        <v>2</v>
      </c>
      <c r="L651" s="44">
        <v>6.0000000000000178</v>
      </c>
      <c r="M651">
        <v>7.0442335413929413E-3</v>
      </c>
      <c r="N651">
        <v>-2.6088973533546032</v>
      </c>
      <c r="O651">
        <v>0</v>
      </c>
      <c r="P651">
        <v>0</v>
      </c>
      <c r="Q651">
        <v>8.8726547476280114E-6</v>
      </c>
      <c r="R651">
        <v>5.322105010039668E-7</v>
      </c>
      <c r="T651" s="60"/>
      <c r="Y651" s="98"/>
    </row>
    <row r="652" spans="3:25" x14ac:dyDescent="0.2">
      <c r="C652" s="70"/>
      <c r="D652" s="97"/>
      <c r="E652" s="29"/>
      <c r="F652" s="67"/>
      <c r="G652" s="67"/>
      <c r="H652" s="67"/>
      <c r="K652">
        <v>2</v>
      </c>
      <c r="L652" s="44">
        <v>6.0250000000000181</v>
      </c>
      <c r="M652">
        <v>7.0442335413929413E-3</v>
      </c>
      <c r="N652">
        <v>-2.6087212475160655</v>
      </c>
      <c r="O652">
        <v>0</v>
      </c>
      <c r="P652">
        <v>0</v>
      </c>
      <c r="Q652">
        <v>8.8858233473287773E-6</v>
      </c>
      <c r="R652">
        <v>5.212775980602225E-7</v>
      </c>
      <c r="T652" s="60"/>
      <c r="Y652" s="98"/>
    </row>
    <row r="653" spans="3:25" x14ac:dyDescent="0.2">
      <c r="C653" s="68"/>
      <c r="D653" s="95"/>
      <c r="E653" s="65"/>
      <c r="F653" s="66"/>
      <c r="G653" s="66"/>
      <c r="H653" s="66"/>
      <c r="K653">
        <v>2</v>
      </c>
      <c r="L653" s="44">
        <v>6.0500000000000185</v>
      </c>
      <c r="M653">
        <v>7.0442335413929413E-3</v>
      </c>
      <c r="N653">
        <v>-2.6085451416775349</v>
      </c>
      <c r="O653">
        <v>0</v>
      </c>
      <c r="P653">
        <v>0</v>
      </c>
      <c r="Q653">
        <v>8.8987186336811832E-6</v>
      </c>
      <c r="R653">
        <v>5.1034543313441213E-7</v>
      </c>
      <c r="T653" s="60"/>
      <c r="Y653" s="98"/>
    </row>
    <row r="654" spans="3:25" x14ac:dyDescent="0.2">
      <c r="C654" s="69"/>
      <c r="D654" s="96"/>
      <c r="E654" s="29"/>
      <c r="F654" s="67"/>
      <c r="G654" s="67"/>
      <c r="H654" s="67"/>
      <c r="K654">
        <v>2</v>
      </c>
      <c r="L654" s="44">
        <v>6.0750000000000188</v>
      </c>
      <c r="M654">
        <v>7.0442335413929413E-3</v>
      </c>
      <c r="N654">
        <v>-2.6083690358389973</v>
      </c>
      <c r="O654">
        <v>0</v>
      </c>
      <c r="P654">
        <v>0</v>
      </c>
      <c r="Q654">
        <v>8.9113406251356481E-6</v>
      </c>
      <c r="R654">
        <v>4.9941400622653337E-7</v>
      </c>
      <c r="T654" s="60"/>
      <c r="Y654" s="98"/>
    </row>
    <row r="655" spans="3:25" x14ac:dyDescent="0.2">
      <c r="C655" s="70"/>
      <c r="D655" s="97"/>
      <c r="E655" s="65"/>
      <c r="F655" s="66"/>
      <c r="G655" s="66"/>
      <c r="H655" s="66"/>
      <c r="K655">
        <v>2</v>
      </c>
      <c r="L655" s="44">
        <v>6.1000000000000192</v>
      </c>
      <c r="M655">
        <v>7.0442335413929413E-3</v>
      </c>
      <c r="N655">
        <v>-2.6081929300004667</v>
      </c>
      <c r="O655">
        <v>0</v>
      </c>
      <c r="P655">
        <v>0</v>
      </c>
      <c r="Q655">
        <v>8.9236893401426434E-6</v>
      </c>
      <c r="R655">
        <v>4.8848331733658602E-7</v>
      </c>
      <c r="T655" s="60"/>
      <c r="Y655" s="98"/>
    </row>
    <row r="656" spans="3:25" x14ac:dyDescent="0.2">
      <c r="C656" s="68"/>
      <c r="D656" s="95"/>
      <c r="E656" s="29"/>
      <c r="F656" s="67"/>
      <c r="G656" s="67"/>
      <c r="H656" s="67"/>
      <c r="K656">
        <v>2</v>
      </c>
      <c r="L656" s="44">
        <v>6.1250000000000195</v>
      </c>
      <c r="M656">
        <v>7.0442335413929413E-3</v>
      </c>
      <c r="N656">
        <v>-2.608016824161929</v>
      </c>
      <c r="O656">
        <v>0</v>
      </c>
      <c r="P656">
        <v>0</v>
      </c>
      <c r="Q656">
        <v>8.9357647971526321E-6</v>
      </c>
      <c r="R656">
        <v>4.7755336646456064E-7</v>
      </c>
      <c r="T656" s="60"/>
      <c r="Y656" s="98"/>
    </row>
    <row r="657" spans="3:25" x14ac:dyDescent="0.2">
      <c r="C657" s="69"/>
      <c r="D657" s="96"/>
      <c r="E657" s="65"/>
      <c r="F657" s="66"/>
      <c r="G657" s="66"/>
      <c r="H657" s="66"/>
      <c r="K657">
        <v>2</v>
      </c>
      <c r="L657" s="44">
        <v>6.1500000000000199</v>
      </c>
      <c r="M657">
        <v>7.0442335413929413E-3</v>
      </c>
      <c r="N657">
        <v>-2.6078407183233914</v>
      </c>
      <c r="O657">
        <v>0</v>
      </c>
      <c r="P657">
        <v>0</v>
      </c>
      <c r="Q657">
        <v>8.9475670146160281E-6</v>
      </c>
      <c r="R657">
        <v>4.6662415361047158E-7</v>
      </c>
      <c r="T657" s="60"/>
      <c r="Y657" s="98"/>
    </row>
    <row r="658" spans="3:25" x14ac:dyDescent="0.2">
      <c r="C658" s="70"/>
      <c r="D658" s="97"/>
      <c r="E658" s="29"/>
      <c r="F658" s="67"/>
      <c r="G658" s="67"/>
      <c r="H658" s="67"/>
      <c r="K658">
        <v>2</v>
      </c>
      <c r="L658" s="44">
        <v>6.1750000000000203</v>
      </c>
      <c r="M658">
        <v>7.0442335413929413E-3</v>
      </c>
      <c r="N658">
        <v>-2.6076646124848608</v>
      </c>
      <c r="O658">
        <v>0</v>
      </c>
      <c r="P658">
        <v>0</v>
      </c>
      <c r="Q658">
        <v>8.9590960109833011E-6</v>
      </c>
      <c r="R658">
        <v>4.5569567877431398E-7</v>
      </c>
      <c r="T658" s="60"/>
      <c r="Y658" s="98"/>
    </row>
    <row r="659" spans="3:25" x14ac:dyDescent="0.2">
      <c r="C659" s="68"/>
      <c r="D659" s="95"/>
      <c r="E659" s="65"/>
      <c r="F659" s="66"/>
      <c r="G659" s="66"/>
      <c r="H659" s="66"/>
      <c r="K659">
        <v>2</v>
      </c>
      <c r="L659" s="44">
        <v>6.2000000000000206</v>
      </c>
      <c r="M659">
        <v>7.0442335413929413E-3</v>
      </c>
      <c r="N659">
        <v>-2.6074885066463231</v>
      </c>
      <c r="O659">
        <v>0</v>
      </c>
      <c r="P659">
        <v>0</v>
      </c>
      <c r="Q659">
        <v>8.9703518047048904E-6</v>
      </c>
      <c r="R659">
        <v>4.4476794195609037E-7</v>
      </c>
      <c r="T659" s="60"/>
      <c r="Y659" s="98"/>
    </row>
    <row r="660" spans="3:25" x14ac:dyDescent="0.2">
      <c r="C660" s="69"/>
      <c r="D660" s="96"/>
      <c r="E660" s="29"/>
      <c r="F660" s="67"/>
      <c r="G660" s="67"/>
      <c r="H660" s="67"/>
      <c r="K660">
        <v>2</v>
      </c>
      <c r="L660" s="44">
        <v>6.225000000000021</v>
      </c>
      <c r="M660">
        <v>7.0442335413929413E-3</v>
      </c>
      <c r="N660">
        <v>-2.6073124008077926</v>
      </c>
      <c r="O660">
        <v>0</v>
      </c>
      <c r="P660">
        <v>0</v>
      </c>
      <c r="Q660">
        <v>8.981334414231254E-6</v>
      </c>
      <c r="R660">
        <v>4.3384094315579345E-7</v>
      </c>
      <c r="T660" s="60"/>
      <c r="Y660" s="98"/>
    </row>
    <row r="661" spans="3:25" x14ac:dyDescent="0.2">
      <c r="C661" s="70"/>
      <c r="D661" s="97"/>
      <c r="E661" s="65"/>
      <c r="F661" s="66"/>
      <c r="G661" s="66"/>
      <c r="H661" s="66"/>
      <c r="K661">
        <v>2</v>
      </c>
      <c r="L661" s="44">
        <v>6.2500000000000213</v>
      </c>
      <c r="M661">
        <v>7.0442335413929413E-3</v>
      </c>
      <c r="N661">
        <v>-2.6071362949692549</v>
      </c>
      <c r="O661">
        <v>0</v>
      </c>
      <c r="P661">
        <v>0</v>
      </c>
      <c r="Q661">
        <v>8.9920438580128242E-6</v>
      </c>
      <c r="R661">
        <v>4.2291468237342809E-7</v>
      </c>
      <c r="T661" s="60"/>
      <c r="Y661" s="98"/>
    </row>
    <row r="662" spans="3:25" x14ac:dyDescent="0.2">
      <c r="C662" s="68"/>
      <c r="D662" s="95"/>
      <c r="E662" s="29"/>
      <c r="F662" s="67"/>
      <c r="G662" s="67"/>
      <c r="H662" s="67"/>
      <c r="K662">
        <v>2</v>
      </c>
      <c r="L662" s="44">
        <v>6.2750000000000217</v>
      </c>
      <c r="M662">
        <v>7.0442335413929413E-3</v>
      </c>
      <c r="N662">
        <v>-2.6069601891307173</v>
      </c>
      <c r="O662">
        <v>0</v>
      </c>
      <c r="P662">
        <v>0</v>
      </c>
      <c r="Q662">
        <v>9.0024801545000624E-6</v>
      </c>
      <c r="R662">
        <v>4.119891596089918E-7</v>
      </c>
      <c r="T662" s="60"/>
      <c r="Y662" s="98"/>
    </row>
    <row r="663" spans="3:25" x14ac:dyDescent="0.2">
      <c r="C663" s="69"/>
      <c r="D663" s="96"/>
      <c r="E663" s="65"/>
      <c r="F663" s="66"/>
      <c r="G663" s="66"/>
      <c r="H663" s="66"/>
      <c r="K663">
        <v>2</v>
      </c>
      <c r="L663" s="44">
        <v>6.300000000000022</v>
      </c>
      <c r="M663">
        <v>7.0442335413929413E-3</v>
      </c>
      <c r="N663">
        <v>-2.6067840832921867</v>
      </c>
      <c r="O663">
        <v>0</v>
      </c>
      <c r="P663">
        <v>0</v>
      </c>
      <c r="Q663">
        <v>9.0126433221434316E-6</v>
      </c>
      <c r="R663">
        <v>4.0106437486248236E-7</v>
      </c>
      <c r="T663" s="60"/>
      <c r="Y663" s="98"/>
    </row>
    <row r="664" spans="3:25" x14ac:dyDescent="0.2">
      <c r="C664" s="70"/>
      <c r="D664" s="97"/>
      <c r="E664" s="29"/>
      <c r="F664" s="67"/>
      <c r="G664" s="67"/>
      <c r="H664" s="67"/>
      <c r="K664">
        <v>2</v>
      </c>
      <c r="L664" s="44">
        <v>6.3250000000000224</v>
      </c>
      <c r="M664">
        <v>7.0442335413929413E-3</v>
      </c>
      <c r="N664">
        <v>-2.606607977453649</v>
      </c>
      <c r="O664">
        <v>0</v>
      </c>
      <c r="P664">
        <v>0</v>
      </c>
      <c r="Q664">
        <v>9.0225333793933575E-6</v>
      </c>
      <c r="R664">
        <v>3.901403281338996E-7</v>
      </c>
      <c r="T664" s="60"/>
      <c r="Y664" s="98"/>
    </row>
    <row r="665" spans="3:25" x14ac:dyDescent="0.2">
      <c r="C665" s="68"/>
      <c r="D665" s="95"/>
      <c r="E665" s="65"/>
      <c r="F665" s="66"/>
      <c r="G665" s="66"/>
      <c r="H665" s="66"/>
      <c r="K665">
        <v>2</v>
      </c>
      <c r="L665" s="44">
        <v>6.3500000000000227</v>
      </c>
      <c r="M665">
        <v>7.0442335413929413E-3</v>
      </c>
      <c r="N665">
        <v>-2.6064318716151185</v>
      </c>
      <c r="O665">
        <v>0</v>
      </c>
      <c r="P665">
        <v>0</v>
      </c>
      <c r="Q665">
        <v>9.0321503447002624E-6</v>
      </c>
      <c r="R665">
        <v>3.7921701942325555E-7</v>
      </c>
      <c r="T665" s="60"/>
      <c r="Y665" s="98"/>
    </row>
    <row r="666" spans="3:25" x14ac:dyDescent="0.2">
      <c r="C666" s="69"/>
      <c r="D666" s="96"/>
      <c r="E666" s="29"/>
      <c r="F666" s="67"/>
      <c r="G666" s="67"/>
      <c r="H666" s="67"/>
      <c r="K666">
        <v>2</v>
      </c>
      <c r="L666" s="44">
        <v>6.3750000000000231</v>
      </c>
      <c r="M666">
        <v>7.0442335413929413E-3</v>
      </c>
      <c r="N666">
        <v>-2.6062557657765808</v>
      </c>
      <c r="O666">
        <v>0</v>
      </c>
      <c r="P666">
        <v>0</v>
      </c>
      <c r="Q666">
        <v>9.0414942365146483E-6</v>
      </c>
      <c r="R666">
        <v>3.6829444873054295E-7</v>
      </c>
      <c r="T666" s="60"/>
      <c r="Y666" s="98"/>
    </row>
    <row r="667" spans="3:25" x14ac:dyDescent="0.2">
      <c r="C667" s="70"/>
      <c r="D667" s="97"/>
      <c r="E667" s="65"/>
      <c r="F667" s="66"/>
      <c r="G667" s="66"/>
      <c r="H667" s="66"/>
      <c r="K667">
        <v>2</v>
      </c>
      <c r="L667" s="44">
        <v>6.4000000000000234</v>
      </c>
      <c r="M667">
        <v>7.0442335413929413E-3</v>
      </c>
      <c r="N667">
        <v>-2.6060796599380431</v>
      </c>
      <c r="O667">
        <v>0</v>
      </c>
      <c r="P667">
        <v>0</v>
      </c>
      <c r="Q667">
        <v>9.0505650732869409E-6</v>
      </c>
      <c r="R667">
        <v>3.5737261605575482E-7</v>
      </c>
      <c r="T667" s="60"/>
      <c r="Y667" s="98"/>
    </row>
    <row r="668" spans="3:25" x14ac:dyDescent="0.2">
      <c r="C668" s="68"/>
      <c r="D668" s="95"/>
      <c r="E668" s="29"/>
      <c r="F668" s="67"/>
      <c r="G668" s="67"/>
      <c r="H668" s="67"/>
      <c r="K668">
        <v>2</v>
      </c>
      <c r="L668" s="44">
        <v>6.4250000000000238</v>
      </c>
      <c r="M668">
        <v>7.0442335413929413E-3</v>
      </c>
      <c r="N668">
        <v>-2.6059035540995126</v>
      </c>
      <c r="O668">
        <v>0</v>
      </c>
      <c r="P668">
        <v>0</v>
      </c>
      <c r="Q668">
        <v>9.0593628734675998E-6</v>
      </c>
      <c r="R668">
        <v>3.4645152139889809E-7</v>
      </c>
      <c r="T668" s="60"/>
      <c r="Y668" s="98"/>
    </row>
    <row r="669" spans="3:25" x14ac:dyDescent="0.2">
      <c r="C669" s="69"/>
      <c r="D669" s="96"/>
      <c r="E669" s="65"/>
      <c r="F669" s="66"/>
      <c r="G669" s="66"/>
      <c r="H669" s="66"/>
      <c r="K669">
        <v>2</v>
      </c>
      <c r="L669" s="44">
        <v>6.4500000000000242</v>
      </c>
      <c r="M669">
        <v>7.0442335413929413E-3</v>
      </c>
      <c r="N669">
        <v>-2.6057274482609749</v>
      </c>
      <c r="O669">
        <v>0</v>
      </c>
      <c r="P669">
        <v>0</v>
      </c>
      <c r="Q669">
        <v>9.067887655507049E-6</v>
      </c>
      <c r="R669">
        <v>3.3553116475997297E-7</v>
      </c>
      <c r="T669" s="60"/>
      <c r="Y669" s="98"/>
    </row>
    <row r="670" spans="3:25" x14ac:dyDescent="0.2">
      <c r="C670" s="70"/>
      <c r="D670" s="97"/>
      <c r="E670" s="29"/>
      <c r="F670" s="67"/>
      <c r="G670" s="67"/>
      <c r="H670" s="67"/>
      <c r="K670">
        <v>2</v>
      </c>
      <c r="L670" s="44">
        <v>6.4750000000000245</v>
      </c>
      <c r="M670">
        <v>7.0442335413929413E-3</v>
      </c>
      <c r="N670">
        <v>-2.6055513424224372</v>
      </c>
      <c r="O670">
        <v>0</v>
      </c>
      <c r="P670">
        <v>0</v>
      </c>
      <c r="Q670">
        <v>9.0761394378557549E-6</v>
      </c>
      <c r="R670">
        <v>3.2461154613898168E-7</v>
      </c>
      <c r="T670" s="60"/>
      <c r="Y670" s="98"/>
    </row>
    <row r="671" spans="3:25" x14ac:dyDescent="0.2">
      <c r="C671" s="68"/>
      <c r="D671" s="95"/>
      <c r="E671" s="65"/>
      <c r="F671" s="66"/>
      <c r="G671" s="66"/>
      <c r="H671" s="66"/>
      <c r="K671">
        <v>2</v>
      </c>
      <c r="L671" s="44">
        <v>6.5000000000000249</v>
      </c>
      <c r="M671">
        <v>7.0442335413929413E-3</v>
      </c>
      <c r="N671">
        <v>-2.6053752365838996</v>
      </c>
      <c r="O671">
        <v>0</v>
      </c>
      <c r="P671">
        <v>0</v>
      </c>
      <c r="Q671">
        <v>9.0841182389641584E-6</v>
      </c>
      <c r="R671">
        <v>3.1369266553591481E-7</v>
      </c>
      <c r="T671" s="60"/>
      <c r="Y671" s="98"/>
    </row>
    <row r="672" spans="3:25" x14ac:dyDescent="0.2">
      <c r="C672" s="69"/>
      <c r="D672" s="96"/>
      <c r="E672" s="29"/>
      <c r="F672" s="67"/>
      <c r="G672" s="67"/>
      <c r="H672" s="67"/>
      <c r="K672">
        <v>2</v>
      </c>
      <c r="L672" s="44">
        <v>6.5250000000000252</v>
      </c>
      <c r="M672">
        <v>7.0442335413929413E-3</v>
      </c>
      <c r="N672">
        <v>-2.6051991307453761</v>
      </c>
      <c r="O672">
        <v>0</v>
      </c>
      <c r="P672">
        <v>0</v>
      </c>
      <c r="Q672">
        <v>9.0918240772826904E-6</v>
      </c>
      <c r="R672">
        <v>3.0277452295078416E-7</v>
      </c>
      <c r="T672" s="60"/>
      <c r="Y672" s="98"/>
    </row>
    <row r="673" spans="3:25" x14ac:dyDescent="0.2">
      <c r="C673" s="70"/>
      <c r="D673" s="97"/>
      <c r="E673" s="65"/>
      <c r="F673" s="66"/>
      <c r="G673" s="66"/>
      <c r="H673" s="66"/>
      <c r="K673">
        <v>2</v>
      </c>
      <c r="L673" s="44">
        <v>6.5500000000000256</v>
      </c>
      <c r="M673">
        <v>7.0442335413929413E-3</v>
      </c>
      <c r="N673">
        <v>-2.6050230249068385</v>
      </c>
      <c r="O673">
        <v>0</v>
      </c>
      <c r="P673">
        <v>0</v>
      </c>
      <c r="Q673">
        <v>9.0992569712618409E-6</v>
      </c>
      <c r="R673">
        <v>2.918571183835731E-7</v>
      </c>
      <c r="T673" s="60"/>
      <c r="Y673" s="98"/>
    </row>
    <row r="674" spans="3:25" x14ac:dyDescent="0.2">
      <c r="C674" s="68"/>
      <c r="D674" s="95"/>
      <c r="E674" s="29"/>
      <c r="F674" s="67"/>
      <c r="G674" s="67"/>
      <c r="H674" s="67"/>
      <c r="K674">
        <v>2</v>
      </c>
      <c r="L674" s="44">
        <v>6.5750000000000259</v>
      </c>
      <c r="M674">
        <v>7.0442335413929413E-3</v>
      </c>
      <c r="N674">
        <v>-2.6048469190683008</v>
      </c>
      <c r="O674">
        <v>0</v>
      </c>
      <c r="P674">
        <v>0</v>
      </c>
      <c r="Q674">
        <v>9.1064169393520357E-6</v>
      </c>
      <c r="R674">
        <v>2.8094045183430317E-7</v>
      </c>
      <c r="T674" s="60"/>
      <c r="Y674" s="98"/>
    </row>
    <row r="675" spans="3:25" x14ac:dyDescent="0.2">
      <c r="C675" s="69"/>
      <c r="D675" s="96"/>
      <c r="E675" s="65"/>
      <c r="F675" s="66"/>
      <c r="G675" s="66"/>
      <c r="H675" s="66"/>
      <c r="K675">
        <v>2</v>
      </c>
      <c r="L675" s="44">
        <v>6.6000000000000263</v>
      </c>
      <c r="M675">
        <v>7.0442335413929413E-3</v>
      </c>
      <c r="N675">
        <v>-2.6046708132297631</v>
      </c>
      <c r="O675">
        <v>0</v>
      </c>
      <c r="P675">
        <v>0</v>
      </c>
      <c r="Q675">
        <v>9.1133040000037021E-6</v>
      </c>
      <c r="R675">
        <v>2.7002452330295994E-7</v>
      </c>
      <c r="T675" s="60"/>
      <c r="Y675" s="98"/>
    </row>
    <row r="676" spans="3:25" x14ac:dyDescent="0.2">
      <c r="C676" s="70"/>
      <c r="D676" s="97"/>
      <c r="E676" s="29"/>
      <c r="F676" s="67"/>
      <c r="G676" s="67"/>
      <c r="H676" s="67"/>
      <c r="K676">
        <v>2</v>
      </c>
      <c r="L676" s="44">
        <v>6.6250000000000266</v>
      </c>
      <c r="M676">
        <v>7.0442335413929413E-3</v>
      </c>
      <c r="N676">
        <v>-2.6044947073912255</v>
      </c>
      <c r="O676">
        <v>0</v>
      </c>
      <c r="P676">
        <v>0</v>
      </c>
      <c r="Q676">
        <v>9.1199181716673151E-6</v>
      </c>
      <c r="R676">
        <v>2.5910933278954351E-7</v>
      </c>
      <c r="T676" s="60"/>
      <c r="Y676" s="98"/>
    </row>
    <row r="677" spans="3:25" x14ac:dyDescent="0.2">
      <c r="C677" s="68"/>
      <c r="D677" s="95"/>
      <c r="E677" s="65"/>
      <c r="F677" s="66"/>
      <c r="G677" s="66"/>
      <c r="H677" s="66"/>
      <c r="K677">
        <v>2</v>
      </c>
      <c r="L677" s="44">
        <v>6.650000000000027</v>
      </c>
      <c r="M677">
        <v>7.0442335413929413E-3</v>
      </c>
      <c r="N677">
        <v>-2.604318601552702</v>
      </c>
      <c r="O677">
        <v>0</v>
      </c>
      <c r="P677">
        <v>0</v>
      </c>
      <c r="Q677">
        <v>9.1262594727933223E-6</v>
      </c>
      <c r="R677">
        <v>2.4819488029406805E-7</v>
      </c>
      <c r="T677" s="60"/>
      <c r="Y677" s="98"/>
    </row>
    <row r="678" spans="3:25" x14ac:dyDescent="0.2">
      <c r="C678" s="69"/>
      <c r="D678" s="96"/>
      <c r="E678" s="29"/>
      <c r="F678" s="67"/>
      <c r="G678" s="67"/>
      <c r="H678" s="67"/>
      <c r="K678">
        <v>2</v>
      </c>
      <c r="L678" s="44">
        <v>6.6750000000000274</v>
      </c>
      <c r="M678">
        <v>7.0442335413929413E-3</v>
      </c>
      <c r="N678">
        <v>-2.6041424957141643</v>
      </c>
      <c r="O678">
        <v>0</v>
      </c>
      <c r="P678">
        <v>0</v>
      </c>
      <c r="Q678">
        <v>9.1323279218321766E-6</v>
      </c>
      <c r="R678">
        <v>2.3728116581651227E-7</v>
      </c>
      <c r="T678" s="60"/>
      <c r="Y678" s="98"/>
    </row>
    <row r="679" spans="3:25" x14ac:dyDescent="0.2">
      <c r="C679" s="70"/>
      <c r="D679" s="97"/>
      <c r="E679" s="65"/>
      <c r="F679" s="66"/>
      <c r="G679" s="66"/>
      <c r="H679" s="66"/>
      <c r="K679">
        <v>2</v>
      </c>
      <c r="L679" s="44">
        <v>6.7000000000000277</v>
      </c>
      <c r="M679">
        <v>7.0442335413929413E-3</v>
      </c>
      <c r="N679">
        <v>-2.6039663898756267</v>
      </c>
      <c r="O679">
        <v>0</v>
      </c>
      <c r="P679">
        <v>0</v>
      </c>
      <c r="Q679">
        <v>9.1381235372343104E-6</v>
      </c>
      <c r="R679">
        <v>2.263681893568927E-7</v>
      </c>
      <c r="T679" s="60"/>
      <c r="Y679" s="98"/>
    </row>
    <row r="680" spans="3:25" x14ac:dyDescent="0.2">
      <c r="C680" s="68"/>
      <c r="D680" s="95"/>
      <c r="E680" s="29"/>
      <c r="F680" s="67"/>
      <c r="G680" s="67"/>
      <c r="H680" s="67"/>
      <c r="K680">
        <v>2</v>
      </c>
      <c r="L680" s="44">
        <v>6.7250000000000281</v>
      </c>
      <c r="M680">
        <v>7.0442335413929413E-3</v>
      </c>
      <c r="N680">
        <v>-2.603790284037089</v>
      </c>
      <c r="O680">
        <v>0</v>
      </c>
      <c r="P680">
        <v>0</v>
      </c>
      <c r="Q680">
        <v>9.1436463374501665E-6</v>
      </c>
      <c r="R680">
        <v>2.1545595091520234E-7</v>
      </c>
      <c r="T680" s="60"/>
      <c r="Y680" s="98"/>
    </row>
    <row r="681" spans="3:25" x14ac:dyDescent="0.2">
      <c r="C681" s="69"/>
      <c r="D681" s="96"/>
      <c r="E681" s="65"/>
      <c r="F681" s="66"/>
      <c r="G681" s="66"/>
      <c r="H681" s="66"/>
      <c r="K681">
        <v>2</v>
      </c>
      <c r="L681" s="44">
        <v>6.7500000000000284</v>
      </c>
      <c r="M681">
        <v>7.0442335413929413E-3</v>
      </c>
      <c r="N681">
        <v>-2.6036141781985513</v>
      </c>
      <c r="O681">
        <v>0</v>
      </c>
      <c r="P681">
        <v>0</v>
      </c>
      <c r="Q681">
        <v>9.1488963409302129E-6</v>
      </c>
      <c r="R681">
        <v>2.0454445049144105E-7</v>
      </c>
      <c r="T681" s="60"/>
      <c r="Y681" s="98"/>
    </row>
    <row r="682" spans="3:25" x14ac:dyDescent="0.2">
      <c r="C682" s="70"/>
      <c r="D682" s="97"/>
      <c r="E682" s="29"/>
      <c r="F682" s="67"/>
      <c r="G682" s="67"/>
      <c r="H682" s="67"/>
      <c r="K682">
        <v>2</v>
      </c>
      <c r="L682" s="44">
        <v>6.7750000000000288</v>
      </c>
      <c r="M682">
        <v>7.0442335413929413E-3</v>
      </c>
      <c r="N682">
        <v>-2.6034380723600279</v>
      </c>
      <c r="O682">
        <v>0</v>
      </c>
      <c r="P682">
        <v>0</v>
      </c>
      <c r="Q682">
        <v>9.1538735661248854E-6</v>
      </c>
      <c r="R682">
        <v>1.9363368808561135E-7</v>
      </c>
      <c r="T682" s="60"/>
      <c r="Y682" s="98"/>
    </row>
    <row r="683" spans="3:25" x14ac:dyDescent="0.2">
      <c r="C683" s="68"/>
      <c r="D683" s="95"/>
      <c r="E683" s="65"/>
      <c r="F683" s="66"/>
      <c r="G683" s="66"/>
      <c r="H683" s="66"/>
      <c r="K683">
        <v>2</v>
      </c>
      <c r="L683" s="44">
        <v>6.8000000000000291</v>
      </c>
      <c r="M683">
        <v>7.0442335413929413E-3</v>
      </c>
      <c r="N683">
        <v>-2.6032619665214902</v>
      </c>
      <c r="O683">
        <v>0</v>
      </c>
      <c r="P683">
        <v>0</v>
      </c>
      <c r="Q683">
        <v>9.1585780314846319E-6</v>
      </c>
      <c r="R683">
        <v>1.8272366369771307E-7</v>
      </c>
      <c r="T683" s="60"/>
      <c r="Y683" s="98"/>
    </row>
    <row r="684" spans="3:25" x14ac:dyDescent="0.2">
      <c r="C684" s="69"/>
      <c r="D684" s="96"/>
      <c r="E684" s="29"/>
      <c r="F684" s="67"/>
      <c r="G684" s="67"/>
      <c r="H684" s="67"/>
      <c r="K684">
        <v>2</v>
      </c>
      <c r="L684" s="44">
        <v>6.8250000000000295</v>
      </c>
      <c r="M684">
        <v>7.0442335413929413E-3</v>
      </c>
      <c r="N684">
        <v>-2.6030858606829526</v>
      </c>
      <c r="O684">
        <v>0</v>
      </c>
      <c r="P684">
        <v>0</v>
      </c>
      <c r="Q684">
        <v>9.1630097554599271E-6</v>
      </c>
      <c r="R684">
        <v>1.7181437732773925E-7</v>
      </c>
      <c r="T684" s="60"/>
      <c r="Y684" s="98"/>
    </row>
    <row r="685" spans="3:25" x14ac:dyDescent="0.2">
      <c r="C685" s="70"/>
      <c r="D685" s="97"/>
      <c r="E685" s="65"/>
      <c r="F685" s="66"/>
      <c r="G685" s="66"/>
      <c r="H685" s="66"/>
      <c r="K685">
        <v>2</v>
      </c>
      <c r="L685" s="44">
        <v>6.8500000000000298</v>
      </c>
      <c r="M685">
        <v>7.0442335413929413E-3</v>
      </c>
      <c r="N685">
        <v>-2.6029097548444149</v>
      </c>
      <c r="O685">
        <v>0</v>
      </c>
      <c r="P685">
        <v>0</v>
      </c>
      <c r="Q685">
        <v>9.1671687565011697E-6</v>
      </c>
      <c r="R685">
        <v>1.6090582897569686E-7</v>
      </c>
      <c r="T685" s="60"/>
      <c r="Y685" s="98"/>
    </row>
    <row r="686" spans="3:25" x14ac:dyDescent="0.2">
      <c r="C686" s="68"/>
      <c r="D686" s="95"/>
      <c r="E686" s="29"/>
      <c r="F686" s="67"/>
      <c r="G686" s="67"/>
      <c r="H686" s="67"/>
      <c r="K686">
        <v>2</v>
      </c>
      <c r="L686" s="44">
        <v>6.8750000000000302</v>
      </c>
      <c r="M686">
        <v>7.0442335413929413E-3</v>
      </c>
      <c r="N686">
        <v>-2.6027336490058772</v>
      </c>
      <c r="O686">
        <v>0</v>
      </c>
      <c r="P686">
        <v>0</v>
      </c>
      <c r="Q686">
        <v>9.1710550530588634E-6</v>
      </c>
      <c r="R686">
        <v>1.4999801864159318E-7</v>
      </c>
      <c r="T686" s="60"/>
      <c r="Y686" s="98"/>
    </row>
    <row r="687" spans="3:25" x14ac:dyDescent="0.2">
      <c r="C687" s="69"/>
      <c r="D687" s="96"/>
      <c r="E687" s="65"/>
      <c r="F687" s="66"/>
      <c r="G687" s="66"/>
      <c r="H687" s="66"/>
      <c r="K687">
        <v>2</v>
      </c>
      <c r="L687" s="44">
        <v>6.9000000000000306</v>
      </c>
      <c r="M687">
        <v>7.0442335413929413E-3</v>
      </c>
      <c r="N687">
        <v>-2.6025575431673538</v>
      </c>
      <c r="O687">
        <v>0</v>
      </c>
      <c r="P687">
        <v>0</v>
      </c>
      <c r="Q687">
        <v>9.174668663583388E-6</v>
      </c>
      <c r="R687">
        <v>1.3909094632541624E-7</v>
      </c>
      <c r="T687" s="60"/>
      <c r="Y687" s="98"/>
    </row>
    <row r="688" spans="3:25" x14ac:dyDescent="0.2">
      <c r="C688" s="70"/>
      <c r="D688" s="97"/>
      <c r="E688" s="29"/>
      <c r="F688" s="67"/>
      <c r="G688" s="67"/>
      <c r="H688" s="67"/>
      <c r="K688">
        <v>2</v>
      </c>
      <c r="L688" s="44">
        <v>6.9250000000000309</v>
      </c>
      <c r="M688">
        <v>7.0442335413929413E-3</v>
      </c>
      <c r="N688">
        <v>-2.6023814373288161</v>
      </c>
      <c r="O688">
        <v>0</v>
      </c>
      <c r="P688">
        <v>0</v>
      </c>
      <c r="Q688">
        <v>9.178009606525276E-6</v>
      </c>
      <c r="R688">
        <v>1.281846120271613E-7</v>
      </c>
      <c r="T688" s="60"/>
      <c r="Y688" s="98"/>
    </row>
    <row r="689" spans="3:25" x14ac:dyDescent="0.2">
      <c r="C689" s="68"/>
      <c r="D689" s="95"/>
      <c r="E689" s="65"/>
      <c r="F689" s="66"/>
      <c r="G689" s="66"/>
      <c r="H689" s="66"/>
      <c r="K689">
        <v>2</v>
      </c>
      <c r="L689" s="44">
        <v>6.9500000000000313</v>
      </c>
      <c r="M689">
        <v>7.0442335413929413E-3</v>
      </c>
      <c r="N689">
        <v>-2.6022053314902784</v>
      </c>
      <c r="O689">
        <v>0</v>
      </c>
      <c r="P689">
        <v>0</v>
      </c>
      <c r="Q689">
        <v>9.1810779003349363E-6</v>
      </c>
      <c r="R689">
        <v>1.1727901574684503E-7</v>
      </c>
      <c r="T689" s="60"/>
      <c r="Y689" s="98"/>
    </row>
    <row r="690" spans="3:25" x14ac:dyDescent="0.2">
      <c r="C690" s="69"/>
      <c r="D690" s="96"/>
      <c r="E690" s="29"/>
      <c r="F690" s="67"/>
      <c r="G690" s="67"/>
      <c r="H690" s="67"/>
      <c r="K690">
        <v>2</v>
      </c>
      <c r="L690" s="44">
        <v>6.9750000000000316</v>
      </c>
      <c r="M690">
        <v>7.0442335413929413E-3</v>
      </c>
      <c r="N690">
        <v>-2.6020292256517408</v>
      </c>
      <c r="O690">
        <v>0</v>
      </c>
      <c r="P690">
        <v>0</v>
      </c>
      <c r="Q690">
        <v>9.1838735634627673E-6</v>
      </c>
      <c r="R690">
        <v>1.0637415748446027E-7</v>
      </c>
      <c r="T690" s="60"/>
      <c r="Y690" s="98"/>
    </row>
    <row r="691" spans="3:25" x14ac:dyDescent="0.2">
      <c r="C691" s="70"/>
      <c r="D691" s="97"/>
      <c r="E691" s="65"/>
      <c r="F691" s="66"/>
      <c r="G691" s="66"/>
      <c r="H691" s="66"/>
      <c r="K691">
        <v>2</v>
      </c>
      <c r="L691" s="44">
        <v>7.000000000000032</v>
      </c>
      <c r="M691">
        <v>7.0442335413929413E-3</v>
      </c>
      <c r="N691">
        <v>-2.6018531198132031</v>
      </c>
      <c r="O691">
        <v>0</v>
      </c>
      <c r="P691">
        <v>0</v>
      </c>
      <c r="Q691">
        <v>9.186396614359283E-6</v>
      </c>
      <c r="R691">
        <v>9.5470037239997491E-8</v>
      </c>
      <c r="T691" s="60"/>
      <c r="Y691" s="98"/>
    </row>
    <row r="692" spans="3:25" x14ac:dyDescent="0.2">
      <c r="C692" s="68"/>
      <c r="D692" s="95"/>
      <c r="E692" s="29"/>
      <c r="F692" s="67"/>
      <c r="G692" s="67"/>
      <c r="H692" s="67"/>
      <c r="K692">
        <v>2</v>
      </c>
      <c r="L692" s="44">
        <v>7.0250000000000323</v>
      </c>
      <c r="M692">
        <v>7.0442335413929413E-3</v>
      </c>
      <c r="N692">
        <v>-2.6016770139746797</v>
      </c>
      <c r="O692">
        <v>0</v>
      </c>
      <c r="P692">
        <v>0</v>
      </c>
      <c r="Q692">
        <v>9.1886470714749108E-6</v>
      </c>
      <c r="R692">
        <v>8.4566655013470998E-8</v>
      </c>
      <c r="T692" s="60"/>
      <c r="Y692" s="98"/>
    </row>
    <row r="693" spans="3:25" x14ac:dyDescent="0.2">
      <c r="C693" s="69"/>
      <c r="D693" s="96"/>
      <c r="E693" s="65"/>
      <c r="F693" s="66"/>
      <c r="G693" s="66"/>
      <c r="H693" s="66"/>
      <c r="K693">
        <v>2</v>
      </c>
      <c r="L693" s="44">
        <v>7.0500000000000327</v>
      </c>
      <c r="M693">
        <v>7.0442335413929413E-3</v>
      </c>
      <c r="N693">
        <v>-2.601500908136142</v>
      </c>
      <c r="O693">
        <v>0</v>
      </c>
      <c r="P693">
        <v>0</v>
      </c>
      <c r="Q693">
        <v>9.1906249532601068E-6</v>
      </c>
      <c r="R693">
        <v>7.3664010804876012E-8</v>
      </c>
      <c r="T693" s="60"/>
      <c r="Y693" s="98"/>
    </row>
    <row r="694" spans="3:25" x14ac:dyDescent="0.2">
      <c r="C694" s="70"/>
      <c r="D694" s="97"/>
      <c r="E694" s="29"/>
      <c r="F694" s="67"/>
      <c r="G694" s="67"/>
      <c r="H694" s="67"/>
      <c r="K694">
        <v>2</v>
      </c>
      <c r="L694" s="44">
        <v>7.075000000000033</v>
      </c>
      <c r="M694">
        <v>7.0442335413929413E-3</v>
      </c>
      <c r="N694">
        <v>-2.6013248022976043</v>
      </c>
      <c r="O694">
        <v>0</v>
      </c>
      <c r="P694">
        <v>0</v>
      </c>
      <c r="Q694">
        <v>9.1923302781653053E-6</v>
      </c>
      <c r="R694">
        <v>6.2762104614205398E-8</v>
      </c>
      <c r="T694" s="60"/>
      <c r="Y694" s="98"/>
    </row>
    <row r="695" spans="3:25" x14ac:dyDescent="0.2">
      <c r="C695" s="68"/>
      <c r="D695" s="95"/>
      <c r="E695" s="65"/>
      <c r="F695" s="66"/>
      <c r="G695" s="66"/>
      <c r="H695" s="66"/>
      <c r="K695">
        <v>2</v>
      </c>
      <c r="L695" s="44">
        <v>7.1000000000000334</v>
      </c>
      <c r="M695">
        <v>7.0442335413929413E-3</v>
      </c>
      <c r="N695">
        <v>-2.6011486964590667</v>
      </c>
      <c r="O695">
        <v>0</v>
      </c>
      <c r="P695">
        <v>0</v>
      </c>
      <c r="Q695">
        <v>9.1937630646409674E-6</v>
      </c>
      <c r="R695">
        <v>5.1860936441471067E-8</v>
      </c>
      <c r="T695" s="60"/>
      <c r="Y695" s="98"/>
    </row>
    <row r="696" spans="3:25" x14ac:dyDescent="0.2">
      <c r="C696" s="69"/>
      <c r="D696" s="96"/>
      <c r="E696" s="29"/>
      <c r="F696" s="67"/>
      <c r="G696" s="67"/>
      <c r="H696" s="67"/>
      <c r="K696">
        <v>2</v>
      </c>
      <c r="L696" s="44">
        <v>7.1250000000000338</v>
      </c>
      <c r="M696">
        <v>7.0442335413929413E-3</v>
      </c>
      <c r="N696">
        <v>-2.600972590620529</v>
      </c>
      <c r="O696">
        <v>0</v>
      </c>
      <c r="P696">
        <v>0</v>
      </c>
      <c r="Q696">
        <v>9.1949233311375479E-6</v>
      </c>
      <c r="R696">
        <v>4.096050628665872E-8</v>
      </c>
      <c r="T696" s="60"/>
      <c r="Y696" s="98"/>
    </row>
    <row r="697" spans="3:25" x14ac:dyDescent="0.2">
      <c r="C697" s="70"/>
      <c r="D697" s="97"/>
      <c r="E697" s="65"/>
      <c r="F697" s="66"/>
      <c r="G697" s="66"/>
      <c r="H697" s="66"/>
      <c r="K697">
        <v>2</v>
      </c>
      <c r="L697" s="44">
        <v>7.1500000000000341</v>
      </c>
      <c r="M697">
        <v>7.0442335413929413E-3</v>
      </c>
      <c r="N697">
        <v>-2.6007964847820055</v>
      </c>
      <c r="O697">
        <v>0</v>
      </c>
      <c r="P697">
        <v>0</v>
      </c>
      <c r="Q697">
        <v>9.1958110961054604E-6</v>
      </c>
      <c r="R697">
        <v>3.0060814149789803E-8</v>
      </c>
      <c r="T697" s="60"/>
      <c r="Y697" s="98"/>
    </row>
    <row r="698" spans="3:25" x14ac:dyDescent="0.2">
      <c r="C698" s="68"/>
      <c r="D698" s="95"/>
      <c r="E698" s="29"/>
      <c r="F698" s="67"/>
      <c r="G698" s="67"/>
      <c r="H698" s="67"/>
      <c r="K698">
        <v>2</v>
      </c>
      <c r="L698" s="44">
        <v>7.1750000000000345</v>
      </c>
      <c r="M698">
        <v>7.0442335413929413E-3</v>
      </c>
      <c r="N698">
        <v>-2.6006203789434679</v>
      </c>
      <c r="O698">
        <v>0</v>
      </c>
      <c r="P698">
        <v>0</v>
      </c>
      <c r="Q698">
        <v>9.196426377995168E-6</v>
      </c>
      <c r="R698">
        <v>1.9161860030845249E-8</v>
      </c>
      <c r="T698" s="60"/>
      <c r="Y698" s="98"/>
    </row>
    <row r="699" spans="3:25" x14ac:dyDescent="0.2">
      <c r="C699" s="69"/>
      <c r="D699" s="96"/>
      <c r="E699" s="65"/>
      <c r="F699" s="66"/>
      <c r="G699" s="66"/>
      <c r="H699" s="66"/>
      <c r="K699">
        <v>2</v>
      </c>
      <c r="L699" s="44">
        <v>7.2000000000000348</v>
      </c>
      <c r="M699">
        <v>7.0442335413929413E-3</v>
      </c>
      <c r="N699">
        <v>-2.6004442731049302</v>
      </c>
      <c r="O699">
        <v>0</v>
      </c>
      <c r="P699">
        <v>0</v>
      </c>
      <c r="Q699">
        <v>9.1967691952571507E-6</v>
      </c>
      <c r="R699">
        <v>8.263643929829833E-9</v>
      </c>
      <c r="T699" s="60"/>
      <c r="Y699" s="98"/>
    </row>
    <row r="700" spans="3:25" x14ac:dyDescent="0.2">
      <c r="C700" s="70"/>
      <c r="D700" s="97"/>
      <c r="E700" s="29"/>
      <c r="F700" s="67"/>
      <c r="G700" s="67"/>
      <c r="H700" s="67"/>
      <c r="K700">
        <v>2</v>
      </c>
      <c r="L700" s="44">
        <v>7.2250000000000352</v>
      </c>
      <c r="M700">
        <v>7.0442335413929413E-3</v>
      </c>
      <c r="N700">
        <v>-2.6002681672663925</v>
      </c>
      <c r="O700">
        <v>0</v>
      </c>
      <c r="P700">
        <v>0</v>
      </c>
      <c r="Q700">
        <v>9.1968395663418069E-6</v>
      </c>
      <c r="R700">
        <v>-2.6338341532588305E-9</v>
      </c>
      <c r="T700" s="60"/>
      <c r="Y700" s="98"/>
    </row>
    <row r="701" spans="3:25" x14ac:dyDescent="0.2">
      <c r="C701" s="68"/>
      <c r="D701" s="95"/>
      <c r="E701" s="65"/>
      <c r="F701" s="66"/>
      <c r="G701" s="66"/>
      <c r="H701" s="66"/>
      <c r="K701">
        <v>2</v>
      </c>
      <c r="L701" s="44">
        <v>7.2500000000000355</v>
      </c>
      <c r="M701">
        <v>7.0442335413929413E-3</v>
      </c>
      <c r="N701">
        <v>-2.6000920614278549</v>
      </c>
      <c r="O701">
        <v>0</v>
      </c>
      <c r="P701">
        <v>0</v>
      </c>
      <c r="Q701">
        <v>9.1966375096996253E-6</v>
      </c>
      <c r="R701">
        <v>-1.3530574218408834E-8</v>
      </c>
      <c r="T701" s="60"/>
      <c r="Y701" s="98"/>
    </row>
    <row r="702" spans="3:25" x14ac:dyDescent="0.2">
      <c r="C702" s="69"/>
      <c r="D702" s="96"/>
      <c r="E702" s="29"/>
      <c r="F702" s="67"/>
      <c r="G702" s="67"/>
      <c r="H702" s="67"/>
      <c r="K702">
        <v>2</v>
      </c>
      <c r="L702" s="44">
        <v>7.2750000000000359</v>
      </c>
      <c r="M702">
        <v>7.0442335413929413E-3</v>
      </c>
      <c r="N702">
        <v>-2.5999159555893314</v>
      </c>
      <c r="O702">
        <v>0</v>
      </c>
      <c r="P702">
        <v>0</v>
      </c>
      <c r="Q702">
        <v>9.1961630437810483E-6</v>
      </c>
      <c r="R702">
        <v>-2.4426576265641614E-8</v>
      </c>
      <c r="T702" s="60"/>
      <c r="Y702" s="98"/>
    </row>
    <row r="703" spans="3:25" x14ac:dyDescent="0.2">
      <c r="C703" s="70"/>
      <c r="D703" s="97"/>
      <c r="E703" s="65"/>
      <c r="F703" s="66"/>
      <c r="G703" s="66"/>
      <c r="H703" s="66"/>
      <c r="K703">
        <v>2</v>
      </c>
      <c r="L703" s="44">
        <v>7.3000000000000362</v>
      </c>
      <c r="M703">
        <v>7.0442335413929413E-3</v>
      </c>
      <c r="N703">
        <v>-2.5997398497507938</v>
      </c>
      <c r="O703">
        <v>0</v>
      </c>
      <c r="P703">
        <v>0</v>
      </c>
      <c r="Q703">
        <v>9.1954161870365067E-6</v>
      </c>
      <c r="R703">
        <v>-3.5321840294935746E-8</v>
      </c>
      <c r="T703" s="60"/>
      <c r="Y703" s="98"/>
    </row>
    <row r="704" spans="3:25" x14ac:dyDescent="0.2">
      <c r="C704" s="68"/>
      <c r="D704" s="95"/>
      <c r="E704" s="29"/>
      <c r="F704" s="67"/>
      <c r="G704" s="67"/>
      <c r="H704" s="67"/>
      <c r="K704">
        <v>2</v>
      </c>
      <c r="L704" s="44">
        <v>7.3250000000000366</v>
      </c>
      <c r="M704">
        <v>7.0442335413929413E-3</v>
      </c>
      <c r="N704">
        <v>-2.5995637439122561</v>
      </c>
      <c r="O704">
        <v>0</v>
      </c>
      <c r="P704">
        <v>0</v>
      </c>
      <c r="Q704">
        <v>9.1943969579164468E-6</v>
      </c>
      <c r="R704">
        <v>-4.6216366306293585E-8</v>
      </c>
      <c r="T704" s="60"/>
      <c r="Y704" s="98"/>
    </row>
    <row r="705" spans="3:25" x14ac:dyDescent="0.2">
      <c r="C705" s="69"/>
      <c r="D705" s="96"/>
      <c r="E705" s="65"/>
      <c r="F705" s="66"/>
      <c r="G705" s="66"/>
      <c r="H705" s="66"/>
      <c r="K705">
        <v>2</v>
      </c>
      <c r="L705" s="44">
        <v>7.3500000000000369</v>
      </c>
      <c r="M705">
        <v>7.0442335413929413E-3</v>
      </c>
      <c r="N705">
        <v>-2.5993876380737184</v>
      </c>
      <c r="O705">
        <v>0</v>
      </c>
      <c r="P705">
        <v>0</v>
      </c>
      <c r="Q705">
        <v>9.1931053748713211E-6</v>
      </c>
      <c r="R705">
        <v>-5.7110154299722287E-8</v>
      </c>
      <c r="T705" s="60"/>
      <c r="Y705" s="98"/>
    </row>
    <row r="706" spans="3:25" x14ac:dyDescent="0.2">
      <c r="C706" s="70"/>
      <c r="D706" s="97"/>
      <c r="E706" s="29"/>
      <c r="F706" s="67"/>
      <c r="G706" s="67"/>
      <c r="H706" s="67"/>
      <c r="K706">
        <v>2</v>
      </c>
      <c r="L706" s="44">
        <v>7.3750000000000373</v>
      </c>
      <c r="M706">
        <v>7.0442335413929413E-3</v>
      </c>
      <c r="N706">
        <v>-2.5992115322351808</v>
      </c>
      <c r="O706">
        <v>0</v>
      </c>
      <c r="P706">
        <v>0</v>
      </c>
      <c r="Q706">
        <v>9.1915414563516013E-6</v>
      </c>
      <c r="R706">
        <v>-6.8003204275226616E-8</v>
      </c>
      <c r="T706" s="60"/>
      <c r="Y706" s="98"/>
    </row>
    <row r="707" spans="3:25" x14ac:dyDescent="0.2">
      <c r="C707" s="68"/>
      <c r="D707" s="95"/>
      <c r="E707" s="65"/>
      <c r="F707" s="66"/>
      <c r="G707" s="66"/>
      <c r="H707" s="66"/>
      <c r="K707">
        <v>2</v>
      </c>
      <c r="L707" s="44">
        <v>7.4000000000000377</v>
      </c>
      <c r="M707">
        <v>7.0442335413929413E-3</v>
      </c>
      <c r="N707">
        <v>-2.5990354263966573</v>
      </c>
      <c r="O707">
        <v>0</v>
      </c>
      <c r="P707">
        <v>0</v>
      </c>
      <c r="Q707">
        <v>9.1897052208077316E-6</v>
      </c>
      <c r="R707">
        <v>-7.8895516232801816E-8</v>
      </c>
      <c r="T707" s="60"/>
      <c r="Y707" s="98"/>
    </row>
    <row r="708" spans="3:25" x14ac:dyDescent="0.2">
      <c r="C708" s="69"/>
      <c r="D708" s="96"/>
      <c r="E708" s="29"/>
      <c r="F708" s="67"/>
      <c r="G708" s="67"/>
      <c r="H708" s="67"/>
      <c r="K708">
        <v>2</v>
      </c>
      <c r="L708" s="44">
        <v>7.425000000000038</v>
      </c>
      <c r="M708">
        <v>7.0442335413929413E-3</v>
      </c>
      <c r="N708">
        <v>-2.5988593205581196</v>
      </c>
      <c r="O708">
        <v>0</v>
      </c>
      <c r="P708">
        <v>0</v>
      </c>
      <c r="Q708">
        <v>9.1875966866901158E-6</v>
      </c>
      <c r="R708">
        <v>-8.9787090172438349E-8</v>
      </c>
      <c r="T708" s="60"/>
      <c r="Y708" s="98"/>
    </row>
    <row r="709" spans="3:25" x14ac:dyDescent="0.2">
      <c r="C709" s="70"/>
      <c r="D709" s="97"/>
      <c r="E709" s="65"/>
      <c r="F709" s="66"/>
      <c r="G709" s="66"/>
      <c r="H709" s="66"/>
      <c r="K709">
        <v>2</v>
      </c>
      <c r="L709" s="44">
        <v>7.4500000000000384</v>
      </c>
      <c r="M709">
        <v>7.0442335413929413E-3</v>
      </c>
      <c r="N709">
        <v>-2.598683214719582</v>
      </c>
      <c r="O709">
        <v>0</v>
      </c>
      <c r="P709">
        <v>0</v>
      </c>
      <c r="Q709">
        <v>9.1852158724492541E-6</v>
      </c>
      <c r="R709">
        <v>-1.0067792609415766E-7</v>
      </c>
      <c r="T709" s="60"/>
      <c r="Y709" s="98"/>
    </row>
    <row r="710" spans="3:25" x14ac:dyDescent="0.2">
      <c r="C710" s="68"/>
      <c r="D710" s="95"/>
      <c r="E710" s="29"/>
      <c r="F710" s="67"/>
      <c r="G710" s="67"/>
      <c r="H710" s="67"/>
      <c r="K710">
        <v>2</v>
      </c>
      <c r="L710" s="44">
        <v>7.4750000000000387</v>
      </c>
      <c r="M710">
        <v>7.0442335413929413E-3</v>
      </c>
      <c r="N710">
        <v>-2.5985071088810443</v>
      </c>
      <c r="O710">
        <v>0</v>
      </c>
      <c r="P710">
        <v>0</v>
      </c>
      <c r="Q710">
        <v>9.1825627965355519E-6</v>
      </c>
      <c r="R710">
        <v>-1.115680239979407E-7</v>
      </c>
      <c r="T710" s="60"/>
      <c r="Y710" s="98"/>
    </row>
    <row r="711" spans="3:25" x14ac:dyDescent="0.2">
      <c r="C711" s="69"/>
      <c r="D711" s="96"/>
      <c r="E711" s="65"/>
      <c r="F711" s="66"/>
      <c r="G711" s="66"/>
      <c r="H711" s="66"/>
      <c r="K711">
        <v>2</v>
      </c>
      <c r="L711" s="44">
        <v>7.5000000000000391</v>
      </c>
      <c r="M711">
        <v>7.0442335413929413E-3</v>
      </c>
      <c r="N711">
        <v>-2.5983310030425066</v>
      </c>
      <c r="O711">
        <v>0</v>
      </c>
      <c r="P711">
        <v>0</v>
      </c>
      <c r="Q711">
        <v>9.1796374773995061E-6</v>
      </c>
      <c r="R711">
        <v>-1.224573838837827E-7</v>
      </c>
      <c r="T711" s="60"/>
      <c r="Y711" s="98"/>
    </row>
    <row r="712" spans="3:25" x14ac:dyDescent="0.2">
      <c r="C712" s="70"/>
      <c r="D712" s="97"/>
      <c r="E712" s="29"/>
      <c r="F712" s="67"/>
      <c r="G712" s="67"/>
      <c r="H712" s="67"/>
      <c r="K712">
        <v>2</v>
      </c>
      <c r="L712" s="44">
        <v>7.5250000000000394</v>
      </c>
      <c r="M712">
        <v>7.0442335413929413E-3</v>
      </c>
      <c r="N712">
        <v>-2.5981548972039832</v>
      </c>
      <c r="O712">
        <v>0</v>
      </c>
      <c r="P712">
        <v>0</v>
      </c>
      <c r="Q712">
        <v>9.1764399334915339E-6</v>
      </c>
      <c r="R712">
        <v>-1.3334600575171223E-7</v>
      </c>
      <c r="T712" s="60"/>
      <c r="Y712" s="98"/>
    </row>
    <row r="713" spans="3:25" x14ac:dyDescent="0.2">
      <c r="C713" s="68"/>
      <c r="D713" s="95"/>
      <c r="E713" s="65"/>
      <c r="F713" s="66"/>
      <c r="G713" s="66"/>
      <c r="H713" s="66"/>
      <c r="K713">
        <v>2</v>
      </c>
      <c r="L713" s="44">
        <v>7.5500000000000398</v>
      </c>
      <c r="M713">
        <v>7.0442335413929413E-3</v>
      </c>
      <c r="N713">
        <v>-2.5979787913654455</v>
      </c>
      <c r="O713">
        <v>0</v>
      </c>
      <c r="P713">
        <v>0</v>
      </c>
      <c r="Q713">
        <v>9.1729701832620492E-6</v>
      </c>
      <c r="R713">
        <v>-1.4423388960170072E-7</v>
      </c>
      <c r="T713" s="60"/>
      <c r="Y713" s="98"/>
    </row>
    <row r="714" spans="3:25" x14ac:dyDescent="0.2">
      <c r="C714" s="69"/>
      <c r="D714" s="96"/>
      <c r="E714" s="29"/>
      <c r="F714" s="67"/>
      <c r="G714" s="67"/>
      <c r="H714" s="67"/>
      <c r="K714">
        <v>2</v>
      </c>
      <c r="L714" s="44">
        <v>7.5750000000000401</v>
      </c>
      <c r="M714">
        <v>7.0442335413929413E-3</v>
      </c>
      <c r="N714">
        <v>-2.5978026855269079</v>
      </c>
      <c r="O714">
        <v>0</v>
      </c>
      <c r="P714">
        <v>0</v>
      </c>
      <c r="Q714">
        <v>9.1692282451615894E-6</v>
      </c>
      <c r="R714">
        <v>-1.5512103543376245E-7</v>
      </c>
      <c r="T714" s="60"/>
      <c r="Y714" s="98"/>
    </row>
    <row r="715" spans="3:25" x14ac:dyDescent="0.2">
      <c r="C715" s="70"/>
      <c r="D715" s="97"/>
      <c r="E715" s="65"/>
      <c r="F715" s="66"/>
      <c r="G715" s="66"/>
      <c r="H715" s="66"/>
      <c r="K715">
        <v>2</v>
      </c>
      <c r="L715" s="44">
        <v>7.6000000000000405</v>
      </c>
      <c r="M715">
        <v>7.0442335413929413E-3</v>
      </c>
      <c r="N715">
        <v>-2.5976265796883702</v>
      </c>
      <c r="O715">
        <v>0</v>
      </c>
      <c r="P715">
        <v>0</v>
      </c>
      <c r="Q715">
        <v>9.1652141376405346E-6</v>
      </c>
      <c r="R715">
        <v>-1.6600744324789267E-7</v>
      </c>
      <c r="T715" s="60"/>
      <c r="Y715" s="98"/>
    </row>
    <row r="716" spans="3:25" x14ac:dyDescent="0.2">
      <c r="C716" s="68"/>
      <c r="D716" s="95"/>
      <c r="E716" s="29"/>
      <c r="F716" s="67"/>
      <c r="G716" s="67"/>
      <c r="H716" s="67"/>
      <c r="K716">
        <v>2</v>
      </c>
      <c r="L716" s="44">
        <v>7.6250000000000409</v>
      </c>
      <c r="M716">
        <v>7.0442335413929413E-3</v>
      </c>
      <c r="N716">
        <v>-2.5974504738498325</v>
      </c>
      <c r="O716">
        <v>0</v>
      </c>
      <c r="P716">
        <v>0</v>
      </c>
      <c r="Q716">
        <v>9.1609278791493461E-6</v>
      </c>
      <c r="R716">
        <v>-1.7689311304409138E-7</v>
      </c>
      <c r="T716" s="60"/>
      <c r="Y716" s="98"/>
    </row>
    <row r="717" spans="3:25" x14ac:dyDescent="0.2">
      <c r="C717" s="69"/>
      <c r="D717" s="96"/>
      <c r="E717" s="65"/>
      <c r="F717" s="66"/>
      <c r="G717" s="66"/>
      <c r="H717" s="66"/>
      <c r="K717">
        <v>2</v>
      </c>
      <c r="L717" s="44">
        <v>7.6500000000000412</v>
      </c>
      <c r="M717">
        <v>7.0442335413929413E-3</v>
      </c>
      <c r="N717">
        <v>-2.5972743680113091</v>
      </c>
      <c r="O717">
        <v>0</v>
      </c>
      <c r="P717">
        <v>0</v>
      </c>
      <c r="Q717">
        <v>9.156369488138475E-6</v>
      </c>
      <c r="R717">
        <v>-1.8777804482236333E-7</v>
      </c>
      <c r="T717" s="60"/>
      <c r="Y717" s="98"/>
    </row>
    <row r="718" spans="3:25" x14ac:dyDescent="0.2">
      <c r="C718" s="70"/>
      <c r="D718" s="97"/>
      <c r="E718" s="29"/>
      <c r="F718" s="67"/>
      <c r="G718" s="67"/>
      <c r="H718" s="67"/>
      <c r="K718">
        <v>2</v>
      </c>
      <c r="L718" s="44">
        <v>7.6750000000000416</v>
      </c>
      <c r="M718">
        <v>7.0442335413929413E-3</v>
      </c>
      <c r="N718">
        <v>-2.5970982621727714</v>
      </c>
      <c r="O718">
        <v>0</v>
      </c>
      <c r="P718">
        <v>0</v>
      </c>
      <c r="Q718">
        <v>9.1515389830583741E-6</v>
      </c>
      <c r="R718">
        <v>-1.98662238582699E-7</v>
      </c>
      <c r="T718" s="60"/>
      <c r="Y718" s="98"/>
    </row>
    <row r="719" spans="3:25" x14ac:dyDescent="0.2">
      <c r="C719" s="68"/>
      <c r="D719" s="95"/>
      <c r="E719" s="65"/>
      <c r="F719" s="66"/>
      <c r="G719" s="66"/>
      <c r="H719" s="66"/>
      <c r="K719">
        <v>2</v>
      </c>
      <c r="L719" s="44">
        <v>7.7000000000000419</v>
      </c>
      <c r="M719">
        <v>7.0442335413929413E-3</v>
      </c>
      <c r="N719">
        <v>-2.5969221563342337</v>
      </c>
      <c r="O719">
        <v>0</v>
      </c>
      <c r="P719">
        <v>0</v>
      </c>
      <c r="Q719">
        <v>9.1464363823594912E-6</v>
      </c>
      <c r="R719">
        <v>-2.0954569432510794E-7</v>
      </c>
      <c r="T719" s="60"/>
      <c r="Y719" s="98"/>
    </row>
    <row r="720" spans="3:25" x14ac:dyDescent="0.2">
      <c r="C720" s="69"/>
      <c r="D720" s="96"/>
      <c r="E720" s="29"/>
      <c r="F720" s="67"/>
      <c r="G720" s="67"/>
      <c r="H720" s="67"/>
      <c r="K720">
        <v>2</v>
      </c>
      <c r="L720" s="44">
        <v>7.7250000000000423</v>
      </c>
      <c r="M720">
        <v>7.0442335413929413E-3</v>
      </c>
      <c r="N720">
        <v>-2.5967460504956961</v>
      </c>
      <c r="O720">
        <v>0</v>
      </c>
      <c r="P720">
        <v>0</v>
      </c>
      <c r="Q720">
        <v>9.1410617044922638E-6</v>
      </c>
      <c r="R720">
        <v>-2.2042841204958534E-7</v>
      </c>
      <c r="T720" s="60"/>
      <c r="Y720" s="98"/>
    </row>
    <row r="721" spans="3:25" x14ac:dyDescent="0.2">
      <c r="C721" s="70"/>
      <c r="D721" s="97"/>
      <c r="E721" s="65"/>
      <c r="F721" s="66"/>
      <c r="G721" s="66"/>
      <c r="H721" s="66"/>
      <c r="K721">
        <v>2</v>
      </c>
      <c r="L721" s="44">
        <v>7.7500000000000426</v>
      </c>
      <c r="M721">
        <v>7.0442335413929413E-3</v>
      </c>
      <c r="N721">
        <v>-2.5965699446571584</v>
      </c>
      <c r="O721">
        <v>0</v>
      </c>
      <c r="P721">
        <v>0</v>
      </c>
      <c r="Q721">
        <v>9.1354149679071566E-6</v>
      </c>
      <c r="R721">
        <v>-2.3131039175613124E-7</v>
      </c>
      <c r="T721" s="60"/>
      <c r="Y721" s="98"/>
    </row>
    <row r="722" spans="3:25" x14ac:dyDescent="0.2">
      <c r="C722" s="68"/>
      <c r="D722" s="95"/>
      <c r="E722" s="29"/>
      <c r="F722" s="67"/>
      <c r="G722" s="67"/>
      <c r="H722" s="67"/>
      <c r="K722">
        <v>2</v>
      </c>
      <c r="L722" s="44">
        <v>7.775000000000043</v>
      </c>
      <c r="M722">
        <v>7.0442335413929413E-3</v>
      </c>
      <c r="N722">
        <v>-2.5963938388186349</v>
      </c>
      <c r="O722">
        <v>0</v>
      </c>
      <c r="P722">
        <v>0</v>
      </c>
      <c r="Q722">
        <v>9.1294961910546089E-6</v>
      </c>
      <c r="R722">
        <v>-2.4219163344475039E-7</v>
      </c>
      <c r="T722" s="60"/>
      <c r="Y722" s="98"/>
    </row>
    <row r="723" spans="3:25" x14ac:dyDescent="0.2">
      <c r="C723" s="69"/>
      <c r="D723" s="96"/>
      <c r="E723" s="65"/>
      <c r="F723" s="66"/>
      <c r="G723" s="66"/>
      <c r="H723" s="66"/>
      <c r="K723">
        <v>2</v>
      </c>
      <c r="L723" s="44">
        <v>7.8000000000000433</v>
      </c>
      <c r="M723">
        <v>7.0442335413929413E-3</v>
      </c>
      <c r="N723">
        <v>-2.5962177329800973</v>
      </c>
      <c r="O723">
        <v>0</v>
      </c>
      <c r="P723">
        <v>0</v>
      </c>
      <c r="Q723">
        <v>9.1233053923850583E-6</v>
      </c>
      <c r="R723">
        <v>-2.5307213711544275E-7</v>
      </c>
      <c r="T723" s="60"/>
      <c r="Y723" s="98"/>
    </row>
    <row r="724" spans="3:25" x14ac:dyDescent="0.2">
      <c r="C724" s="70"/>
      <c r="D724" s="97"/>
      <c r="E724" s="29"/>
      <c r="F724" s="67"/>
      <c r="G724" s="67"/>
      <c r="H724" s="67"/>
      <c r="K724">
        <v>2</v>
      </c>
      <c r="L724" s="44">
        <v>7.8250000000000437</v>
      </c>
      <c r="M724">
        <v>7.0442335413929413E-3</v>
      </c>
      <c r="N724">
        <v>-2.5960416271415596</v>
      </c>
      <c r="O724">
        <v>0</v>
      </c>
      <c r="P724">
        <v>0</v>
      </c>
      <c r="Q724">
        <v>9.1168425903489846E-6</v>
      </c>
      <c r="R724">
        <v>-2.6395190276819884E-7</v>
      </c>
      <c r="T724" s="60"/>
      <c r="Y724" s="98"/>
    </row>
    <row r="725" spans="3:25" x14ac:dyDescent="0.2">
      <c r="C725" s="68"/>
      <c r="D725" s="95"/>
      <c r="E725" s="65"/>
      <c r="F725" s="66"/>
      <c r="G725" s="66"/>
      <c r="H725" s="66"/>
      <c r="K725">
        <v>2</v>
      </c>
      <c r="L725" s="44">
        <v>7.8500000000000441</v>
      </c>
      <c r="M725">
        <v>7.0442335413929413E-3</v>
      </c>
      <c r="N725">
        <v>-2.5958655213030219</v>
      </c>
      <c r="O725">
        <v>0</v>
      </c>
      <c r="P725">
        <v>0</v>
      </c>
      <c r="Q725">
        <v>9.1101078033968204E-6</v>
      </c>
      <c r="R725">
        <v>-2.7483093040301867E-7</v>
      </c>
      <c r="T725" s="60"/>
      <c r="Y725" s="98"/>
    </row>
    <row r="726" spans="3:25" x14ac:dyDescent="0.2">
      <c r="C726" s="69"/>
      <c r="D726" s="96"/>
      <c r="E726" s="29"/>
      <c r="F726" s="67"/>
      <c r="G726" s="67"/>
      <c r="H726" s="67"/>
      <c r="K726">
        <v>2</v>
      </c>
      <c r="L726" s="44">
        <v>7.8750000000000444</v>
      </c>
      <c r="M726">
        <v>7.0442335413929413E-3</v>
      </c>
      <c r="N726">
        <v>-2.5956894154644843</v>
      </c>
      <c r="O726">
        <v>0</v>
      </c>
      <c r="P726">
        <v>0</v>
      </c>
      <c r="Q726">
        <v>9.1031010499789914E-6</v>
      </c>
      <c r="R726">
        <v>-2.8570922001992127E-7</v>
      </c>
      <c r="T726" s="60"/>
      <c r="Y726" s="98"/>
    </row>
    <row r="727" spans="3:25" x14ac:dyDescent="0.2">
      <c r="C727" s="70"/>
      <c r="D727" s="97"/>
      <c r="E727" s="65"/>
      <c r="F727" s="66"/>
      <c r="G727" s="66"/>
      <c r="H727" s="66"/>
      <c r="K727">
        <v>2</v>
      </c>
      <c r="L727" s="44">
        <v>7.9000000000000448</v>
      </c>
      <c r="M727">
        <v>7.0442335413929413E-3</v>
      </c>
      <c r="N727">
        <v>-2.5955133096259608</v>
      </c>
      <c r="O727">
        <v>0</v>
      </c>
      <c r="P727">
        <v>0</v>
      </c>
      <c r="Q727">
        <v>9.0958223485459623E-6</v>
      </c>
      <c r="R727">
        <v>-2.9658677161888285E-7</v>
      </c>
      <c r="T727" s="60"/>
      <c r="Y727" s="98"/>
    </row>
    <row r="728" spans="3:25" x14ac:dyDescent="0.2">
      <c r="C728" s="68"/>
      <c r="D728" s="95"/>
      <c r="E728" s="29"/>
      <c r="F728" s="67"/>
      <c r="G728" s="67"/>
      <c r="H728" s="67"/>
      <c r="K728">
        <v>2</v>
      </c>
      <c r="L728" s="44">
        <v>7.9250000000000451</v>
      </c>
      <c r="M728">
        <v>7.0442335413929413E-3</v>
      </c>
      <c r="N728">
        <v>-2.5953372037874232</v>
      </c>
      <c r="O728">
        <v>0</v>
      </c>
      <c r="P728">
        <v>0</v>
      </c>
      <c r="Q728">
        <v>9.0882717175481909E-6</v>
      </c>
      <c r="R728">
        <v>-3.0746358519992244E-7</v>
      </c>
      <c r="T728" s="60"/>
      <c r="Y728" s="98"/>
    </row>
    <row r="729" spans="3:25" x14ac:dyDescent="0.2">
      <c r="C729" s="69"/>
      <c r="D729" s="96"/>
      <c r="E729" s="65"/>
      <c r="F729" s="66"/>
      <c r="G729" s="66"/>
      <c r="H729" s="66"/>
      <c r="K729">
        <v>2</v>
      </c>
      <c r="L729" s="44">
        <v>7.9500000000000455</v>
      </c>
      <c r="M729">
        <v>7.0442335413929413E-3</v>
      </c>
      <c r="N729">
        <v>-2.5951610979488855</v>
      </c>
      <c r="O729">
        <v>0</v>
      </c>
      <c r="P729">
        <v>0</v>
      </c>
      <c r="Q729">
        <v>9.0804491754361132E-6</v>
      </c>
      <c r="R729">
        <v>-3.1833966076302095E-7</v>
      </c>
      <c r="T729" s="60"/>
      <c r="Y729" s="98"/>
    </row>
    <row r="730" spans="3:25" x14ac:dyDescent="0.2">
      <c r="C730" s="70"/>
      <c r="D730" s="97"/>
      <c r="E730" s="29"/>
      <c r="F730" s="67"/>
      <c r="G730" s="67"/>
      <c r="H730" s="67"/>
      <c r="K730">
        <v>2</v>
      </c>
      <c r="L730" s="44">
        <v>7.9750000000000458</v>
      </c>
      <c r="M730">
        <v>7.0442335413929413E-3</v>
      </c>
      <c r="N730">
        <v>-2.5949849921103478</v>
      </c>
      <c r="O730">
        <v>0</v>
      </c>
      <c r="P730">
        <v>0</v>
      </c>
      <c r="Q730">
        <v>9.072354740660204E-6</v>
      </c>
      <c r="R730">
        <v>-3.2921499830820225E-7</v>
      </c>
      <c r="T730" s="60"/>
      <c r="Y730" s="98"/>
    </row>
    <row r="731" spans="3:25" x14ac:dyDescent="0.2">
      <c r="C731" s="68"/>
      <c r="D731" s="95"/>
      <c r="E731" s="65"/>
      <c r="F731" s="66"/>
      <c r="G731" s="66"/>
      <c r="H731" s="66"/>
      <c r="K731">
        <v>2</v>
      </c>
      <c r="L731" s="44">
        <v>8.0000000000000462</v>
      </c>
      <c r="M731">
        <v>7.0442335413929413E-3</v>
      </c>
      <c r="N731">
        <v>-2.5948088862718102</v>
      </c>
      <c r="O731">
        <v>0</v>
      </c>
      <c r="P731">
        <v>0</v>
      </c>
      <c r="Q731">
        <v>9.0639884316708433E-6</v>
      </c>
      <c r="R731">
        <v>-3.4008959783544251E-7</v>
      </c>
      <c r="T731" s="60"/>
      <c r="Y731" s="98"/>
    </row>
    <row r="732" spans="3:25" x14ac:dyDescent="0.2">
      <c r="C732" s="69"/>
      <c r="D732" s="96"/>
      <c r="E732" s="29"/>
      <c r="F732" s="67"/>
      <c r="G732" s="67"/>
      <c r="H732" s="67"/>
      <c r="K732">
        <v>2</v>
      </c>
      <c r="L732" s="44">
        <v>8.0250000000000465</v>
      </c>
      <c r="M732">
        <v>7.0442335413929413E-3</v>
      </c>
      <c r="N732">
        <v>-2.5946327804332867</v>
      </c>
      <c r="O732">
        <v>0</v>
      </c>
      <c r="P732">
        <v>0</v>
      </c>
      <c r="Q732">
        <v>9.0553502669185636E-6</v>
      </c>
      <c r="R732">
        <v>-3.5096345934476074E-7</v>
      </c>
      <c r="T732" s="60"/>
      <c r="Y732" s="98"/>
    </row>
    <row r="733" spans="3:25" x14ac:dyDescent="0.2">
      <c r="C733" s="70"/>
      <c r="D733" s="97"/>
      <c r="E733" s="65"/>
      <c r="F733" s="66"/>
      <c r="G733" s="66"/>
      <c r="H733" s="66"/>
      <c r="K733">
        <v>2</v>
      </c>
      <c r="L733" s="44">
        <v>8.0500000000000469</v>
      </c>
      <c r="M733">
        <v>7.0442335413929413E-3</v>
      </c>
      <c r="N733">
        <v>-2.594456674594749</v>
      </c>
      <c r="O733">
        <v>0</v>
      </c>
      <c r="P733">
        <v>0</v>
      </c>
      <c r="Q733">
        <v>9.0464402648537752E-6</v>
      </c>
      <c r="R733">
        <v>-3.6183658283613799E-7</v>
      </c>
      <c r="T733" s="60"/>
      <c r="Y733" s="98"/>
    </row>
    <row r="734" spans="3:25" x14ac:dyDescent="0.2">
      <c r="C734" s="68"/>
      <c r="D734" s="95"/>
      <c r="E734" s="29"/>
      <c r="F734" s="67"/>
      <c r="G734" s="67"/>
      <c r="H734" s="67"/>
      <c r="K734">
        <v>2</v>
      </c>
      <c r="L734" s="44">
        <v>8.0750000000000473</v>
      </c>
      <c r="M734">
        <v>7.0442335413929413E-3</v>
      </c>
      <c r="N734">
        <v>-2.5942805687562114</v>
      </c>
      <c r="O734">
        <v>0</v>
      </c>
      <c r="P734">
        <v>0</v>
      </c>
      <c r="Q734">
        <v>9.0372584439269158E-6</v>
      </c>
      <c r="R734">
        <v>-3.7270896830959321E-7</v>
      </c>
      <c r="T734" s="60"/>
      <c r="Y734" s="98"/>
    </row>
    <row r="735" spans="3:25" x14ac:dyDescent="0.2">
      <c r="C735" s="69"/>
      <c r="D735" s="96"/>
      <c r="E735" s="65"/>
      <c r="F735" s="66"/>
      <c r="G735" s="66"/>
      <c r="H735" s="66"/>
      <c r="K735">
        <v>2</v>
      </c>
      <c r="L735" s="44">
        <v>8.1000000000000476</v>
      </c>
      <c r="M735">
        <v>7.0442335413929413E-3</v>
      </c>
      <c r="N735">
        <v>-2.5941044629176737</v>
      </c>
      <c r="O735">
        <v>0</v>
      </c>
      <c r="P735">
        <v>0</v>
      </c>
      <c r="Q735">
        <v>9.0278048225884161E-6</v>
      </c>
      <c r="R735">
        <v>-3.8358061576511693E-7</v>
      </c>
      <c r="T735" s="60"/>
      <c r="Y735" s="98"/>
    </row>
    <row r="736" spans="3:25" x14ac:dyDescent="0.2">
      <c r="C736" s="70"/>
      <c r="D736" s="97"/>
      <c r="E736" s="29"/>
      <c r="F736" s="67"/>
      <c r="G736" s="67"/>
      <c r="H736" s="67"/>
      <c r="K736">
        <v>2</v>
      </c>
      <c r="L736" s="44">
        <v>8.125000000000048</v>
      </c>
      <c r="M736">
        <v>7.0442335413929413E-3</v>
      </c>
      <c r="N736">
        <v>-2.593928357079136</v>
      </c>
      <c r="O736">
        <v>0</v>
      </c>
      <c r="P736">
        <v>0</v>
      </c>
      <c r="Q736">
        <v>9.0180794192887985E-6</v>
      </c>
      <c r="R736">
        <v>-3.9445152520270913E-7</v>
      </c>
      <c r="T736" s="60"/>
      <c r="Y736" s="98"/>
    </row>
    <row r="737" spans="3:25" x14ac:dyDescent="0.2">
      <c r="C737" s="68"/>
      <c r="D737" s="95"/>
      <c r="E737" s="65"/>
      <c r="F737" s="66"/>
      <c r="G737" s="66"/>
      <c r="H737" s="66"/>
      <c r="K737">
        <v>2</v>
      </c>
      <c r="L737" s="44">
        <v>8.1500000000000483</v>
      </c>
      <c r="M737">
        <v>7.0442335413929413E-3</v>
      </c>
      <c r="N737">
        <v>-2.5937522512406126</v>
      </c>
      <c r="O737">
        <v>0</v>
      </c>
      <c r="P737">
        <v>0</v>
      </c>
      <c r="Q737">
        <v>9.0080822524784548E-6</v>
      </c>
      <c r="R737">
        <v>-4.0532169662236984E-7</v>
      </c>
      <c r="T737" s="60"/>
      <c r="Y737" s="98"/>
    </row>
    <row r="738" spans="3:25" x14ac:dyDescent="0.2">
      <c r="C738" s="69"/>
      <c r="D738" s="96"/>
      <c r="E738" s="29"/>
      <c r="F738" s="67"/>
      <c r="G738" s="67"/>
      <c r="H738" s="67"/>
      <c r="K738">
        <v>2</v>
      </c>
      <c r="L738" s="44">
        <v>8.1750000000000487</v>
      </c>
      <c r="M738">
        <v>7.0442335413929413E-3</v>
      </c>
      <c r="N738">
        <v>-2.5935761454020749</v>
      </c>
      <c r="O738">
        <v>0</v>
      </c>
      <c r="P738">
        <v>0</v>
      </c>
      <c r="Q738">
        <v>8.997813340607853E-6</v>
      </c>
      <c r="R738">
        <v>-4.1619113002410856E-7</v>
      </c>
      <c r="T738" s="60"/>
      <c r="Y738" s="98"/>
    </row>
    <row r="739" spans="3:25" x14ac:dyDescent="0.2">
      <c r="C739" s="70"/>
      <c r="D739" s="97"/>
      <c r="E739" s="65"/>
      <c r="F739" s="66"/>
      <c r="G739" s="66"/>
      <c r="H739" s="66"/>
      <c r="K739">
        <v>2</v>
      </c>
      <c r="L739" s="44">
        <v>8.200000000000049</v>
      </c>
      <c r="M739">
        <v>7.0442335413929413E-3</v>
      </c>
      <c r="N739">
        <v>-2.5934000395635373</v>
      </c>
      <c r="O739">
        <v>0</v>
      </c>
      <c r="P739">
        <v>0</v>
      </c>
      <c r="Q739">
        <v>8.9872727021273851E-6</v>
      </c>
      <c r="R739">
        <v>-4.270598254079062E-7</v>
      </c>
      <c r="T739" s="60"/>
      <c r="Y739" s="98"/>
    </row>
    <row r="740" spans="3:25" x14ac:dyDescent="0.2">
      <c r="C740" s="68"/>
      <c r="D740" s="95"/>
      <c r="E740" s="29"/>
      <c r="F740" s="67"/>
      <c r="G740" s="67"/>
      <c r="H740" s="67"/>
      <c r="K740">
        <v>2</v>
      </c>
      <c r="L740" s="44">
        <v>8.2250000000000494</v>
      </c>
      <c r="M740">
        <v>7.0442335413929413E-3</v>
      </c>
      <c r="N740">
        <v>-2.5932239337249996</v>
      </c>
      <c r="O740">
        <v>0</v>
      </c>
      <c r="P740">
        <v>0</v>
      </c>
      <c r="Q740">
        <v>8.9764603554875715E-6</v>
      </c>
      <c r="R740">
        <v>-4.3792778277378186E-7</v>
      </c>
      <c r="T740" s="60"/>
      <c r="Y740" s="98"/>
    </row>
    <row r="741" spans="3:25" x14ac:dyDescent="0.2">
      <c r="C741" s="69"/>
      <c r="D741" s="96"/>
      <c r="E741" s="65"/>
      <c r="F741" s="66"/>
      <c r="G741" s="66"/>
      <c r="H741" s="66"/>
      <c r="K741">
        <v>2</v>
      </c>
      <c r="L741" s="44">
        <v>8.2500000000000497</v>
      </c>
      <c r="M741">
        <v>7.0442335413929413E-3</v>
      </c>
      <c r="N741">
        <v>-2.5930478278864619</v>
      </c>
      <c r="O741">
        <v>0</v>
      </c>
      <c r="P741">
        <v>0</v>
      </c>
      <c r="Q741">
        <v>8.9653763191388752E-6</v>
      </c>
      <c r="R741">
        <v>-4.4879500212173078E-7</v>
      </c>
      <c r="T741" s="60"/>
      <c r="Y741" s="98"/>
    </row>
    <row r="742" spans="3:25" x14ac:dyDescent="0.2">
      <c r="C742" s="70"/>
      <c r="D742" s="97"/>
      <c r="E742" s="29"/>
      <c r="F742" s="67"/>
      <c r="G742" s="67"/>
      <c r="H742" s="67"/>
      <c r="K742">
        <v>2</v>
      </c>
      <c r="L742" s="44">
        <v>8.2750000000000501</v>
      </c>
      <c r="M742">
        <v>7.0442335413929413E-3</v>
      </c>
      <c r="N742">
        <v>-2.5928717220479385</v>
      </c>
      <c r="O742">
        <v>0</v>
      </c>
      <c r="P742">
        <v>0</v>
      </c>
      <c r="Q742">
        <v>8.9540206115316323E-6</v>
      </c>
      <c r="R742">
        <v>-4.596614834517339E-7</v>
      </c>
      <c r="T742" s="60"/>
      <c r="Y742" s="98"/>
    </row>
    <row r="743" spans="3:25" x14ac:dyDescent="0.2">
      <c r="D743" s="63"/>
      <c r="E743" s="65"/>
      <c r="F743" s="66"/>
      <c r="G743" s="66"/>
      <c r="H743" s="66"/>
      <c r="K743">
        <v>2</v>
      </c>
      <c r="L743" s="44">
        <v>8.3000000000000504</v>
      </c>
      <c r="M743">
        <v>7.0442335413929413E-3</v>
      </c>
      <c r="N743">
        <v>-2.5926956162094008</v>
      </c>
      <c r="O743">
        <v>0</v>
      </c>
      <c r="P743">
        <v>0</v>
      </c>
      <c r="Q743">
        <v>8.9423932511164208E-6</v>
      </c>
      <c r="R743">
        <v>-4.7052722676381981E-7</v>
      </c>
      <c r="T743" s="60"/>
      <c r="Y743" s="98"/>
    </row>
    <row r="744" spans="3:25" x14ac:dyDescent="0.2">
      <c r="D744" s="63"/>
      <c r="E744" s="29"/>
      <c r="F744" s="67"/>
      <c r="G744" s="67"/>
      <c r="H744" s="67"/>
      <c r="K744">
        <v>2</v>
      </c>
      <c r="L744" s="44">
        <v>8.3250000000000508</v>
      </c>
      <c r="M744">
        <v>7.0442335413929413E-3</v>
      </c>
      <c r="N744">
        <v>-2.5925195103708631</v>
      </c>
      <c r="O744">
        <v>0</v>
      </c>
      <c r="P744">
        <v>0</v>
      </c>
      <c r="Q744">
        <v>8.930494256343614E-6</v>
      </c>
      <c r="R744">
        <v>-4.8139223205796463E-7</v>
      </c>
      <c r="T744" s="60"/>
      <c r="Y744" s="98"/>
    </row>
    <row r="745" spans="3:25" x14ac:dyDescent="0.2">
      <c r="D745" s="63"/>
      <c r="E745" s="65"/>
      <c r="F745" s="66"/>
      <c r="G745" s="66"/>
      <c r="H745" s="66"/>
      <c r="K745">
        <v>2</v>
      </c>
      <c r="L745" s="44">
        <v>8.3500000000000512</v>
      </c>
      <c r="M745">
        <v>7.0442335413929413E-3</v>
      </c>
      <c r="N745">
        <v>-2.5923434045323255</v>
      </c>
      <c r="O745">
        <v>0</v>
      </c>
      <c r="P745">
        <v>0</v>
      </c>
      <c r="Q745">
        <v>8.9183236456636748E-6</v>
      </c>
      <c r="R745">
        <v>-4.92256499334178E-7</v>
      </c>
      <c r="T745" s="60"/>
      <c r="Y745" s="98"/>
    </row>
    <row r="746" spans="3:25" x14ac:dyDescent="0.2">
      <c r="D746" s="63"/>
      <c r="E746" s="29"/>
      <c r="F746" s="67"/>
      <c r="G746" s="67"/>
      <c r="H746" s="67"/>
      <c r="K746">
        <v>2</v>
      </c>
      <c r="L746" s="44">
        <v>8.3750000000000515</v>
      </c>
      <c r="M746">
        <v>7.0442335413929413E-3</v>
      </c>
      <c r="N746">
        <v>-2.5921672986937878</v>
      </c>
      <c r="O746">
        <v>0</v>
      </c>
      <c r="P746">
        <v>0</v>
      </c>
      <c r="Q746">
        <v>8.905881437527051E-6</v>
      </c>
      <c r="R746">
        <v>-5.0312002859247892E-7</v>
      </c>
      <c r="T746" s="60"/>
      <c r="Y746" s="98"/>
    </row>
    <row r="747" spans="3:25" x14ac:dyDescent="0.2">
      <c r="D747" s="63"/>
      <c r="E747" s="65"/>
      <c r="F747" s="66"/>
      <c r="G747" s="66"/>
      <c r="H747" s="66"/>
      <c r="K747">
        <v>2</v>
      </c>
      <c r="L747" s="44">
        <v>8.4000000000000519</v>
      </c>
      <c r="M747">
        <v>7.0442335413929413E-3</v>
      </c>
      <c r="N747">
        <v>-2.5919911928552644</v>
      </c>
      <c r="O747">
        <v>0</v>
      </c>
      <c r="P747">
        <v>0</v>
      </c>
      <c r="Q747">
        <v>8.8931676503841904E-6</v>
      </c>
      <c r="R747">
        <v>-5.139828198328387E-7</v>
      </c>
      <c r="T747" s="60"/>
      <c r="Y747" s="98"/>
    </row>
    <row r="748" spans="3:25" x14ac:dyDescent="0.2">
      <c r="D748" s="63"/>
      <c r="E748" s="29"/>
      <c r="F748" s="67"/>
      <c r="G748" s="67"/>
      <c r="H748" s="67"/>
      <c r="K748">
        <v>2</v>
      </c>
      <c r="L748" s="44">
        <v>8.4250000000000522</v>
      </c>
      <c r="M748">
        <v>7.0442335413929413E-3</v>
      </c>
      <c r="N748">
        <v>-2.5918150870167267</v>
      </c>
      <c r="O748">
        <v>0</v>
      </c>
      <c r="P748">
        <v>0</v>
      </c>
      <c r="Q748">
        <v>8.8801823026855763E-6</v>
      </c>
      <c r="R748">
        <v>-5.2484487305527184E-7</v>
      </c>
      <c r="T748" s="60"/>
      <c r="Y748" s="98"/>
    </row>
    <row r="749" spans="3:25" x14ac:dyDescent="0.2">
      <c r="D749" s="63"/>
      <c r="E749" s="65"/>
      <c r="F749" s="66"/>
      <c r="G749" s="66"/>
      <c r="H749" s="66"/>
      <c r="K749">
        <v>2</v>
      </c>
      <c r="L749" s="44">
        <v>8.4500000000000526</v>
      </c>
      <c r="M749">
        <v>7.0442335413929413E-3</v>
      </c>
      <c r="N749">
        <v>-2.591638981178189</v>
      </c>
      <c r="O749">
        <v>0</v>
      </c>
      <c r="P749">
        <v>0</v>
      </c>
      <c r="Q749">
        <v>8.8669254128815767E-6</v>
      </c>
      <c r="R749">
        <v>-5.3570618825975431E-7</v>
      </c>
      <c r="T749" s="60"/>
      <c r="Y749" s="98"/>
    </row>
    <row r="750" spans="3:25" x14ac:dyDescent="0.2">
      <c r="D750" s="63"/>
      <c r="E750" s="29"/>
      <c r="F750" s="67"/>
      <c r="G750" s="67"/>
      <c r="H750" s="67"/>
      <c r="K750">
        <v>2</v>
      </c>
      <c r="L750" s="44">
        <v>8.4750000000000529</v>
      </c>
      <c r="M750">
        <v>7.0442335413929413E-3</v>
      </c>
      <c r="N750">
        <v>-2.5914628753396514</v>
      </c>
      <c r="O750">
        <v>0</v>
      </c>
      <c r="P750">
        <v>0</v>
      </c>
      <c r="Q750">
        <v>8.8533969994227004E-6</v>
      </c>
      <c r="R750">
        <v>-5.4656676544633387E-7</v>
      </c>
      <c r="T750" s="60"/>
      <c r="Y750" s="98"/>
    </row>
    <row r="751" spans="3:25" x14ac:dyDescent="0.2">
      <c r="D751" s="63"/>
      <c r="E751" s="65"/>
      <c r="F751" s="66"/>
      <c r="G751" s="66"/>
      <c r="H751" s="66"/>
      <c r="K751">
        <v>2</v>
      </c>
      <c r="L751" s="44">
        <v>8.5000000000000533</v>
      </c>
      <c r="M751">
        <v>7.0442335413929413E-3</v>
      </c>
      <c r="N751">
        <v>-2.5912867695011137</v>
      </c>
      <c r="O751">
        <v>0</v>
      </c>
      <c r="P751">
        <v>0</v>
      </c>
      <c r="Q751">
        <v>8.8395970807594087E-6</v>
      </c>
      <c r="R751">
        <v>-5.5742660461497239E-7</v>
      </c>
      <c r="T751" s="60"/>
      <c r="Y751" s="98"/>
    </row>
    <row r="752" spans="3:25" x14ac:dyDescent="0.2">
      <c r="D752" s="63"/>
      <c r="E752" s="29"/>
      <c r="F752" s="67"/>
      <c r="G752" s="67"/>
      <c r="H752" s="67"/>
      <c r="K752">
        <v>2</v>
      </c>
      <c r="L752" s="44">
        <v>8.5250000000000536</v>
      </c>
      <c r="M752">
        <v>7.0442335413929413E-3</v>
      </c>
      <c r="N752">
        <v>-2.5911106636625902</v>
      </c>
      <c r="O752">
        <v>0</v>
      </c>
      <c r="P752">
        <v>0</v>
      </c>
      <c r="Q752">
        <v>8.8255256753421307E-6</v>
      </c>
      <c r="R752">
        <v>-5.6828570576568893E-7</v>
      </c>
      <c r="T752" s="60"/>
      <c r="Y752" s="98"/>
    </row>
    <row r="753" spans="4:25" x14ac:dyDescent="0.2">
      <c r="D753" s="63"/>
      <c r="E753" s="65"/>
      <c r="F753" s="66"/>
      <c r="G753" s="66"/>
      <c r="H753" s="66"/>
      <c r="K753">
        <v>2</v>
      </c>
      <c r="L753" s="44">
        <v>8.550000000000054</v>
      </c>
      <c r="M753">
        <v>7.0442335413929413E-3</v>
      </c>
      <c r="N753">
        <v>-2.5909345578240526</v>
      </c>
      <c r="O753">
        <v>0</v>
      </c>
      <c r="P753">
        <v>0</v>
      </c>
      <c r="Q753">
        <v>8.8111828016212768E-6</v>
      </c>
      <c r="R753">
        <v>-5.7914406889845957E-7</v>
      </c>
      <c r="T753" s="60"/>
      <c r="Y753" s="98"/>
    </row>
    <row r="754" spans="4:25" x14ac:dyDescent="0.2">
      <c r="D754" s="63"/>
      <c r="E754" s="29"/>
      <c r="F754" s="67"/>
      <c r="G754" s="67"/>
      <c r="H754" s="67"/>
      <c r="K754">
        <v>2</v>
      </c>
      <c r="L754" s="44">
        <v>8.5750000000000544</v>
      </c>
      <c r="M754">
        <v>7.0442335413929413E-3</v>
      </c>
      <c r="N754">
        <v>-2.5907584519855149</v>
      </c>
      <c r="O754">
        <v>0</v>
      </c>
      <c r="P754">
        <v>0</v>
      </c>
      <c r="Q754">
        <v>8.7965684780473661E-6</v>
      </c>
      <c r="R754">
        <v>-5.9000169401330834E-7</v>
      </c>
      <c r="T754" s="60"/>
      <c r="Y754" s="98"/>
    </row>
    <row r="755" spans="4:25" x14ac:dyDescent="0.2">
      <c r="D755" s="63"/>
      <c r="E755" s="65"/>
      <c r="F755" s="66"/>
      <c r="G755" s="66"/>
      <c r="H755" s="66"/>
      <c r="K755">
        <v>2</v>
      </c>
      <c r="L755" s="44">
        <v>8.6000000000000547</v>
      </c>
      <c r="M755">
        <v>7.0442335413929413E-3</v>
      </c>
      <c r="N755">
        <v>-2.5905823461469772</v>
      </c>
      <c r="O755">
        <v>0</v>
      </c>
      <c r="P755">
        <v>0</v>
      </c>
      <c r="Q755">
        <v>8.7816827230707902E-6</v>
      </c>
      <c r="R755">
        <v>-6.0085858111022073E-7</v>
      </c>
      <c r="T755" s="60"/>
      <c r="Y755" s="98"/>
    </row>
    <row r="756" spans="4:25" x14ac:dyDescent="0.2">
      <c r="D756" s="63"/>
      <c r="E756" s="29"/>
      <c r="F756" s="67"/>
      <c r="G756" s="67"/>
      <c r="H756" s="67"/>
      <c r="K756">
        <v>2</v>
      </c>
      <c r="L756" s="44">
        <v>8.6250000000000551</v>
      </c>
      <c r="M756">
        <v>7.0442335413929413E-3</v>
      </c>
      <c r="N756">
        <v>-2.5904062403084396</v>
      </c>
      <c r="O756">
        <v>0</v>
      </c>
      <c r="P756">
        <v>0</v>
      </c>
      <c r="Q756">
        <v>8.7665255551419969E-6</v>
      </c>
      <c r="R756">
        <v>-6.1171473018920648E-7</v>
      </c>
      <c r="T756" s="60"/>
      <c r="Y756" s="98"/>
    </row>
    <row r="757" spans="4:25" x14ac:dyDescent="0.2">
      <c r="D757" s="63"/>
      <c r="E757" s="65"/>
      <c r="F757" s="66"/>
      <c r="G757" s="66"/>
      <c r="H757" s="66"/>
      <c r="K757">
        <v>2</v>
      </c>
      <c r="L757" s="44">
        <v>8.6500000000000554</v>
      </c>
      <c r="M757">
        <v>7.0442335413929413E-3</v>
      </c>
      <c r="N757">
        <v>-2.5902301344699161</v>
      </c>
      <c r="O757">
        <v>0</v>
      </c>
      <c r="P757">
        <v>0</v>
      </c>
      <c r="Q757">
        <v>8.7510969927114476E-6</v>
      </c>
      <c r="R757">
        <v>-6.2257014125025586E-7</v>
      </c>
      <c r="T757" s="60"/>
      <c r="Y757" s="98"/>
    </row>
    <row r="758" spans="4:25" x14ac:dyDescent="0.2">
      <c r="D758" s="63"/>
      <c r="E758" s="29"/>
      <c r="F758" s="67"/>
      <c r="G758" s="67"/>
      <c r="H758" s="67"/>
      <c r="K758">
        <v>2</v>
      </c>
      <c r="L758" s="44">
        <v>8.6750000000000558</v>
      </c>
      <c r="M758">
        <v>7.0442335413929413E-3</v>
      </c>
      <c r="N758">
        <v>-2.5900540286313785</v>
      </c>
      <c r="O758">
        <v>0</v>
      </c>
      <c r="P758">
        <v>0</v>
      </c>
      <c r="Q758">
        <v>8.7353970542296323E-6</v>
      </c>
      <c r="R758">
        <v>-6.3342481429337861E-7</v>
      </c>
      <c r="T758" s="60"/>
      <c r="Y758" s="98"/>
    </row>
    <row r="759" spans="4:25" x14ac:dyDescent="0.2">
      <c r="D759" s="63"/>
      <c r="E759" s="65"/>
      <c r="F759" s="66"/>
      <c r="G759" s="66"/>
      <c r="H759" s="66"/>
      <c r="K759">
        <v>2</v>
      </c>
      <c r="L759" s="44">
        <v>8.7000000000000561</v>
      </c>
      <c r="M759">
        <v>7.0442335413929413E-3</v>
      </c>
      <c r="N759">
        <v>-2.5898779227928408</v>
      </c>
      <c r="O759">
        <v>0</v>
      </c>
      <c r="P759">
        <v>0</v>
      </c>
      <c r="Q759">
        <v>8.7194257581469021E-6</v>
      </c>
      <c r="R759">
        <v>-6.4427874931857927E-7</v>
      </c>
      <c r="T759" s="60"/>
      <c r="Y759" s="98"/>
    </row>
    <row r="760" spans="4:25" x14ac:dyDescent="0.2">
      <c r="D760" s="63"/>
      <c r="E760" s="29"/>
      <c r="F760" s="67"/>
      <c r="G760" s="67"/>
      <c r="H760" s="67"/>
      <c r="K760">
        <v>2</v>
      </c>
      <c r="L760" s="44">
        <v>8.7250000000000565</v>
      </c>
      <c r="M760">
        <v>7.0442335413929413E-3</v>
      </c>
      <c r="N760">
        <v>-2.5897018169543031</v>
      </c>
      <c r="O760">
        <v>0</v>
      </c>
      <c r="P760">
        <v>0</v>
      </c>
      <c r="Q760">
        <v>8.703183122913793E-6</v>
      </c>
      <c r="R760">
        <v>-6.55131946325839E-7</v>
      </c>
      <c r="T760" s="60"/>
      <c r="Y760" s="98"/>
    </row>
    <row r="761" spans="4:25" x14ac:dyDescent="0.2">
      <c r="D761" s="63"/>
      <c r="E761" s="65"/>
      <c r="F761" s="66"/>
      <c r="G761" s="66"/>
      <c r="H761" s="66"/>
      <c r="K761">
        <v>2</v>
      </c>
      <c r="L761" s="44">
        <v>8.7500000000000568</v>
      </c>
      <c r="M761">
        <v>7.0442335413929413E-3</v>
      </c>
      <c r="N761">
        <v>-2.5895257111157655</v>
      </c>
      <c r="O761">
        <v>0</v>
      </c>
      <c r="P761">
        <v>0</v>
      </c>
      <c r="Q761">
        <v>8.6866691669807781E-6</v>
      </c>
      <c r="R761">
        <v>-6.6598440531518618E-7</v>
      </c>
      <c r="T761" s="60"/>
      <c r="Y761" s="98"/>
    </row>
    <row r="762" spans="4:25" x14ac:dyDescent="0.2">
      <c r="D762" s="63"/>
      <c r="E762" s="29"/>
      <c r="F762" s="67"/>
      <c r="G762" s="67"/>
      <c r="H762" s="67"/>
      <c r="K762">
        <v>2</v>
      </c>
      <c r="L762" s="44">
        <v>8.7750000000000572</v>
      </c>
      <c r="M762">
        <v>7.0442335413929413E-3</v>
      </c>
      <c r="N762">
        <v>-2.589349605277242</v>
      </c>
      <c r="O762">
        <v>0</v>
      </c>
      <c r="P762">
        <v>0</v>
      </c>
      <c r="Q762">
        <v>8.6698839087982407E-6</v>
      </c>
      <c r="R762">
        <v>-6.7683612628659232E-7</v>
      </c>
      <c r="T762" s="60"/>
      <c r="Y762" s="98"/>
    </row>
    <row r="763" spans="4:25" x14ac:dyDescent="0.2">
      <c r="D763" s="63"/>
      <c r="E763" s="65"/>
      <c r="F763" s="66"/>
      <c r="G763" s="66"/>
      <c r="H763" s="66"/>
      <c r="K763">
        <v>2</v>
      </c>
      <c r="L763" s="44">
        <v>8.8000000000000576</v>
      </c>
      <c r="M763">
        <v>7.0442335413929413E-3</v>
      </c>
      <c r="N763">
        <v>-2.5891734994387043</v>
      </c>
      <c r="O763">
        <v>0</v>
      </c>
      <c r="P763">
        <v>0</v>
      </c>
      <c r="Q763">
        <v>8.6528273668165914E-6</v>
      </c>
      <c r="R763">
        <v>-6.8768710924005266E-7</v>
      </c>
      <c r="T763" s="60"/>
      <c r="Y763" s="98"/>
    </row>
    <row r="764" spans="4:25" x14ac:dyDescent="0.2">
      <c r="D764" s="63"/>
      <c r="E764" s="29"/>
      <c r="F764" s="67"/>
      <c r="G764" s="67"/>
      <c r="H764" s="67"/>
      <c r="K764">
        <v>2</v>
      </c>
      <c r="L764" s="44">
        <v>8.8250000000000579</v>
      </c>
      <c r="M764">
        <v>7.0442335413929413E-3</v>
      </c>
      <c r="N764">
        <v>-2.5889973936001667</v>
      </c>
      <c r="O764">
        <v>0</v>
      </c>
      <c r="P764">
        <v>0</v>
      </c>
      <c r="Q764">
        <v>8.6354995594863574E-6</v>
      </c>
      <c r="R764">
        <v>-6.9853735417560056E-7</v>
      </c>
      <c r="T764" s="60"/>
      <c r="Y764" s="98"/>
    </row>
    <row r="765" spans="4:25" x14ac:dyDescent="0.2">
      <c r="D765" s="63"/>
      <c r="E765" s="65"/>
      <c r="F765" s="66"/>
      <c r="G765" s="66"/>
      <c r="H765" s="66"/>
      <c r="K765">
        <v>2</v>
      </c>
      <c r="L765" s="44">
        <v>8.8500000000000583</v>
      </c>
      <c r="M765">
        <v>7.0442335413929413E-3</v>
      </c>
      <c r="N765">
        <v>-2.588821287761629</v>
      </c>
      <c r="O765">
        <v>0</v>
      </c>
      <c r="P765">
        <v>0</v>
      </c>
      <c r="Q765">
        <v>8.6179005052579577E-6</v>
      </c>
      <c r="R765">
        <v>-7.0938686109321685E-7</v>
      </c>
      <c r="T765" s="60"/>
      <c r="Y765" s="98"/>
    </row>
    <row r="766" spans="4:25" x14ac:dyDescent="0.2">
      <c r="D766" s="63"/>
      <c r="E766" s="29"/>
      <c r="F766" s="67"/>
      <c r="G766" s="67"/>
      <c r="H766" s="67"/>
      <c r="K766">
        <v>2</v>
      </c>
      <c r="L766" s="44">
        <v>8.8750000000000586</v>
      </c>
      <c r="M766">
        <v>7.0442335413929413E-3</v>
      </c>
      <c r="N766">
        <v>-2.5886451819230913</v>
      </c>
      <c r="O766">
        <v>0</v>
      </c>
      <c r="P766">
        <v>0</v>
      </c>
      <c r="Q766">
        <v>8.6000302225818282E-6</v>
      </c>
      <c r="R766">
        <v>-7.202356299929065E-7</v>
      </c>
      <c r="T766" s="60"/>
      <c r="Y766" s="98"/>
    </row>
    <row r="767" spans="4:25" x14ac:dyDescent="0.2">
      <c r="D767" s="63"/>
      <c r="E767" s="65"/>
      <c r="F767" s="66"/>
      <c r="G767" s="66"/>
      <c r="H767" s="66"/>
      <c r="K767">
        <v>2</v>
      </c>
      <c r="L767" s="44">
        <v>8.900000000000059</v>
      </c>
      <c r="M767">
        <v>7.0442335413929413E-3</v>
      </c>
      <c r="N767">
        <v>-2.5884690760845679</v>
      </c>
      <c r="O767">
        <v>0</v>
      </c>
      <c r="P767">
        <v>0</v>
      </c>
      <c r="Q767">
        <v>8.5818887299084691E-6</v>
      </c>
      <c r="R767">
        <v>-7.3108366087465024E-7</v>
      </c>
      <c r="T767" s="60"/>
      <c r="Y767" s="98"/>
    </row>
    <row r="768" spans="4:25" x14ac:dyDescent="0.2">
      <c r="D768" s="63"/>
      <c r="E768" s="29"/>
      <c r="F768" s="67"/>
      <c r="G768" s="67"/>
      <c r="H768" s="67"/>
      <c r="K768">
        <v>2</v>
      </c>
      <c r="L768" s="44">
        <v>8.9250000000000593</v>
      </c>
      <c r="M768">
        <v>7.0442335413929413E-3</v>
      </c>
      <c r="N768">
        <v>-2.5882929702460302</v>
      </c>
      <c r="O768">
        <v>0</v>
      </c>
      <c r="P768">
        <v>0</v>
      </c>
      <c r="Q768">
        <v>8.563476045688269E-6</v>
      </c>
      <c r="R768">
        <v>-7.4193095373847211E-7</v>
      </c>
      <c r="T768" s="60"/>
      <c r="Y768" s="98"/>
    </row>
    <row r="769" spans="4:25" x14ac:dyDescent="0.2">
      <c r="D769" s="63"/>
      <c r="E769" s="65"/>
      <c r="F769" s="66"/>
      <c r="G769" s="66"/>
      <c r="H769" s="66"/>
      <c r="K769">
        <v>2</v>
      </c>
      <c r="L769" s="44">
        <v>8.9500000000000597</v>
      </c>
      <c r="M769">
        <v>7.0442335413929413E-3</v>
      </c>
      <c r="N769">
        <v>-2.5881168644074926</v>
      </c>
      <c r="O769">
        <v>0</v>
      </c>
      <c r="P769">
        <v>0</v>
      </c>
      <c r="Q769">
        <v>8.5447921883717144E-6</v>
      </c>
      <c r="R769">
        <v>-7.5277750858437677E-7</v>
      </c>
      <c r="T769" s="60"/>
      <c r="Y769" s="98"/>
    </row>
    <row r="770" spans="4:25" x14ac:dyDescent="0.2">
      <c r="D770" s="63"/>
      <c r="E770" s="29"/>
      <c r="F770" s="67"/>
      <c r="G770" s="67"/>
      <c r="H770" s="67"/>
      <c r="K770">
        <v>2</v>
      </c>
      <c r="L770" s="44">
        <v>8.97500000000006</v>
      </c>
      <c r="M770">
        <v>7.0442335413929413E-3</v>
      </c>
      <c r="N770">
        <v>-2.5879407585689549</v>
      </c>
      <c r="O770">
        <v>0</v>
      </c>
      <c r="P770">
        <v>0</v>
      </c>
      <c r="Q770">
        <v>8.5258371764091922E-6</v>
      </c>
      <c r="R770">
        <v>-7.6362332541233076E-7</v>
      </c>
      <c r="T770" s="60"/>
      <c r="Y770" s="98"/>
    </row>
    <row r="771" spans="4:25" x14ac:dyDescent="0.2">
      <c r="D771" s="63"/>
      <c r="E771" s="65"/>
      <c r="F771" s="66"/>
      <c r="G771" s="66"/>
      <c r="H771" s="66"/>
      <c r="K771">
        <v>2</v>
      </c>
      <c r="L771" s="44">
        <v>9.0000000000000604</v>
      </c>
      <c r="M771">
        <v>7.0442335413929413E-3</v>
      </c>
      <c r="N771">
        <v>-2.5877646527304172</v>
      </c>
      <c r="O771">
        <v>0</v>
      </c>
      <c r="P771">
        <v>0</v>
      </c>
      <c r="Q771">
        <v>8.5066110282512264E-6</v>
      </c>
      <c r="R771">
        <v>-7.7446840422235801E-7</v>
      </c>
      <c r="T771" s="60"/>
      <c r="Y771" s="98"/>
    </row>
    <row r="772" spans="4:25" x14ac:dyDescent="0.2">
      <c r="D772" s="63"/>
      <c r="E772" s="29"/>
      <c r="F772" s="67"/>
      <c r="G772" s="67"/>
      <c r="H772" s="67"/>
      <c r="K772">
        <v>2</v>
      </c>
      <c r="L772" s="44">
        <v>9.0250000000000608</v>
      </c>
      <c r="M772">
        <v>7.0442335413929413E-3</v>
      </c>
      <c r="N772">
        <v>-2.5875885468918938</v>
      </c>
      <c r="O772">
        <v>0</v>
      </c>
      <c r="P772">
        <v>0</v>
      </c>
      <c r="Q772">
        <v>8.4871137623482273E-6</v>
      </c>
      <c r="R772">
        <v>-7.8531274501445852E-7</v>
      </c>
      <c r="T772" s="60"/>
      <c r="Y772" s="98"/>
    </row>
    <row r="773" spans="4:25" x14ac:dyDescent="0.2">
      <c r="D773" s="63"/>
      <c r="E773" s="65"/>
      <c r="F773" s="66"/>
      <c r="G773" s="66"/>
      <c r="H773" s="66"/>
      <c r="K773">
        <v>2</v>
      </c>
      <c r="L773" s="44">
        <v>9.0500000000000611</v>
      </c>
      <c r="M773">
        <v>7.0442335413929413E-3</v>
      </c>
      <c r="N773">
        <v>-2.5874124410533561</v>
      </c>
      <c r="O773">
        <v>0</v>
      </c>
      <c r="P773">
        <v>0</v>
      </c>
      <c r="Q773">
        <v>8.4673453971506783E-6</v>
      </c>
      <c r="R773">
        <v>-7.9615634778864182E-7</v>
      </c>
      <c r="T773" s="60"/>
      <c r="Y773" s="98"/>
    </row>
    <row r="774" spans="4:25" x14ac:dyDescent="0.2">
      <c r="D774" s="63"/>
      <c r="E774" s="29"/>
      <c r="F774" s="67"/>
      <c r="G774" s="67"/>
      <c r="H774" s="67"/>
      <c r="K774">
        <v>2</v>
      </c>
      <c r="L774" s="44">
        <v>9.0750000000000615</v>
      </c>
      <c r="M774">
        <v>7.0442335413929413E-3</v>
      </c>
      <c r="N774">
        <v>-2.5872363352148184</v>
      </c>
      <c r="O774">
        <v>0</v>
      </c>
      <c r="P774">
        <v>0</v>
      </c>
      <c r="Q774">
        <v>8.4473059511089476E-6</v>
      </c>
      <c r="R774">
        <v>-8.0699921254486492E-7</v>
      </c>
      <c r="T774" s="60"/>
      <c r="Y774" s="98"/>
    </row>
    <row r="775" spans="4:25" x14ac:dyDescent="0.2">
      <c r="D775" s="63"/>
      <c r="E775" s="65"/>
      <c r="F775" s="66"/>
      <c r="G775" s="66"/>
      <c r="H775" s="66"/>
      <c r="K775">
        <v>2</v>
      </c>
      <c r="L775" s="44">
        <v>9.1000000000000618</v>
      </c>
      <c r="M775">
        <v>7.0442335413929413E-3</v>
      </c>
      <c r="N775">
        <v>-2.5870602293762808</v>
      </c>
      <c r="O775">
        <v>0</v>
      </c>
      <c r="P775">
        <v>0</v>
      </c>
      <c r="Q775">
        <v>8.4269954426735624E-6</v>
      </c>
      <c r="R775">
        <v>-8.178413392831852E-7</v>
      </c>
      <c r="T775" s="60"/>
      <c r="Y775" s="98"/>
    </row>
    <row r="776" spans="4:25" x14ac:dyDescent="0.2">
      <c r="D776" s="63"/>
      <c r="E776" s="29"/>
      <c r="F776" s="67"/>
      <c r="G776" s="67"/>
      <c r="H776" s="67"/>
      <c r="K776">
        <v>2</v>
      </c>
      <c r="L776" s="44">
        <v>9.1250000000000622</v>
      </c>
      <c r="M776">
        <v>7.0442335413929413E-3</v>
      </c>
      <c r="N776">
        <v>-2.5868841235377431</v>
      </c>
      <c r="O776">
        <v>0</v>
      </c>
      <c r="P776">
        <v>0</v>
      </c>
      <c r="Q776">
        <v>8.4064138902949283E-6</v>
      </c>
      <c r="R776">
        <v>-8.2868272800356434E-7</v>
      </c>
      <c r="T776" s="60"/>
      <c r="Y776" s="98"/>
    </row>
    <row r="777" spans="4:25" x14ac:dyDescent="0.2">
      <c r="D777" s="63"/>
      <c r="E777" s="65"/>
      <c r="F777" s="66"/>
      <c r="G777" s="66"/>
      <c r="H777" s="66"/>
      <c r="K777">
        <v>2</v>
      </c>
      <c r="L777" s="44">
        <v>9.1500000000000625</v>
      </c>
      <c r="M777">
        <v>7.0442335413929413E-3</v>
      </c>
      <c r="N777">
        <v>-2.5867080176992197</v>
      </c>
      <c r="O777">
        <v>0</v>
      </c>
      <c r="P777">
        <v>0</v>
      </c>
      <c r="Q777">
        <v>8.3855613124235318E-6</v>
      </c>
      <c r="R777">
        <v>-8.3952337870601209E-7</v>
      </c>
      <c r="T777" s="60"/>
      <c r="Y777" s="98"/>
    </row>
    <row r="778" spans="4:25" x14ac:dyDescent="0.2">
      <c r="D778" s="63"/>
      <c r="E778" s="29"/>
      <c r="F778" s="67"/>
      <c r="G778" s="67"/>
      <c r="H778" s="67"/>
      <c r="K778">
        <v>2</v>
      </c>
      <c r="L778" s="44">
        <v>9.1750000000000629</v>
      </c>
      <c r="M778">
        <v>7.0442335413929413E-3</v>
      </c>
      <c r="N778">
        <v>-2.586531911860682</v>
      </c>
      <c r="O778">
        <v>0</v>
      </c>
      <c r="P778">
        <v>0</v>
      </c>
      <c r="Q778">
        <v>8.3644377275097801E-6</v>
      </c>
      <c r="R778">
        <v>-8.5036329139052832E-7</v>
      </c>
      <c r="T778" s="60"/>
      <c r="Y778" s="98"/>
    </row>
    <row r="779" spans="4:25" x14ac:dyDescent="0.2">
      <c r="D779" s="63"/>
      <c r="E779" s="65"/>
      <c r="F779" s="66"/>
      <c r="G779" s="66"/>
      <c r="H779" s="66"/>
      <c r="K779">
        <v>2</v>
      </c>
      <c r="L779" s="44">
        <v>9.2000000000000632</v>
      </c>
      <c r="M779">
        <v>7.0442335413929413E-3</v>
      </c>
      <c r="N779">
        <v>-2.5863558060221443</v>
      </c>
      <c r="O779">
        <v>0</v>
      </c>
      <c r="P779">
        <v>0</v>
      </c>
      <c r="Q779">
        <v>8.3430431540041751E-6</v>
      </c>
      <c r="R779">
        <v>-8.6120246605712714E-7</v>
      </c>
      <c r="T779" s="60"/>
      <c r="Y779" s="98"/>
    </row>
    <row r="780" spans="4:25" x14ac:dyDescent="0.2">
      <c r="D780" s="63"/>
      <c r="E780" s="29"/>
      <c r="F780" s="67"/>
      <c r="G780" s="67"/>
      <c r="H780" s="67"/>
      <c r="K780">
        <v>2</v>
      </c>
      <c r="L780" s="44">
        <v>9.2250000000000636</v>
      </c>
      <c r="M780">
        <v>7.0442335413929413E-3</v>
      </c>
      <c r="N780">
        <v>-2.5861797001836067</v>
      </c>
      <c r="O780">
        <v>0</v>
      </c>
      <c r="P780">
        <v>0</v>
      </c>
      <c r="Q780">
        <v>8.3213776103570527E-6</v>
      </c>
      <c r="R780">
        <v>-8.7204090270578036E-7</v>
      </c>
      <c r="T780" s="60"/>
      <c r="Y780" s="98"/>
    </row>
    <row r="781" spans="4:25" x14ac:dyDescent="0.2">
      <c r="D781" s="63"/>
      <c r="E781" s="65"/>
      <c r="F781" s="66"/>
      <c r="G781" s="66"/>
      <c r="H781" s="66"/>
      <c r="K781">
        <v>2</v>
      </c>
      <c r="L781" s="44">
        <v>9.2500000000000639</v>
      </c>
      <c r="M781">
        <v>7.0442335413929413E-3</v>
      </c>
      <c r="N781">
        <v>-2.586003594345069</v>
      </c>
      <c r="O781">
        <v>0</v>
      </c>
      <c r="P781">
        <v>0</v>
      </c>
      <c r="Q781">
        <v>8.2994411150190285E-6</v>
      </c>
      <c r="R781">
        <v>-8.8287860133651638E-7</v>
      </c>
      <c r="T781" s="60"/>
      <c r="Y781" s="98"/>
    </row>
    <row r="782" spans="4:25" x14ac:dyDescent="0.2">
      <c r="D782" s="63"/>
      <c r="E782" s="29"/>
      <c r="F782" s="67"/>
      <c r="G782" s="67"/>
      <c r="H782" s="67"/>
      <c r="K782">
        <v>2</v>
      </c>
      <c r="L782" s="44">
        <v>9.2750000000000643</v>
      </c>
      <c r="M782">
        <v>7.0442335413929413E-3</v>
      </c>
      <c r="N782">
        <v>-2.5858274885065455</v>
      </c>
      <c r="O782">
        <v>0</v>
      </c>
      <c r="P782">
        <v>0</v>
      </c>
      <c r="Q782">
        <v>8.2772336864404196E-6</v>
      </c>
      <c r="R782">
        <v>-8.9371556194931602E-7</v>
      </c>
      <c r="T782" s="60"/>
      <c r="Y782" s="98"/>
    </row>
    <row r="783" spans="4:25" x14ac:dyDescent="0.2">
      <c r="D783" s="63"/>
      <c r="E783" s="65"/>
      <c r="F783" s="66"/>
      <c r="G783" s="66"/>
      <c r="H783" s="66"/>
      <c r="K783">
        <v>2</v>
      </c>
      <c r="L783" s="44">
        <v>9.3000000000000647</v>
      </c>
      <c r="M783">
        <v>7.0442335413929413E-3</v>
      </c>
      <c r="N783">
        <v>-2.5856513826680079</v>
      </c>
      <c r="O783">
        <v>0</v>
      </c>
      <c r="P783">
        <v>0</v>
      </c>
      <c r="Q783">
        <v>8.2547553430716874E-6</v>
      </c>
      <c r="R783">
        <v>-9.0455178454417451E-7</v>
      </c>
      <c r="T783" s="60"/>
      <c r="Y783" s="98"/>
    </row>
    <row r="784" spans="4:25" x14ac:dyDescent="0.2">
      <c r="D784" s="63"/>
      <c r="E784" s="29"/>
      <c r="F784" s="67"/>
      <c r="G784" s="67"/>
      <c r="H784" s="67"/>
      <c r="K784">
        <v>2</v>
      </c>
      <c r="L784" s="44">
        <v>9.325000000000065</v>
      </c>
      <c r="M784">
        <v>7.0442335413929413E-3</v>
      </c>
      <c r="N784">
        <v>-2.5854752768294702</v>
      </c>
      <c r="O784">
        <v>0</v>
      </c>
      <c r="P784">
        <v>0</v>
      </c>
      <c r="Q784">
        <v>8.2320061033633542E-6</v>
      </c>
      <c r="R784">
        <v>-9.1538726912110161E-7</v>
      </c>
      <c r="T784" s="60"/>
      <c r="Y784" s="98"/>
    </row>
    <row r="785" spans="4:25" x14ac:dyDescent="0.2">
      <c r="D785" s="63"/>
      <c r="E785" s="65"/>
      <c r="F785" s="66"/>
      <c r="G785" s="66"/>
      <c r="H785" s="66"/>
      <c r="K785">
        <v>2</v>
      </c>
      <c r="L785" s="44">
        <v>9.3500000000000654</v>
      </c>
      <c r="M785">
        <v>7.0442335413929413E-3</v>
      </c>
      <c r="N785">
        <v>-2.5852991709909325</v>
      </c>
      <c r="O785">
        <v>0</v>
      </c>
      <c r="P785">
        <v>0</v>
      </c>
      <c r="Q785">
        <v>8.2089859857657762E-6</v>
      </c>
      <c r="R785">
        <v>-9.2622201568012579E-7</v>
      </c>
      <c r="T785" s="60"/>
      <c r="Y785" s="98"/>
    </row>
    <row r="786" spans="4:25" x14ac:dyDescent="0.2">
      <c r="D786" s="63"/>
      <c r="E786" s="29"/>
      <c r="F786" s="67"/>
      <c r="G786" s="67"/>
      <c r="H786" s="67"/>
      <c r="K786">
        <v>2</v>
      </c>
      <c r="L786" s="44">
        <v>9.3750000000000657</v>
      </c>
      <c r="M786">
        <v>7.0442335413929413E-3</v>
      </c>
      <c r="N786">
        <v>-2.5851230651523949</v>
      </c>
      <c r="O786">
        <v>0</v>
      </c>
      <c r="P786">
        <v>0</v>
      </c>
      <c r="Q786">
        <v>8.1856950087295316E-6</v>
      </c>
      <c r="R786">
        <v>-9.370560242211994E-7</v>
      </c>
      <c r="T786" s="60"/>
      <c r="Y786" s="98"/>
    </row>
    <row r="787" spans="4:25" x14ac:dyDescent="0.2">
      <c r="D787" s="63"/>
      <c r="E787" s="65"/>
      <c r="F787" s="66"/>
      <c r="G787" s="66"/>
      <c r="H787" s="66"/>
      <c r="K787">
        <v>2</v>
      </c>
      <c r="L787" s="44">
        <v>9.4000000000000661</v>
      </c>
      <c r="M787">
        <v>7.0442335413929413E-3</v>
      </c>
      <c r="N787">
        <v>-2.5849469593138714</v>
      </c>
      <c r="O787">
        <v>0</v>
      </c>
      <c r="P787">
        <v>0</v>
      </c>
      <c r="Q787">
        <v>8.1621331907048513E-6</v>
      </c>
      <c r="R787">
        <v>-9.4788929474433188E-7</v>
      </c>
      <c r="T787" s="60"/>
      <c r="Y787" s="98"/>
    </row>
    <row r="788" spans="4:25" x14ac:dyDescent="0.2">
      <c r="D788" s="63"/>
      <c r="E788" s="29"/>
      <c r="F788" s="67"/>
      <c r="G788" s="67"/>
      <c r="H788" s="67"/>
      <c r="K788">
        <v>2</v>
      </c>
      <c r="L788" s="44">
        <v>9.4250000000000664</v>
      </c>
      <c r="M788">
        <v>7.0442335413929413E-3</v>
      </c>
      <c r="N788">
        <v>-2.5847708534753338</v>
      </c>
      <c r="O788">
        <v>0</v>
      </c>
      <c r="P788">
        <v>0</v>
      </c>
      <c r="Q788">
        <v>8.1383005501424017E-6</v>
      </c>
      <c r="R788">
        <v>-9.587218272495519E-7</v>
      </c>
      <c r="T788" s="60"/>
      <c r="Y788" s="98"/>
    </row>
    <row r="789" spans="4:25" x14ac:dyDescent="0.2">
      <c r="D789" s="63"/>
      <c r="E789" s="65"/>
      <c r="F789" s="66"/>
      <c r="G789" s="66"/>
      <c r="H789" s="66"/>
      <c r="K789">
        <v>2</v>
      </c>
      <c r="L789" s="44">
        <v>9.4500000000000668</v>
      </c>
      <c r="M789">
        <v>7.0442335413929413E-3</v>
      </c>
      <c r="N789">
        <v>-2.5845947476367961</v>
      </c>
      <c r="O789">
        <v>0</v>
      </c>
      <c r="P789">
        <v>0</v>
      </c>
      <c r="Q789">
        <v>8.1141971054925473E-6</v>
      </c>
      <c r="R789">
        <v>-9.6955362173684519E-7</v>
      </c>
      <c r="T789" s="60"/>
      <c r="Y789" s="98"/>
    </row>
    <row r="790" spans="4:25" x14ac:dyDescent="0.2">
      <c r="D790" s="63"/>
      <c r="E790" s="29"/>
      <c r="F790" s="67"/>
      <c r="G790" s="67"/>
      <c r="H790" s="67"/>
      <c r="K790">
        <v>2</v>
      </c>
      <c r="L790" s="44">
        <v>9.4750000000000671</v>
      </c>
      <c r="M790">
        <v>7.0442335413929413E-3</v>
      </c>
      <c r="N790">
        <v>-2.5844186417982584</v>
      </c>
      <c r="O790">
        <v>0</v>
      </c>
      <c r="P790">
        <v>0</v>
      </c>
      <c r="Q790">
        <v>8.0898228752057529E-6</v>
      </c>
      <c r="R790">
        <v>-9.8038467820619754E-7</v>
      </c>
      <c r="T790" s="60"/>
      <c r="Y790" s="98"/>
    </row>
    <row r="791" spans="4:25" x14ac:dyDescent="0.2">
      <c r="D791" s="63"/>
      <c r="E791" s="65"/>
      <c r="F791" s="66"/>
      <c r="G791" s="66"/>
      <c r="H791" s="66"/>
      <c r="K791">
        <v>2</v>
      </c>
      <c r="L791" s="44">
        <v>9.5000000000000675</v>
      </c>
      <c r="M791">
        <v>7.0442335413929413E-3</v>
      </c>
      <c r="N791">
        <v>-2.5842425359597208</v>
      </c>
      <c r="O791">
        <v>0</v>
      </c>
      <c r="P791">
        <v>0</v>
      </c>
      <c r="Q791">
        <v>8.0651778777323917E-6</v>
      </c>
      <c r="R791">
        <v>-9.9121499665762294E-7</v>
      </c>
      <c r="T791" s="60"/>
      <c r="Y791" s="98"/>
    </row>
    <row r="792" spans="4:25" x14ac:dyDescent="0.2">
      <c r="D792" s="63"/>
      <c r="E792" s="29"/>
      <c r="F792" s="67"/>
      <c r="G792" s="67"/>
      <c r="H792" s="67"/>
      <c r="K792">
        <v>2</v>
      </c>
      <c r="L792" s="44">
        <v>9.5250000000000679</v>
      </c>
      <c r="M792">
        <v>7.0442335413929413E-3</v>
      </c>
      <c r="N792">
        <v>-2.5840664301211973</v>
      </c>
      <c r="O792">
        <v>0</v>
      </c>
      <c r="P792">
        <v>0</v>
      </c>
      <c r="Q792">
        <v>8.0402621315229843E-6</v>
      </c>
      <c r="R792">
        <v>-1.0020445770911074E-6</v>
      </c>
      <c r="T792" s="60"/>
      <c r="Y792" s="98"/>
    </row>
    <row r="793" spans="4:25" x14ac:dyDescent="0.2">
      <c r="D793" s="63"/>
      <c r="E793" s="65"/>
      <c r="F793" s="66"/>
      <c r="G793" s="66"/>
      <c r="H793" s="66"/>
      <c r="K793">
        <v>2</v>
      </c>
      <c r="L793" s="44">
        <v>9.5500000000000682</v>
      </c>
      <c r="M793">
        <v>7.0442335413929413E-3</v>
      </c>
      <c r="N793">
        <v>-2.5838903242826596</v>
      </c>
      <c r="O793">
        <v>0</v>
      </c>
      <c r="P793">
        <v>0</v>
      </c>
      <c r="Q793">
        <v>8.0150756550279801E-6</v>
      </c>
      <c r="R793">
        <v>-1.0128734195066937E-6</v>
      </c>
      <c r="T793" s="60"/>
      <c r="Y793" s="98"/>
    </row>
    <row r="794" spans="4:25" x14ac:dyDescent="0.2">
      <c r="D794" s="63"/>
      <c r="E794" s="29"/>
      <c r="F794" s="67"/>
      <c r="G794" s="67"/>
      <c r="H794" s="67"/>
      <c r="K794">
        <v>2</v>
      </c>
      <c r="L794" s="44">
        <v>9.5750000000000686</v>
      </c>
      <c r="M794">
        <v>7.0442335413929413E-3</v>
      </c>
      <c r="N794">
        <v>-2.583714218444122</v>
      </c>
      <c r="O794">
        <v>0</v>
      </c>
      <c r="P794">
        <v>0</v>
      </c>
      <c r="Q794">
        <v>7.9896184666978234E-6</v>
      </c>
      <c r="R794">
        <v>-1.0237015239043152E-6</v>
      </c>
      <c r="T794" s="60"/>
      <c r="Y794" s="98"/>
    </row>
    <row r="795" spans="4:25" x14ac:dyDescent="0.2">
      <c r="D795" s="63"/>
      <c r="E795" s="65"/>
      <c r="F795" s="66"/>
      <c r="G795" s="66"/>
      <c r="H795" s="66"/>
      <c r="K795">
        <v>2</v>
      </c>
      <c r="L795" s="44">
        <v>9.6000000000000689</v>
      </c>
      <c r="M795">
        <v>7.0442335413929413E-3</v>
      </c>
      <c r="N795">
        <v>-2.5835381126055843</v>
      </c>
      <c r="O795">
        <v>0</v>
      </c>
      <c r="P795">
        <v>0</v>
      </c>
      <c r="Q795">
        <v>7.9638905849828825E-6</v>
      </c>
      <c r="R795">
        <v>-1.0345288902840194E-6</v>
      </c>
      <c r="T795" s="60"/>
      <c r="Y795" s="98"/>
    </row>
    <row r="796" spans="4:25" x14ac:dyDescent="0.2">
      <c r="D796" s="63"/>
      <c r="E796" s="29"/>
      <c r="F796" s="67"/>
      <c r="G796" s="67"/>
      <c r="H796" s="67"/>
      <c r="K796">
        <v>2</v>
      </c>
      <c r="L796" s="44">
        <v>9.6250000000000693</v>
      </c>
      <c r="M796">
        <v>7.0442335413929413E-3</v>
      </c>
      <c r="N796">
        <v>-2.5833620067670466</v>
      </c>
      <c r="O796">
        <v>0</v>
      </c>
      <c r="P796">
        <v>0</v>
      </c>
      <c r="Q796">
        <v>7.9378920283337828E-6</v>
      </c>
      <c r="R796">
        <v>-1.0453555186457967E-6</v>
      </c>
      <c r="T796" s="60"/>
      <c r="Y796" s="98"/>
    </row>
    <row r="797" spans="4:25" x14ac:dyDescent="0.2">
      <c r="D797" s="63"/>
      <c r="E797" s="65"/>
      <c r="F797" s="66"/>
      <c r="G797" s="66"/>
      <c r="H797" s="66"/>
      <c r="K797">
        <v>2</v>
      </c>
      <c r="L797" s="44">
        <v>9.6500000000000696</v>
      </c>
      <c r="M797">
        <v>7.0442335413929413E-3</v>
      </c>
      <c r="N797">
        <v>-2.5831859009285232</v>
      </c>
      <c r="O797">
        <v>0</v>
      </c>
      <c r="P797">
        <v>0</v>
      </c>
      <c r="Q797">
        <v>7.9116228152008112E-6</v>
      </c>
      <c r="R797">
        <v>-1.0561814089896285E-6</v>
      </c>
      <c r="T797" s="60"/>
      <c r="Y797" s="98"/>
    </row>
    <row r="798" spans="4:25" x14ac:dyDescent="0.2">
      <c r="D798" s="63"/>
      <c r="E798" s="29"/>
      <c r="F798" s="67"/>
      <c r="G798" s="67"/>
      <c r="H798" s="67"/>
      <c r="K798">
        <v>2</v>
      </c>
      <c r="L798" s="44">
        <v>9.67500000000007</v>
      </c>
      <c r="M798">
        <v>7.0442335413929413E-3</v>
      </c>
      <c r="N798">
        <v>-2.5830097950899855</v>
      </c>
      <c r="O798">
        <v>0</v>
      </c>
      <c r="P798">
        <v>0</v>
      </c>
      <c r="Q798">
        <v>7.8850829640344358E-6</v>
      </c>
      <c r="R798">
        <v>-1.0670065613155525E-6</v>
      </c>
      <c r="T798" s="60"/>
      <c r="Y798" s="98"/>
    </row>
    <row r="799" spans="4:25" x14ac:dyDescent="0.2">
      <c r="D799" s="63"/>
      <c r="E799" s="65"/>
      <c r="F799" s="66"/>
      <c r="G799" s="66"/>
      <c r="H799" s="66"/>
      <c r="K799">
        <v>2</v>
      </c>
      <c r="L799" s="44">
        <v>9.7000000000000703</v>
      </c>
      <c r="M799">
        <v>7.0442335413929413E-3</v>
      </c>
      <c r="N799">
        <v>-2.5828336892514479</v>
      </c>
      <c r="O799">
        <v>0</v>
      </c>
      <c r="P799">
        <v>0</v>
      </c>
      <c r="Q799">
        <v>7.858272493285145E-6</v>
      </c>
      <c r="R799">
        <v>-1.0778309756235307E-6</v>
      </c>
      <c r="T799" s="60"/>
      <c r="Y799" s="98"/>
    </row>
    <row r="800" spans="4:25" x14ac:dyDescent="0.2">
      <c r="D800" s="63"/>
      <c r="E800" s="29"/>
      <c r="F800" s="67"/>
      <c r="G800" s="67"/>
      <c r="H800" s="67"/>
      <c r="K800">
        <v>2</v>
      </c>
      <c r="L800" s="44">
        <v>9.7250000000000707</v>
      </c>
      <c r="M800">
        <v>7.0442335413929413E-3</v>
      </c>
      <c r="N800">
        <v>-2.5826575834129102</v>
      </c>
      <c r="O800">
        <v>0</v>
      </c>
      <c r="P800">
        <v>0</v>
      </c>
      <c r="Q800">
        <v>7.8311914214034001E-6</v>
      </c>
      <c r="R800">
        <v>-1.0886546519135915E-6</v>
      </c>
      <c r="T800" s="60"/>
      <c r="Y800" s="98"/>
    </row>
    <row r="801" spans="4:25" x14ac:dyDescent="0.2">
      <c r="D801" s="63"/>
      <c r="E801" s="65"/>
      <c r="F801" s="66"/>
      <c r="G801" s="66"/>
      <c r="H801" s="66"/>
      <c r="K801">
        <v>2</v>
      </c>
      <c r="L801" s="44">
        <v>9.7500000000000711</v>
      </c>
      <c r="M801">
        <v>7.0442335413929413E-3</v>
      </c>
      <c r="N801">
        <v>-2.5824814775743725</v>
      </c>
      <c r="O801">
        <v>0</v>
      </c>
      <c r="P801">
        <v>0</v>
      </c>
      <c r="Q801">
        <v>7.803839766839647E-6</v>
      </c>
      <c r="R801">
        <v>-1.0994775901857114E-6</v>
      </c>
      <c r="T801" s="60"/>
      <c r="Y801" s="98"/>
    </row>
    <row r="802" spans="4:25" x14ac:dyDescent="0.2">
      <c r="D802" s="63"/>
      <c r="E802" s="29"/>
      <c r="F802" s="67"/>
      <c r="G802" s="67"/>
      <c r="H802" s="67"/>
      <c r="K802">
        <v>2</v>
      </c>
      <c r="L802" s="44">
        <v>9.7750000000000714</v>
      </c>
      <c r="M802">
        <v>7.0442335413929413E-3</v>
      </c>
      <c r="N802">
        <v>-2.5823053717358491</v>
      </c>
      <c r="O802">
        <v>0</v>
      </c>
      <c r="P802">
        <v>0</v>
      </c>
      <c r="Q802">
        <v>7.776217548044237E-6</v>
      </c>
      <c r="R802">
        <v>-1.110299790439895E-6</v>
      </c>
      <c r="T802" s="60"/>
      <c r="Y802" s="98"/>
    </row>
    <row r="803" spans="4:25" x14ac:dyDescent="0.2">
      <c r="D803" s="63"/>
      <c r="E803" s="65"/>
      <c r="F803" s="66"/>
      <c r="G803" s="66"/>
      <c r="H803" s="66"/>
      <c r="K803">
        <v>2</v>
      </c>
      <c r="L803" s="44">
        <v>9.8000000000000718</v>
      </c>
      <c r="M803">
        <v>7.0442335413929413E-3</v>
      </c>
      <c r="N803">
        <v>-2.5821292658973114</v>
      </c>
      <c r="O803">
        <v>0</v>
      </c>
      <c r="P803">
        <v>0</v>
      </c>
      <c r="Q803">
        <v>7.7483247834677737E-6</v>
      </c>
      <c r="R803">
        <v>-1.1211212526761614E-6</v>
      </c>
      <c r="T803" s="60"/>
      <c r="Y803" s="98"/>
    </row>
    <row r="804" spans="4:25" x14ac:dyDescent="0.2">
      <c r="D804" s="63"/>
      <c r="E804" s="29"/>
      <c r="F804" s="67"/>
      <c r="G804" s="67"/>
      <c r="H804" s="67"/>
      <c r="K804">
        <v>2</v>
      </c>
      <c r="L804" s="44">
        <v>9.8250000000000721</v>
      </c>
      <c r="M804">
        <v>7.0442335413929413E-3</v>
      </c>
      <c r="N804">
        <v>-2.5819531600587737</v>
      </c>
      <c r="O804">
        <v>0</v>
      </c>
      <c r="P804">
        <v>0</v>
      </c>
      <c r="Q804">
        <v>7.7201614915606252E-6</v>
      </c>
      <c r="R804">
        <v>-1.1319419768945008E-6</v>
      </c>
      <c r="T804" s="60"/>
      <c r="Y804" s="98"/>
    </row>
    <row r="805" spans="4:25" x14ac:dyDescent="0.2">
      <c r="D805" s="63"/>
      <c r="E805" s="65"/>
      <c r="F805" s="66"/>
      <c r="G805" s="66"/>
      <c r="H805" s="66"/>
      <c r="K805">
        <v>2</v>
      </c>
      <c r="L805" s="44">
        <v>9.8500000000000725</v>
      </c>
      <c r="M805">
        <v>7.0442335413929413E-3</v>
      </c>
      <c r="N805">
        <v>-2.5817770542202361</v>
      </c>
      <c r="O805">
        <v>0</v>
      </c>
      <c r="P805">
        <v>0</v>
      </c>
      <c r="Q805">
        <v>7.6917276907731986E-6</v>
      </c>
      <c r="R805">
        <v>-1.1427619630948851E-6</v>
      </c>
      <c r="T805" s="60"/>
      <c r="Y805" s="98"/>
    </row>
    <row r="806" spans="4:25" x14ac:dyDescent="0.2">
      <c r="D806" s="63"/>
      <c r="E806" s="29"/>
      <c r="F806" s="67"/>
      <c r="G806" s="67"/>
      <c r="H806" s="67"/>
      <c r="K806">
        <v>2</v>
      </c>
      <c r="L806" s="44">
        <v>9.8750000000000728</v>
      </c>
      <c r="M806">
        <v>7.0442335413929413E-3</v>
      </c>
      <c r="N806">
        <v>-2.5816009483816984</v>
      </c>
      <c r="O806">
        <v>0</v>
      </c>
      <c r="P806">
        <v>0</v>
      </c>
      <c r="Q806">
        <v>7.6630233995559806E-6</v>
      </c>
      <c r="R806">
        <v>-1.1535812112773618E-6</v>
      </c>
      <c r="T806" s="60"/>
      <c r="Y806" s="98"/>
    </row>
    <row r="807" spans="4:25" x14ac:dyDescent="0.2">
      <c r="D807" s="63"/>
      <c r="E807" s="65"/>
      <c r="F807" s="66"/>
      <c r="G807" s="66"/>
      <c r="H807" s="66"/>
      <c r="K807">
        <v>2</v>
      </c>
      <c r="L807" s="44">
        <v>9.9000000000000732</v>
      </c>
      <c r="M807">
        <v>7.0442335413929413E-3</v>
      </c>
      <c r="N807">
        <v>-2.5814248425431749</v>
      </c>
      <c r="O807">
        <v>0</v>
      </c>
      <c r="P807">
        <v>0</v>
      </c>
      <c r="Q807">
        <v>7.6340486363594934E-6</v>
      </c>
      <c r="R807">
        <v>-1.1643997214419021E-6</v>
      </c>
      <c r="T807" s="60"/>
      <c r="Y807" s="98"/>
    </row>
    <row r="808" spans="4:25" x14ac:dyDescent="0.2">
      <c r="D808" s="63"/>
      <c r="E808" s="29"/>
      <c r="F808" s="67"/>
      <c r="G808" s="67"/>
      <c r="H808" s="67"/>
      <c r="K808">
        <v>2</v>
      </c>
      <c r="L808" s="44">
        <v>9.9250000000000735</v>
      </c>
      <c r="M808">
        <v>7.0442335413929413E-3</v>
      </c>
      <c r="N808">
        <v>-2.5812487367046373</v>
      </c>
      <c r="O808">
        <v>0</v>
      </c>
      <c r="P808">
        <v>0</v>
      </c>
      <c r="Q808">
        <v>7.6048034196340476E-6</v>
      </c>
      <c r="R808">
        <v>-1.1752174935885109E-6</v>
      </c>
      <c r="T808" s="60"/>
      <c r="Y808" s="98"/>
    </row>
    <row r="809" spans="4:25" x14ac:dyDescent="0.2">
      <c r="D809" s="63"/>
      <c r="E809" s="65"/>
      <c r="F809" s="66"/>
      <c r="G809" s="66"/>
      <c r="H809" s="66"/>
      <c r="K809">
        <v>2</v>
      </c>
      <c r="L809" s="44">
        <v>9.9500000000000739</v>
      </c>
      <c r="M809">
        <v>7.0442335413929413E-3</v>
      </c>
      <c r="N809">
        <v>-2.5810726308660996</v>
      </c>
      <c r="O809">
        <v>0</v>
      </c>
      <c r="P809">
        <v>0</v>
      </c>
      <c r="Q809">
        <v>7.5752877678301892E-6</v>
      </c>
      <c r="R809">
        <v>-1.1860345277171882E-6</v>
      </c>
      <c r="T809" s="60"/>
      <c r="Y809" s="98"/>
    </row>
    <row r="810" spans="4:25" x14ac:dyDescent="0.2">
      <c r="D810" s="63"/>
      <c r="E810" s="29"/>
      <c r="F810" s="67"/>
      <c r="G810" s="67"/>
      <c r="H810" s="67"/>
      <c r="K810">
        <v>2</v>
      </c>
      <c r="L810" s="44">
        <v>9.9750000000000743</v>
      </c>
      <c r="M810">
        <v>7.0442335413929413E-3</v>
      </c>
      <c r="N810">
        <v>-2.5808965250275619</v>
      </c>
      <c r="O810">
        <v>0</v>
      </c>
      <c r="P810">
        <v>0</v>
      </c>
      <c r="Q810">
        <v>7.5455016993983244E-6</v>
      </c>
      <c r="R810">
        <v>-1.1968508238279293E-6</v>
      </c>
      <c r="T810" s="60"/>
      <c r="Y810" s="98"/>
    </row>
    <row r="811" spans="4:25" x14ac:dyDescent="0.2">
      <c r="D811" s="63"/>
      <c r="E811" s="65"/>
      <c r="F811" s="66"/>
      <c r="G811" s="66"/>
      <c r="H811" s="66"/>
      <c r="K811">
        <v>2</v>
      </c>
      <c r="L811" s="44">
        <v>10.000000000000075</v>
      </c>
      <c r="M811">
        <v>7.0442335413929413E-3</v>
      </c>
      <c r="N811">
        <v>-2.5807204191890314</v>
      </c>
      <c r="O811">
        <v>0</v>
      </c>
      <c r="P811">
        <v>0</v>
      </c>
      <c r="Q811">
        <v>7.51544523278905E-6</v>
      </c>
      <c r="R811">
        <v>-1.2076663819207223E-6</v>
      </c>
      <c r="T811" s="60"/>
      <c r="Y811" s="98"/>
    </row>
    <row r="812" spans="4:25" x14ac:dyDescent="0.2">
      <c r="D812" s="63"/>
      <c r="E812" s="29"/>
      <c r="F812" s="67"/>
      <c r="G812" s="67"/>
      <c r="H812" s="67"/>
      <c r="K812">
        <v>3</v>
      </c>
      <c r="L812" s="44">
        <v>0</v>
      </c>
      <c r="M812">
        <v>7.0442335413929413E-3</v>
      </c>
      <c r="N812">
        <v>-2.5807204191890305</v>
      </c>
      <c r="O812">
        <v>0</v>
      </c>
      <c r="P812">
        <v>0</v>
      </c>
      <c r="Q812">
        <v>7.5154452327889585E-6</v>
      </c>
      <c r="R812">
        <v>-1.2076663819207316E-6</v>
      </c>
      <c r="T812" s="60"/>
      <c r="Y812" s="98"/>
    </row>
    <row r="813" spans="4:25" x14ac:dyDescent="0.2">
      <c r="D813" s="63"/>
      <c r="E813" s="65"/>
      <c r="F813" s="66"/>
      <c r="G813" s="66"/>
      <c r="H813" s="66"/>
      <c r="K813">
        <v>3</v>
      </c>
      <c r="L813" s="44">
        <v>1.7500000000000002E-2</v>
      </c>
      <c r="M813">
        <v>7.0442335413929413E-3</v>
      </c>
      <c r="N813">
        <v>-2.5805971451020562</v>
      </c>
      <c r="O813">
        <v>0</v>
      </c>
      <c r="P813">
        <v>0</v>
      </c>
      <c r="Q813">
        <v>7.4942894843839388E-6</v>
      </c>
      <c r="R813">
        <v>-1.2101334161547298E-6</v>
      </c>
      <c r="T813" s="60"/>
      <c r="Y813" s="98"/>
    </row>
    <row r="814" spans="4:25" x14ac:dyDescent="0.2">
      <c r="D814" s="63"/>
      <c r="E814" s="29"/>
      <c r="F814" s="67"/>
      <c r="G814" s="67"/>
      <c r="H814" s="67"/>
      <c r="K814">
        <v>3</v>
      </c>
      <c r="L814" s="44">
        <v>3.5000000000000003E-2</v>
      </c>
      <c r="M814">
        <v>7.0442335413929413E-3</v>
      </c>
      <c r="N814">
        <v>-2.5804738710150819</v>
      </c>
      <c r="O814">
        <v>0</v>
      </c>
      <c r="P814">
        <v>0</v>
      </c>
      <c r="Q814">
        <v>7.4730905639109808E-6</v>
      </c>
      <c r="R814">
        <v>-1.212600332542309E-6</v>
      </c>
      <c r="T814" s="60"/>
      <c r="Y814" s="98"/>
    </row>
    <row r="815" spans="4:25" x14ac:dyDescent="0.2">
      <c r="D815" s="63"/>
      <c r="E815" s="65"/>
      <c r="F815" s="66"/>
      <c r="G815" s="66"/>
      <c r="H815" s="66"/>
      <c r="K815">
        <v>3</v>
      </c>
      <c r="L815" s="44">
        <v>5.2500000000000005E-2</v>
      </c>
      <c r="M815">
        <v>7.0442335413929413E-3</v>
      </c>
      <c r="N815">
        <v>-2.5803505969281075</v>
      </c>
      <c r="O815">
        <v>0</v>
      </c>
      <c r="P815">
        <v>0</v>
      </c>
      <c r="Q815">
        <v>7.4518484734323954E-6</v>
      </c>
      <c r="R815">
        <v>-1.2150671310834706E-6</v>
      </c>
      <c r="T815" s="60"/>
      <c r="Y815" s="98"/>
    </row>
    <row r="816" spans="4:25" x14ac:dyDescent="0.2">
      <c r="D816" s="63"/>
      <c r="E816" s="29"/>
      <c r="F816" s="67"/>
      <c r="G816" s="67"/>
      <c r="H816" s="67"/>
      <c r="K816">
        <v>3</v>
      </c>
      <c r="L816" s="44">
        <v>7.0000000000000007E-2</v>
      </c>
      <c r="M816">
        <v>7.0442335413929413E-3</v>
      </c>
      <c r="N816">
        <v>-2.5802273228411332</v>
      </c>
      <c r="O816">
        <v>0</v>
      </c>
      <c r="P816">
        <v>0</v>
      </c>
      <c r="Q816">
        <v>7.4305632150104961E-6</v>
      </c>
      <c r="R816">
        <v>-1.2175338117782144E-6</v>
      </c>
      <c r="T816" s="60"/>
      <c r="Y816" s="98"/>
    </row>
    <row r="817" spans="4:25" x14ac:dyDescent="0.2">
      <c r="D817" s="63"/>
      <c r="E817" s="65"/>
      <c r="F817" s="66"/>
      <c r="G817" s="66"/>
      <c r="H817" s="66"/>
      <c r="K817">
        <v>3</v>
      </c>
      <c r="L817" s="44">
        <v>8.7500000000000008E-2</v>
      </c>
      <c r="M817">
        <v>7.0442335413929413E-3</v>
      </c>
      <c r="N817">
        <v>-2.5801040487541584</v>
      </c>
      <c r="O817">
        <v>0</v>
      </c>
      <c r="P817">
        <v>0</v>
      </c>
      <c r="Q817">
        <v>7.4092347907075956E-6</v>
      </c>
      <c r="R817">
        <v>-1.2200003746265406E-6</v>
      </c>
      <c r="T817" s="60"/>
      <c r="Y817" s="98"/>
    </row>
    <row r="818" spans="4:25" x14ac:dyDescent="0.2">
      <c r="D818" s="63"/>
      <c r="E818" s="29"/>
      <c r="F818" s="67"/>
      <c r="G818" s="67"/>
      <c r="H818" s="67"/>
      <c r="K818">
        <v>3</v>
      </c>
      <c r="L818" s="44">
        <v>0.10500000000000001</v>
      </c>
      <c r="M818">
        <v>7.0442335413929413E-3</v>
      </c>
      <c r="N818">
        <v>-2.5799807746671841</v>
      </c>
      <c r="O818">
        <v>0</v>
      </c>
      <c r="P818">
        <v>0</v>
      </c>
      <c r="Q818">
        <v>7.3878632025860047E-6</v>
      </c>
      <c r="R818">
        <v>-1.2224668196284491E-6</v>
      </c>
      <c r="T818" s="60"/>
      <c r="Y818" s="98"/>
    </row>
    <row r="819" spans="4:25" x14ac:dyDescent="0.2">
      <c r="D819" s="63"/>
      <c r="E819" s="65"/>
      <c r="F819" s="66"/>
      <c r="G819" s="66"/>
      <c r="H819" s="66"/>
      <c r="K819">
        <v>3</v>
      </c>
      <c r="L819" s="44">
        <v>0.12250000000000001</v>
      </c>
      <c r="M819">
        <v>7.0442335413929413E-3</v>
      </c>
      <c r="N819">
        <v>-2.5798575005802098</v>
      </c>
      <c r="O819">
        <v>0</v>
      </c>
      <c r="P819">
        <v>0</v>
      </c>
      <c r="Q819">
        <v>7.3664484527080369E-6</v>
      </c>
      <c r="R819">
        <v>-1.2249331467839399E-6</v>
      </c>
      <c r="T819" s="60"/>
      <c r="Y819" s="98"/>
    </row>
    <row r="820" spans="4:25" x14ac:dyDescent="0.2">
      <c r="D820" s="63"/>
      <c r="E820" s="29"/>
      <c r="F820" s="67"/>
      <c r="G820" s="67"/>
      <c r="H820" s="67"/>
      <c r="K820">
        <v>3</v>
      </c>
      <c r="L820" s="44">
        <v>0.14000000000000001</v>
      </c>
      <c r="M820">
        <v>7.0442335413929413E-3</v>
      </c>
      <c r="N820">
        <v>-2.5797342264932355</v>
      </c>
      <c r="O820">
        <v>0</v>
      </c>
      <c r="P820">
        <v>0</v>
      </c>
      <c r="Q820">
        <v>7.3449905431360048E-6</v>
      </c>
      <c r="R820">
        <v>-1.227399356093013E-6</v>
      </c>
      <c r="T820" s="60"/>
      <c r="Y820" s="98"/>
    </row>
    <row r="821" spans="4:25" x14ac:dyDescent="0.2">
      <c r="D821" s="63"/>
      <c r="E821" s="65"/>
      <c r="F821" s="66"/>
      <c r="G821" s="66"/>
      <c r="H821" s="66"/>
      <c r="K821">
        <v>3</v>
      </c>
      <c r="L821" s="44">
        <v>0.15750000000000003</v>
      </c>
      <c r="M821">
        <v>7.0442335413929413E-3</v>
      </c>
      <c r="N821">
        <v>-2.5796109524062611</v>
      </c>
      <c r="O821">
        <v>0</v>
      </c>
      <c r="P821">
        <v>0</v>
      </c>
      <c r="Q821">
        <v>7.3234894759322194E-6</v>
      </c>
      <c r="R821">
        <v>-1.2298654475556684E-6</v>
      </c>
      <c r="T821" s="60"/>
      <c r="Y821" s="98"/>
    </row>
    <row r="822" spans="4:25" x14ac:dyDescent="0.2">
      <c r="D822" s="63"/>
      <c r="E822" s="29"/>
      <c r="F822" s="67"/>
      <c r="G822" s="67"/>
      <c r="H822" s="67"/>
      <c r="K822">
        <v>3</v>
      </c>
      <c r="L822" s="44">
        <v>0.17500000000000004</v>
      </c>
      <c r="M822">
        <v>7.0442335413929413E-3</v>
      </c>
      <c r="N822">
        <v>-2.5794876783192868</v>
      </c>
      <c r="O822">
        <v>0</v>
      </c>
      <c r="P822">
        <v>0</v>
      </c>
      <c r="Q822">
        <v>7.3019452531589932E-6</v>
      </c>
      <c r="R822">
        <v>-1.2323314211719062E-6</v>
      </c>
      <c r="T822" s="60"/>
      <c r="Y822" s="98"/>
    </row>
    <row r="823" spans="4:25" x14ac:dyDescent="0.2">
      <c r="D823" s="63"/>
      <c r="E823" s="65"/>
      <c r="F823" s="66"/>
      <c r="G823" s="66"/>
      <c r="H823" s="66"/>
      <c r="K823">
        <v>3</v>
      </c>
      <c r="L823" s="44">
        <v>0.19250000000000006</v>
      </c>
      <c r="M823">
        <v>7.0442335413929413E-3</v>
      </c>
      <c r="N823">
        <v>-2.5793644042323125</v>
      </c>
      <c r="O823">
        <v>0</v>
      </c>
      <c r="P823">
        <v>0</v>
      </c>
      <c r="Q823">
        <v>7.2803578768786399E-6</v>
      </c>
      <c r="R823">
        <v>-1.2347972769417262E-6</v>
      </c>
      <c r="T823" s="60"/>
      <c r="Y823" s="98"/>
    </row>
    <row r="824" spans="4:25" x14ac:dyDescent="0.2">
      <c r="D824" s="63"/>
      <c r="E824" s="29"/>
      <c r="F824" s="67"/>
      <c r="G824" s="67"/>
      <c r="H824" s="67"/>
      <c r="K824">
        <v>3</v>
      </c>
      <c r="L824" s="44">
        <v>0.21000000000000008</v>
      </c>
      <c r="M824">
        <v>7.0442335413929413E-3</v>
      </c>
      <c r="N824">
        <v>-2.5792411301453382</v>
      </c>
      <c r="O824">
        <v>0</v>
      </c>
      <c r="P824">
        <v>0</v>
      </c>
      <c r="Q824">
        <v>7.2587273491534701E-6</v>
      </c>
      <c r="R824">
        <v>-1.2372630148651286E-6</v>
      </c>
      <c r="T824" s="60"/>
      <c r="Y824" s="98"/>
    </row>
    <row r="825" spans="4:25" x14ac:dyDescent="0.2">
      <c r="D825" s="63"/>
      <c r="E825" s="65"/>
      <c r="F825" s="66"/>
      <c r="G825" s="66"/>
      <c r="H825" s="66"/>
      <c r="K825">
        <v>3</v>
      </c>
      <c r="L825" s="44">
        <v>0.22750000000000009</v>
      </c>
      <c r="M825">
        <v>7.0442335413929413E-3</v>
      </c>
      <c r="N825">
        <v>-2.5791178560583634</v>
      </c>
      <c r="O825">
        <v>0</v>
      </c>
      <c r="P825">
        <v>0</v>
      </c>
      <c r="Q825">
        <v>7.2370536720457976E-6</v>
      </c>
      <c r="R825">
        <v>-1.2397286349421133E-6</v>
      </c>
      <c r="T825" s="60"/>
      <c r="Y825" s="98"/>
    </row>
    <row r="826" spans="4:25" x14ac:dyDescent="0.2">
      <c r="D826" s="63"/>
      <c r="E826" s="29"/>
      <c r="F826" s="67"/>
      <c r="G826" s="67"/>
      <c r="H826" s="67"/>
      <c r="K826">
        <v>3</v>
      </c>
      <c r="L826" s="44">
        <v>0.24500000000000011</v>
      </c>
      <c r="M826">
        <v>7.0442335413929413E-3</v>
      </c>
      <c r="N826">
        <v>-2.5789945819713891</v>
      </c>
      <c r="O826">
        <v>0</v>
      </c>
      <c r="P826">
        <v>0</v>
      </c>
      <c r="Q826">
        <v>7.215336847617934E-6</v>
      </c>
      <c r="R826">
        <v>-1.2421941371726803E-6</v>
      </c>
      <c r="T826" s="60"/>
      <c r="Y826" s="98"/>
    </row>
    <row r="827" spans="4:25" x14ac:dyDescent="0.2">
      <c r="D827" s="63"/>
      <c r="E827" s="65"/>
      <c r="F827" s="66"/>
      <c r="G827" s="66"/>
      <c r="H827" s="66"/>
      <c r="K827">
        <v>3</v>
      </c>
      <c r="L827" s="44">
        <v>0.26250000000000012</v>
      </c>
      <c r="M827">
        <v>7.0442335413929413E-3</v>
      </c>
      <c r="N827">
        <v>-2.5788713078844148</v>
      </c>
      <c r="O827">
        <v>0</v>
      </c>
      <c r="P827">
        <v>0</v>
      </c>
      <c r="Q827">
        <v>7.193576877932191E-6</v>
      </c>
      <c r="R827">
        <v>-1.2446595215568297E-6</v>
      </c>
      <c r="T827" s="60"/>
      <c r="Y827" s="98"/>
    </row>
    <row r="828" spans="4:25" x14ac:dyDescent="0.2">
      <c r="D828" s="63"/>
      <c r="E828" s="29"/>
      <c r="F828" s="67"/>
      <c r="G828" s="67"/>
      <c r="H828" s="67"/>
      <c r="K828">
        <v>3</v>
      </c>
      <c r="L828" s="44">
        <v>0.28000000000000014</v>
      </c>
      <c r="M828">
        <v>7.0442335413929413E-3</v>
      </c>
      <c r="N828">
        <v>-2.5787480337974404</v>
      </c>
      <c r="O828">
        <v>0</v>
      </c>
      <c r="P828">
        <v>0</v>
      </c>
      <c r="Q828">
        <v>7.1717737650508822E-6</v>
      </c>
      <c r="R828">
        <v>-1.2471247880945613E-6</v>
      </c>
      <c r="T828" s="60"/>
      <c r="Y828" s="98"/>
    </row>
    <row r="829" spans="4:25" x14ac:dyDescent="0.2">
      <c r="D829" s="63"/>
      <c r="E829" s="65"/>
      <c r="F829" s="66"/>
      <c r="G829" s="66"/>
      <c r="H829" s="66"/>
      <c r="K829">
        <v>3</v>
      </c>
      <c r="L829" s="44">
        <v>0.29750000000000015</v>
      </c>
      <c r="M829">
        <v>7.0442335413929413E-3</v>
      </c>
      <c r="N829">
        <v>-2.5786247597104661</v>
      </c>
      <c r="O829">
        <v>0</v>
      </c>
      <c r="P829">
        <v>0</v>
      </c>
      <c r="Q829">
        <v>7.1499275110363185E-6</v>
      </c>
      <c r="R829">
        <v>-1.2495899367858753E-6</v>
      </c>
      <c r="T829" s="60"/>
      <c r="Y829" s="98"/>
    </row>
    <row r="830" spans="4:25" x14ac:dyDescent="0.2">
      <c r="D830" s="63"/>
      <c r="E830" s="29"/>
      <c r="F830" s="67"/>
      <c r="G830" s="67"/>
      <c r="H830" s="67"/>
      <c r="K830">
        <v>3</v>
      </c>
      <c r="L830" s="44">
        <v>0.31500000000000017</v>
      </c>
      <c r="M830">
        <v>7.0442335413929413E-3</v>
      </c>
      <c r="N830">
        <v>-2.5785014856234918</v>
      </c>
      <c r="O830">
        <v>0</v>
      </c>
      <c r="P830">
        <v>0</v>
      </c>
      <c r="Q830">
        <v>7.1280381179508143E-6</v>
      </c>
      <c r="R830">
        <v>-1.2520549676307715E-6</v>
      </c>
      <c r="T830" s="60"/>
      <c r="Y830" s="98"/>
    </row>
    <row r="831" spans="4:25" x14ac:dyDescent="0.2">
      <c r="D831" s="63"/>
      <c r="E831" s="65"/>
      <c r="F831" s="66"/>
      <c r="G831" s="66"/>
      <c r="H831" s="66"/>
      <c r="K831">
        <v>3</v>
      </c>
      <c r="L831" s="44">
        <v>0.33250000000000018</v>
      </c>
      <c r="M831">
        <v>7.0442335413929413E-3</v>
      </c>
      <c r="N831">
        <v>-2.5783782115365175</v>
      </c>
      <c r="O831">
        <v>0</v>
      </c>
      <c r="P831">
        <v>0</v>
      </c>
      <c r="Q831">
        <v>7.1061055878566795E-6</v>
      </c>
      <c r="R831">
        <v>-1.2545198806292501E-6</v>
      </c>
      <c r="T831" s="60"/>
      <c r="Y831" s="98"/>
    </row>
    <row r="832" spans="4:25" x14ac:dyDescent="0.2">
      <c r="D832" s="63"/>
      <c r="E832" s="29"/>
      <c r="F832" s="67"/>
      <c r="G832" s="67"/>
      <c r="H832" s="67"/>
      <c r="K832">
        <v>3</v>
      </c>
      <c r="L832" s="44">
        <v>0.3500000000000002</v>
      </c>
      <c r="M832">
        <v>7.0442335413929413E-3</v>
      </c>
      <c r="N832">
        <v>-2.5782549374495431</v>
      </c>
      <c r="O832">
        <v>0</v>
      </c>
      <c r="P832">
        <v>0</v>
      </c>
      <c r="Q832">
        <v>7.0841299228162276E-6</v>
      </c>
      <c r="R832">
        <v>-1.256984675781311E-6</v>
      </c>
      <c r="T832" s="60"/>
      <c r="Y832" s="98"/>
    </row>
    <row r="833" spans="4:25" x14ac:dyDescent="0.2">
      <c r="D833" s="63"/>
      <c r="E833" s="65"/>
      <c r="F833" s="66"/>
      <c r="G833" s="66"/>
      <c r="H833" s="66"/>
      <c r="K833">
        <v>3</v>
      </c>
      <c r="L833" s="44">
        <v>0.36750000000000022</v>
      </c>
      <c r="M833">
        <v>7.0442335413929413E-3</v>
      </c>
      <c r="N833">
        <v>-2.5781316633625684</v>
      </c>
      <c r="O833">
        <v>0</v>
      </c>
      <c r="P833">
        <v>0</v>
      </c>
      <c r="Q833">
        <v>7.0621111248917705E-6</v>
      </c>
      <c r="R833">
        <v>-1.2594493530869542E-6</v>
      </c>
      <c r="T833" s="60"/>
      <c r="Y833" s="98"/>
    </row>
    <row r="834" spans="4:25" x14ac:dyDescent="0.2">
      <c r="D834" s="63"/>
      <c r="E834" s="29"/>
      <c r="F834" s="67"/>
      <c r="G834" s="67"/>
      <c r="H834" s="67"/>
      <c r="K834">
        <v>3</v>
      </c>
      <c r="L834" s="44">
        <v>0.38500000000000023</v>
      </c>
      <c r="M834">
        <v>7.0442335413929413E-3</v>
      </c>
      <c r="N834">
        <v>-2.5780083892755941</v>
      </c>
      <c r="O834">
        <v>0</v>
      </c>
      <c r="P834">
        <v>0</v>
      </c>
      <c r="Q834">
        <v>7.0400491961456216E-6</v>
      </c>
      <c r="R834">
        <v>-1.2619139125461798E-6</v>
      </c>
      <c r="T834" s="60"/>
      <c r="Y834" s="98"/>
    </row>
    <row r="835" spans="4:25" x14ac:dyDescent="0.2">
      <c r="D835" s="63"/>
      <c r="E835" s="65"/>
      <c r="F835" s="66"/>
      <c r="G835" s="66"/>
      <c r="H835" s="66"/>
      <c r="K835">
        <v>3</v>
      </c>
      <c r="L835" s="44">
        <v>0.40250000000000025</v>
      </c>
      <c r="M835">
        <v>7.0442335413929413E-3</v>
      </c>
      <c r="N835">
        <v>-2.5778851151886197</v>
      </c>
      <c r="O835">
        <v>0</v>
      </c>
      <c r="P835">
        <v>0</v>
      </c>
      <c r="Q835">
        <v>7.0179441386400918E-6</v>
      </c>
      <c r="R835">
        <v>-1.2643783541589876E-6</v>
      </c>
      <c r="T835" s="60"/>
      <c r="Y835" s="98"/>
    </row>
    <row r="836" spans="4:25" x14ac:dyDescent="0.2">
      <c r="D836" s="63"/>
      <c r="E836" s="29"/>
      <c r="F836" s="67"/>
      <c r="G836" s="67"/>
      <c r="H836" s="67"/>
      <c r="K836">
        <v>3</v>
      </c>
      <c r="L836" s="44">
        <v>0.42000000000000026</v>
      </c>
      <c r="M836">
        <v>7.0442335413929413E-3</v>
      </c>
      <c r="N836">
        <v>-2.5777618411016454</v>
      </c>
      <c r="O836">
        <v>0</v>
      </c>
      <c r="P836">
        <v>0</v>
      </c>
      <c r="Q836">
        <v>6.9957959544374946E-6</v>
      </c>
      <c r="R836">
        <v>-1.2668426779253778E-6</v>
      </c>
      <c r="T836" s="60"/>
      <c r="Y836" s="98"/>
    </row>
    <row r="837" spans="4:25" x14ac:dyDescent="0.2">
      <c r="D837" s="63"/>
      <c r="E837" s="65"/>
      <c r="F837" s="66"/>
      <c r="G837" s="66"/>
      <c r="H837" s="66"/>
      <c r="K837">
        <v>3</v>
      </c>
      <c r="L837" s="44">
        <v>0.43750000000000028</v>
      </c>
      <c r="M837">
        <v>7.0442335413929413E-3</v>
      </c>
      <c r="N837">
        <v>-2.5776385670146711</v>
      </c>
      <c r="O837">
        <v>0</v>
      </c>
      <c r="P837">
        <v>0</v>
      </c>
      <c r="Q837">
        <v>6.9736046456001409E-6</v>
      </c>
      <c r="R837">
        <v>-1.2693068838453503E-6</v>
      </c>
      <c r="T837" s="60"/>
      <c r="Y837" s="98"/>
    </row>
    <row r="838" spans="4:25" x14ac:dyDescent="0.2">
      <c r="D838" s="63"/>
      <c r="E838" s="29"/>
      <c r="F838" s="67"/>
      <c r="G838" s="67"/>
      <c r="H838" s="67"/>
      <c r="K838">
        <v>3</v>
      </c>
      <c r="L838" s="44">
        <v>0.45500000000000029</v>
      </c>
      <c r="M838">
        <v>7.0442335413929413E-3</v>
      </c>
      <c r="N838">
        <v>-2.5775152929276968</v>
      </c>
      <c r="O838">
        <v>0</v>
      </c>
      <c r="P838">
        <v>0</v>
      </c>
      <c r="Q838">
        <v>6.9513702141903442E-6</v>
      </c>
      <c r="R838">
        <v>-1.2717709719189051E-6</v>
      </c>
      <c r="T838" s="60"/>
      <c r="Y838" s="98"/>
    </row>
    <row r="839" spans="4:25" x14ac:dyDescent="0.2">
      <c r="D839" s="63"/>
      <c r="E839" s="65"/>
      <c r="F839" s="66"/>
      <c r="G839" s="66"/>
      <c r="H839" s="66"/>
      <c r="K839">
        <v>3</v>
      </c>
      <c r="L839" s="44">
        <v>0.47250000000000031</v>
      </c>
      <c r="M839">
        <v>7.0442335413929413E-3</v>
      </c>
      <c r="N839">
        <v>-2.5773920188407224</v>
      </c>
      <c r="O839">
        <v>0</v>
      </c>
      <c r="P839">
        <v>0</v>
      </c>
      <c r="Q839">
        <v>6.9290926622704171E-6</v>
      </c>
      <c r="R839">
        <v>-1.2742349421460422E-6</v>
      </c>
      <c r="T839" s="60"/>
      <c r="Y839" s="98"/>
    </row>
    <row r="840" spans="4:25" x14ac:dyDescent="0.2">
      <c r="D840" s="63"/>
      <c r="E840" s="29"/>
      <c r="F840" s="67"/>
      <c r="G840" s="67"/>
      <c r="H840" s="67"/>
      <c r="K840">
        <v>3</v>
      </c>
      <c r="L840" s="44">
        <v>0.49000000000000032</v>
      </c>
      <c r="M840">
        <v>7.0442335413929413E-3</v>
      </c>
      <c r="N840">
        <v>-2.5772687447537481</v>
      </c>
      <c r="O840">
        <v>0</v>
      </c>
      <c r="P840">
        <v>0</v>
      </c>
      <c r="Q840">
        <v>6.9067719919026705E-6</v>
      </c>
      <c r="R840">
        <v>-1.2766987945267616E-6</v>
      </c>
      <c r="T840" s="60"/>
      <c r="Y840" s="98"/>
    </row>
    <row r="841" spans="4:25" x14ac:dyDescent="0.2">
      <c r="D841" s="63"/>
      <c r="E841" s="65"/>
      <c r="F841" s="66"/>
      <c r="G841" s="66"/>
      <c r="H841" s="66"/>
      <c r="K841">
        <v>3</v>
      </c>
      <c r="L841" s="44">
        <v>0.50750000000000028</v>
      </c>
      <c r="M841">
        <v>7.0442335413929413E-3</v>
      </c>
      <c r="N841">
        <v>-2.5771454706667738</v>
      </c>
      <c r="O841">
        <v>0</v>
      </c>
      <c r="P841">
        <v>0</v>
      </c>
      <c r="Q841">
        <v>6.884408205149418E-6</v>
      </c>
      <c r="R841">
        <v>-1.2791625290610633E-6</v>
      </c>
      <c r="T841" s="60"/>
      <c r="Y841" s="98"/>
    </row>
    <row r="842" spans="4:25" x14ac:dyDescent="0.2">
      <c r="D842" s="63"/>
      <c r="E842" s="29"/>
      <c r="F842" s="67"/>
      <c r="G842" s="67"/>
      <c r="H842" s="67"/>
      <c r="K842">
        <v>3</v>
      </c>
      <c r="L842" s="44">
        <v>0.52500000000000024</v>
      </c>
      <c r="M842">
        <v>7.0442335413929413E-3</v>
      </c>
      <c r="N842">
        <v>-2.577022196579799</v>
      </c>
      <c r="O842">
        <v>0</v>
      </c>
      <c r="P842">
        <v>0</v>
      </c>
      <c r="Q842">
        <v>6.8620013040729704E-6</v>
      </c>
      <c r="R842">
        <v>-1.2816261457489474E-6</v>
      </c>
      <c r="T842" s="60"/>
      <c r="Y842" s="98"/>
    </row>
    <row r="843" spans="4:25" x14ac:dyDescent="0.2">
      <c r="D843" s="63"/>
      <c r="E843" s="65"/>
      <c r="F843" s="66"/>
      <c r="G843" s="66"/>
      <c r="H843" s="66"/>
      <c r="K843">
        <v>3</v>
      </c>
      <c r="L843" s="44">
        <v>0.5425000000000002</v>
      </c>
      <c r="M843">
        <v>7.0442335413929413E-3</v>
      </c>
      <c r="N843">
        <v>-2.5768989224928247</v>
      </c>
      <c r="O843">
        <v>0</v>
      </c>
      <c r="P843">
        <v>0</v>
      </c>
      <c r="Q843">
        <v>6.839551290735642E-6</v>
      </c>
      <c r="R843">
        <v>-1.2840896445904138E-6</v>
      </c>
      <c r="T843" s="60"/>
      <c r="Y843" s="98"/>
    </row>
    <row r="844" spans="4:25" x14ac:dyDescent="0.2">
      <c r="D844" s="63"/>
      <c r="E844" s="29"/>
      <c r="F844" s="67"/>
      <c r="G844" s="67"/>
      <c r="H844" s="67"/>
      <c r="K844">
        <v>3</v>
      </c>
      <c r="L844" s="44">
        <v>0.56000000000000016</v>
      </c>
      <c r="M844">
        <v>7.0442335413929413E-3</v>
      </c>
      <c r="N844">
        <v>-2.5767756484058504</v>
      </c>
      <c r="O844">
        <v>0</v>
      </c>
      <c r="P844">
        <v>0</v>
      </c>
      <c r="Q844">
        <v>6.8170581671997438E-6</v>
      </c>
      <c r="R844">
        <v>-1.2865530255854627E-6</v>
      </c>
      <c r="T844" s="60"/>
      <c r="Y844" s="98"/>
    </row>
    <row r="845" spans="4:25" x14ac:dyDescent="0.2">
      <c r="D845" s="63"/>
      <c r="E845" s="65"/>
      <c r="F845" s="66"/>
      <c r="G845" s="66"/>
      <c r="H845" s="66"/>
      <c r="K845">
        <v>3</v>
      </c>
      <c r="L845" s="44">
        <v>0.57750000000000012</v>
      </c>
      <c r="M845">
        <v>7.0442335413929413E-3</v>
      </c>
      <c r="N845">
        <v>-2.5766523743188761</v>
      </c>
      <c r="O845">
        <v>0</v>
      </c>
      <c r="P845">
        <v>0</v>
      </c>
      <c r="Q845">
        <v>6.7945219355275884E-6</v>
      </c>
      <c r="R845">
        <v>-1.2890162887340939E-6</v>
      </c>
      <c r="T845" s="60"/>
      <c r="Y845" s="98"/>
    </row>
    <row r="846" spans="4:25" x14ac:dyDescent="0.2">
      <c r="D846" s="63"/>
      <c r="E846" s="29"/>
      <c r="F846" s="67"/>
      <c r="G846" s="67"/>
      <c r="H846" s="67"/>
      <c r="K846">
        <v>3</v>
      </c>
      <c r="L846" s="44">
        <v>0.59500000000000008</v>
      </c>
      <c r="M846">
        <v>7.0442335413929413E-3</v>
      </c>
      <c r="N846">
        <v>-2.5765291002319017</v>
      </c>
      <c r="O846">
        <v>0</v>
      </c>
      <c r="P846">
        <v>0</v>
      </c>
      <c r="Q846">
        <v>6.7719425977814884E-6</v>
      </c>
      <c r="R846">
        <v>-1.2914794340363074E-6</v>
      </c>
      <c r="T846" s="60"/>
      <c r="Y846" s="98"/>
    </row>
    <row r="847" spans="4:25" x14ac:dyDescent="0.2">
      <c r="D847" s="63"/>
      <c r="E847" s="65"/>
      <c r="F847" s="66"/>
      <c r="G847" s="66"/>
      <c r="H847" s="66"/>
      <c r="K847">
        <v>3</v>
      </c>
      <c r="L847" s="44">
        <v>0.61250000000000004</v>
      </c>
      <c r="M847">
        <v>7.0442335413929413E-3</v>
      </c>
      <c r="N847">
        <v>-2.5764058261449274</v>
      </c>
      <c r="O847">
        <v>0</v>
      </c>
      <c r="P847">
        <v>0</v>
      </c>
      <c r="Q847">
        <v>6.7493201560237556E-6</v>
      </c>
      <c r="R847">
        <v>-1.2939424614921033E-6</v>
      </c>
      <c r="T847" s="60"/>
      <c r="Y847" s="98"/>
    </row>
    <row r="848" spans="4:25" x14ac:dyDescent="0.2">
      <c r="D848" s="63"/>
      <c r="E848" s="29"/>
      <c r="F848" s="67"/>
      <c r="G848" s="67"/>
      <c r="H848" s="67"/>
      <c r="K848">
        <v>3</v>
      </c>
      <c r="L848" s="44">
        <v>0.63</v>
      </c>
      <c r="M848">
        <v>7.0442335413929413E-3</v>
      </c>
      <c r="N848">
        <v>-2.5762825520579531</v>
      </c>
      <c r="O848">
        <v>0</v>
      </c>
      <c r="P848">
        <v>0</v>
      </c>
      <c r="Q848">
        <v>6.7266546123167018E-6</v>
      </c>
      <c r="R848">
        <v>-1.2964053711014814E-6</v>
      </c>
      <c r="T848" s="60"/>
      <c r="Y848" s="98"/>
    </row>
    <row r="849" spans="4:25" x14ac:dyDescent="0.2">
      <c r="D849" s="63"/>
      <c r="E849" s="65"/>
      <c r="F849" s="66"/>
      <c r="G849" s="66"/>
      <c r="H849" s="66"/>
      <c r="K849">
        <v>3</v>
      </c>
      <c r="L849" s="44">
        <v>0.64749999999999996</v>
      </c>
      <c r="M849">
        <v>7.0442335413929413E-3</v>
      </c>
      <c r="N849">
        <v>-2.5761592779709788</v>
      </c>
      <c r="O849">
        <v>0</v>
      </c>
      <c r="P849">
        <v>0</v>
      </c>
      <c r="Q849">
        <v>6.7039459687226413E-6</v>
      </c>
      <c r="R849">
        <v>-1.2988681628644419E-6</v>
      </c>
      <c r="T849" s="60"/>
      <c r="Y849" s="98"/>
    </row>
    <row r="850" spans="4:25" x14ac:dyDescent="0.2">
      <c r="D850" s="63"/>
      <c r="E850" s="29"/>
      <c r="F850" s="67"/>
      <c r="G850" s="67"/>
      <c r="H850" s="67"/>
      <c r="K850">
        <v>3</v>
      </c>
      <c r="L850" s="44">
        <v>0.66499999999999992</v>
      </c>
      <c r="M850">
        <v>7.0442335413929413E-3</v>
      </c>
      <c r="N850">
        <v>-2.576036003884004</v>
      </c>
      <c r="O850">
        <v>0</v>
      </c>
      <c r="P850">
        <v>0</v>
      </c>
      <c r="Q850">
        <v>6.6811942273038841E-6</v>
      </c>
      <c r="R850">
        <v>-1.3013308367809847E-6</v>
      </c>
      <c r="T850" s="60"/>
      <c r="Y850" s="98"/>
    </row>
    <row r="851" spans="4:25" x14ac:dyDescent="0.2">
      <c r="D851" s="63"/>
      <c r="K851">
        <v>3</v>
      </c>
      <c r="L851" s="44">
        <v>0.68249999999999988</v>
      </c>
      <c r="M851">
        <v>7.0442335413929413E-3</v>
      </c>
      <c r="N851">
        <v>-2.5759127297970297</v>
      </c>
      <c r="O851">
        <v>0</v>
      </c>
      <c r="P851">
        <v>0</v>
      </c>
      <c r="Q851">
        <v>6.6583993901227437E-6</v>
      </c>
      <c r="R851">
        <v>-1.3037933928511098E-6</v>
      </c>
      <c r="T851" s="60"/>
      <c r="Y851" s="98"/>
    </row>
    <row r="852" spans="4:25" x14ac:dyDescent="0.2">
      <c r="D852" s="63"/>
      <c r="K852">
        <v>3</v>
      </c>
      <c r="L852" s="44">
        <v>0.69999999999999984</v>
      </c>
      <c r="M852">
        <v>7.0442335413929413E-3</v>
      </c>
      <c r="N852">
        <v>-2.5757894557100554</v>
      </c>
      <c r="O852">
        <v>0</v>
      </c>
      <c r="P852">
        <v>0</v>
      </c>
      <c r="Q852">
        <v>6.6355614592415328E-6</v>
      </c>
      <c r="R852">
        <v>-1.3062558310748172E-6</v>
      </c>
      <c r="T852" s="60"/>
      <c r="Y852" s="98"/>
    </row>
    <row r="853" spans="4:25" x14ac:dyDescent="0.2">
      <c r="D853" s="63"/>
      <c r="K853">
        <v>3</v>
      </c>
      <c r="L853" s="44">
        <v>0.7174999999999998</v>
      </c>
      <c r="M853">
        <v>7.0442335413929413E-3</v>
      </c>
      <c r="N853">
        <v>-2.575666181623081</v>
      </c>
      <c r="O853">
        <v>0</v>
      </c>
      <c r="P853">
        <v>0</v>
      </c>
      <c r="Q853">
        <v>6.6126804367225631E-6</v>
      </c>
      <c r="R853">
        <v>-1.308718151452107E-6</v>
      </c>
      <c r="T853" s="60"/>
      <c r="Y853" s="98"/>
    </row>
    <row r="854" spans="4:25" x14ac:dyDescent="0.2">
      <c r="D854" s="63"/>
      <c r="K854">
        <v>3</v>
      </c>
      <c r="L854" s="44">
        <v>0.73499999999999976</v>
      </c>
      <c r="M854">
        <v>7.0442335413929413E-3</v>
      </c>
      <c r="N854">
        <v>-2.5755429075361067</v>
      </c>
      <c r="O854">
        <v>0</v>
      </c>
      <c r="P854">
        <v>0</v>
      </c>
      <c r="Q854">
        <v>6.5897563246281465E-6</v>
      </c>
      <c r="R854">
        <v>-1.311180353982979E-6</v>
      </c>
      <c r="T854" s="60"/>
      <c r="Y854" s="98"/>
    </row>
    <row r="855" spans="4:25" x14ac:dyDescent="0.2">
      <c r="D855" s="63"/>
      <c r="K855">
        <v>3</v>
      </c>
      <c r="L855" s="44">
        <v>0.75249999999999972</v>
      </c>
      <c r="M855">
        <v>7.0442335413929413E-3</v>
      </c>
      <c r="N855">
        <v>-2.5754196334491324</v>
      </c>
      <c r="O855">
        <v>0</v>
      </c>
      <c r="P855">
        <v>0</v>
      </c>
      <c r="Q855">
        <v>6.5667891250205962E-6</v>
      </c>
      <c r="R855">
        <v>-1.3136424386674334E-6</v>
      </c>
      <c r="T855" s="60"/>
      <c r="Y855" s="98"/>
    </row>
    <row r="856" spans="4:25" x14ac:dyDescent="0.2">
      <c r="D856" s="63"/>
      <c r="K856">
        <v>3</v>
      </c>
      <c r="L856" s="44">
        <v>0.76999999999999968</v>
      </c>
      <c r="M856">
        <v>7.0442335413929413E-3</v>
      </c>
      <c r="N856">
        <v>-2.5752963593621581</v>
      </c>
      <c r="O856">
        <v>0</v>
      </c>
      <c r="P856">
        <v>0</v>
      </c>
      <c r="Q856">
        <v>6.5437788399622243E-6</v>
      </c>
      <c r="R856">
        <v>-1.3161044055054701E-6</v>
      </c>
      <c r="T856" s="60"/>
      <c r="Y856" s="98"/>
    </row>
    <row r="857" spans="4:25" x14ac:dyDescent="0.2">
      <c r="D857" s="63"/>
      <c r="K857">
        <v>3</v>
      </c>
      <c r="L857" s="44">
        <v>0.78749999999999964</v>
      </c>
      <c r="M857">
        <v>7.0442335413929413E-3</v>
      </c>
      <c r="N857">
        <v>-2.5751730852751837</v>
      </c>
      <c r="O857">
        <v>0</v>
      </c>
      <c r="P857">
        <v>0</v>
      </c>
      <c r="Q857">
        <v>6.5207254715153423E-6</v>
      </c>
      <c r="R857">
        <v>-1.3185662544970891E-6</v>
      </c>
      <c r="T857" s="60"/>
      <c r="Y857" s="98"/>
    </row>
    <row r="858" spans="4:25" x14ac:dyDescent="0.2">
      <c r="D858" s="63"/>
      <c r="K858">
        <v>3</v>
      </c>
      <c r="L858" s="44">
        <v>0.8049999999999996</v>
      </c>
      <c r="M858">
        <v>7.0442335413929413E-3</v>
      </c>
      <c r="N858">
        <v>-2.575049811188209</v>
      </c>
      <c r="O858">
        <v>0</v>
      </c>
      <c r="P858">
        <v>0</v>
      </c>
      <c r="Q858">
        <v>6.497629021742263E-6</v>
      </c>
      <c r="R858">
        <v>-1.3210279856422904E-6</v>
      </c>
      <c r="T858" s="60"/>
      <c r="Y858" s="98"/>
    </row>
    <row r="859" spans="4:25" x14ac:dyDescent="0.2">
      <c r="D859" s="63"/>
      <c r="K859">
        <v>3</v>
      </c>
      <c r="L859" s="44">
        <v>0.82249999999999956</v>
      </c>
      <c r="M859">
        <v>7.0442335413929413E-3</v>
      </c>
      <c r="N859">
        <v>-2.5749265371012346</v>
      </c>
      <c r="O859">
        <v>0</v>
      </c>
      <c r="P859">
        <v>0</v>
      </c>
      <c r="Q859">
        <v>6.4744894927052998E-6</v>
      </c>
      <c r="R859">
        <v>-1.323489598941074E-6</v>
      </c>
      <c r="T859" s="60"/>
      <c r="Y859" s="98"/>
    </row>
    <row r="860" spans="4:25" x14ac:dyDescent="0.2">
      <c r="D860" s="63"/>
      <c r="K860">
        <v>3</v>
      </c>
      <c r="L860" s="44">
        <v>0.83999999999999952</v>
      </c>
      <c r="M860">
        <v>7.0442335413929413E-3</v>
      </c>
      <c r="N860">
        <v>-2.5748032630142603</v>
      </c>
      <c r="O860">
        <v>0</v>
      </c>
      <c r="P860">
        <v>0</v>
      </c>
      <c r="Q860">
        <v>6.4513068864667636E-6</v>
      </c>
      <c r="R860">
        <v>-1.32595109439344E-6</v>
      </c>
      <c r="T860" s="60"/>
      <c r="Y860" s="98"/>
    </row>
    <row r="861" spans="4:25" x14ac:dyDescent="0.2">
      <c r="D861" s="63"/>
      <c r="K861">
        <v>3</v>
      </c>
      <c r="L861" s="44">
        <v>0.85749999999999948</v>
      </c>
      <c r="M861">
        <v>7.0442335413929413E-3</v>
      </c>
      <c r="N861">
        <v>-2.574679988927286</v>
      </c>
      <c r="O861">
        <v>0</v>
      </c>
      <c r="P861">
        <v>0</v>
      </c>
      <c r="Q861">
        <v>6.4280812050889671E-6</v>
      </c>
      <c r="R861">
        <v>-1.3284124719993882E-6</v>
      </c>
      <c r="T861" s="60"/>
      <c r="Y861" s="98"/>
    </row>
    <row r="862" spans="4:25" x14ac:dyDescent="0.2">
      <c r="D862" s="63"/>
      <c r="K862">
        <v>3</v>
      </c>
      <c r="L862" s="44">
        <v>0.87499999999999944</v>
      </c>
      <c r="M862">
        <v>7.0442335413929413E-3</v>
      </c>
      <c r="N862">
        <v>-2.5745567148403117</v>
      </c>
      <c r="O862">
        <v>0</v>
      </c>
      <c r="P862">
        <v>0</v>
      </c>
      <c r="Q862">
        <v>6.404812450634222E-6</v>
      </c>
      <c r="R862">
        <v>-1.3308737317589188E-6</v>
      </c>
      <c r="T862" s="60"/>
      <c r="Y862" s="98"/>
    </row>
    <row r="863" spans="4:25" x14ac:dyDescent="0.2">
      <c r="D863" s="63"/>
      <c r="K863">
        <v>3</v>
      </c>
      <c r="L863" s="44">
        <v>0.8924999999999994</v>
      </c>
      <c r="M863">
        <v>7.0442335413929413E-3</v>
      </c>
      <c r="N863">
        <v>-2.5744334407533374</v>
      </c>
      <c r="O863">
        <v>0</v>
      </c>
      <c r="P863">
        <v>0</v>
      </c>
      <c r="Q863">
        <v>6.3815006251648418E-6</v>
      </c>
      <c r="R863">
        <v>-1.3333348736720317E-6</v>
      </c>
      <c r="T863" s="60"/>
      <c r="Y863" s="98"/>
    </row>
    <row r="864" spans="4:25" x14ac:dyDescent="0.2">
      <c r="D864" s="63"/>
      <c r="K864">
        <v>3</v>
      </c>
      <c r="L864" s="44">
        <v>0.90999999999999936</v>
      </c>
      <c r="M864">
        <v>7.0442335413929413E-3</v>
      </c>
      <c r="N864">
        <v>-2.574310166666363</v>
      </c>
      <c r="O864">
        <v>0</v>
      </c>
      <c r="P864">
        <v>0</v>
      </c>
      <c r="Q864">
        <v>6.3581457307431391E-6</v>
      </c>
      <c r="R864">
        <v>-1.3357958977387269E-6</v>
      </c>
      <c r="T864" s="60"/>
      <c r="Y864" s="98"/>
    </row>
    <row r="865" spans="4:25" x14ac:dyDescent="0.2">
      <c r="D865" s="63"/>
      <c r="K865">
        <v>3</v>
      </c>
      <c r="L865" s="44">
        <v>0.92749999999999932</v>
      </c>
      <c r="M865">
        <v>7.0442335413929413E-3</v>
      </c>
      <c r="N865">
        <v>-2.5741868925793887</v>
      </c>
      <c r="O865">
        <v>0</v>
      </c>
      <c r="P865">
        <v>0</v>
      </c>
      <c r="Q865">
        <v>6.334747769431424E-6</v>
      </c>
      <c r="R865">
        <v>-1.3382568039590044E-6</v>
      </c>
      <c r="T865" s="60"/>
      <c r="Y865" s="98"/>
    </row>
    <row r="866" spans="4:25" x14ac:dyDescent="0.2">
      <c r="D866" s="63"/>
      <c r="K866">
        <v>3</v>
      </c>
      <c r="L866" s="44">
        <v>0.94499999999999929</v>
      </c>
      <c r="M866">
        <v>7.0442335413929413E-3</v>
      </c>
      <c r="N866">
        <v>-2.5740636184924144</v>
      </c>
      <c r="O866">
        <v>0</v>
      </c>
      <c r="P866">
        <v>0</v>
      </c>
      <c r="Q866">
        <v>6.3113067432920108E-6</v>
      </c>
      <c r="R866">
        <v>-1.3407175923328643E-6</v>
      </c>
      <c r="T866" s="60"/>
      <c r="Y866" s="98"/>
    </row>
    <row r="867" spans="4:25" x14ac:dyDescent="0.2">
      <c r="D867" s="63"/>
      <c r="K867">
        <v>3</v>
      </c>
      <c r="L867" s="44">
        <v>0.96249999999999925</v>
      </c>
      <c r="M867">
        <v>7.0442335413929413E-3</v>
      </c>
      <c r="N867">
        <v>-2.5739403444054396</v>
      </c>
      <c r="O867">
        <v>0</v>
      </c>
      <c r="P867">
        <v>0</v>
      </c>
      <c r="Q867">
        <v>6.2878226543872113E-6</v>
      </c>
      <c r="R867">
        <v>-1.3431782628603064E-6</v>
      </c>
      <c r="T867" s="60"/>
      <c r="Y867" s="98"/>
    </row>
    <row r="868" spans="4:25" x14ac:dyDescent="0.2">
      <c r="D868" s="63"/>
      <c r="K868">
        <v>3</v>
      </c>
      <c r="L868" s="44">
        <v>0.97999999999999921</v>
      </c>
      <c r="M868">
        <v>7.0442335413929413E-3</v>
      </c>
      <c r="N868">
        <v>-2.5738170703184653</v>
      </c>
      <c r="O868">
        <v>0</v>
      </c>
      <c r="P868">
        <v>0</v>
      </c>
      <c r="Q868">
        <v>6.2642955047793373E-6</v>
      </c>
      <c r="R868">
        <v>-1.3456388155413309E-6</v>
      </c>
      <c r="T868" s="60"/>
      <c r="Y868" s="98"/>
    </row>
    <row r="869" spans="4:25" x14ac:dyDescent="0.2">
      <c r="D869" s="63"/>
      <c r="K869">
        <v>3</v>
      </c>
      <c r="L869" s="44">
        <v>0.99749999999999917</v>
      </c>
      <c r="M869">
        <v>7.0442335413929413E-3</v>
      </c>
      <c r="N869">
        <v>-2.573693796231491</v>
      </c>
      <c r="O869">
        <v>0</v>
      </c>
      <c r="P869">
        <v>0</v>
      </c>
      <c r="Q869">
        <v>6.2407252965307022E-6</v>
      </c>
      <c r="R869">
        <v>-1.3480992503759377E-6</v>
      </c>
      <c r="T869" s="60"/>
      <c r="Y869" s="98"/>
    </row>
    <row r="870" spans="4:25" x14ac:dyDescent="0.2">
      <c r="D870" s="63"/>
      <c r="K870">
        <v>3</v>
      </c>
      <c r="L870" s="44">
        <v>1.0149999999999992</v>
      </c>
      <c r="M870">
        <v>7.0442335413929413E-3</v>
      </c>
      <c r="N870">
        <v>-2.5735705221445166</v>
      </c>
      <c r="O870">
        <v>0</v>
      </c>
      <c r="P870">
        <v>0</v>
      </c>
      <c r="Q870">
        <v>6.2171120317036178E-6</v>
      </c>
      <c r="R870">
        <v>-1.3505595673641268E-6</v>
      </c>
      <c r="T870" s="60"/>
      <c r="Y870" s="98"/>
    </row>
    <row r="871" spans="4:25" x14ac:dyDescent="0.2">
      <c r="D871" s="63"/>
      <c r="K871">
        <v>3</v>
      </c>
      <c r="L871" s="44">
        <v>1.0324999999999993</v>
      </c>
      <c r="M871">
        <v>7.0442335413929413E-3</v>
      </c>
      <c r="N871">
        <v>-2.5734472480575423</v>
      </c>
      <c r="O871">
        <v>0</v>
      </c>
      <c r="P871">
        <v>0</v>
      </c>
      <c r="Q871">
        <v>6.1934557123603951E-6</v>
      </c>
      <c r="R871">
        <v>-1.3530197665058982E-6</v>
      </c>
      <c r="T871" s="60"/>
      <c r="Y871" s="98"/>
    </row>
    <row r="872" spans="4:25" x14ac:dyDescent="0.2">
      <c r="D872" s="63"/>
      <c r="K872">
        <v>3</v>
      </c>
      <c r="L872" s="44">
        <v>1.0499999999999994</v>
      </c>
      <c r="M872">
        <v>7.0442335413929413E-3</v>
      </c>
      <c r="N872">
        <v>-2.573323973970568</v>
      </c>
      <c r="O872">
        <v>0</v>
      </c>
      <c r="P872">
        <v>0</v>
      </c>
      <c r="Q872">
        <v>6.1697563405633483E-6</v>
      </c>
      <c r="R872">
        <v>-1.3554798478012519E-6</v>
      </c>
      <c r="T872" s="60"/>
      <c r="Y872" s="98"/>
    </row>
    <row r="873" spans="4:25" x14ac:dyDescent="0.2">
      <c r="D873" s="63"/>
      <c r="K873">
        <v>3</v>
      </c>
      <c r="L873" s="44">
        <v>1.0674999999999994</v>
      </c>
      <c r="M873">
        <v>7.0442335413929413E-3</v>
      </c>
      <c r="N873">
        <v>-2.5732006998835937</v>
      </c>
      <c r="O873">
        <v>0</v>
      </c>
      <c r="P873">
        <v>0</v>
      </c>
      <c r="Q873">
        <v>6.1460139183747883E-6</v>
      </c>
      <c r="R873">
        <v>-1.357939811250188E-6</v>
      </c>
      <c r="T873" s="60"/>
      <c r="Y873" s="98"/>
    </row>
    <row r="874" spans="4:25" x14ac:dyDescent="0.2">
      <c r="D874" s="63"/>
      <c r="K874">
        <v>3</v>
      </c>
      <c r="L874" s="44">
        <v>1.0849999999999995</v>
      </c>
      <c r="M874">
        <v>7.0442335413929413E-3</v>
      </c>
      <c r="N874">
        <v>-2.5730774257966194</v>
      </c>
      <c r="O874">
        <v>0</v>
      </c>
      <c r="P874">
        <v>0</v>
      </c>
      <c r="Q874">
        <v>6.1222284478570288E-6</v>
      </c>
      <c r="R874">
        <v>-1.3603996568527063E-6</v>
      </c>
      <c r="T874" s="60"/>
      <c r="Y874" s="98"/>
    </row>
    <row r="875" spans="4:25" x14ac:dyDescent="0.2">
      <c r="D875" s="63"/>
      <c r="K875">
        <v>3</v>
      </c>
      <c r="L875" s="44">
        <v>1.1024999999999996</v>
      </c>
      <c r="M875">
        <v>7.0442335413929413E-3</v>
      </c>
      <c r="N875">
        <v>-2.5729541517096446</v>
      </c>
      <c r="O875">
        <v>0</v>
      </c>
      <c r="P875">
        <v>0</v>
      </c>
      <c r="Q875">
        <v>6.0983999310723813E-6</v>
      </c>
      <c r="R875">
        <v>-1.362859384608807E-6</v>
      </c>
      <c r="T875" s="60"/>
      <c r="Y875" s="98"/>
    </row>
    <row r="876" spans="4:25" x14ac:dyDescent="0.2">
      <c r="D876" s="63"/>
      <c r="K876">
        <v>3</v>
      </c>
      <c r="L876" s="44">
        <v>1.1199999999999997</v>
      </c>
      <c r="M876">
        <v>7.0442335413929413E-3</v>
      </c>
      <c r="N876">
        <v>-2.5728308776226703</v>
      </c>
      <c r="O876">
        <v>0</v>
      </c>
      <c r="P876">
        <v>0</v>
      </c>
      <c r="Q876">
        <v>6.0745283700831577E-6</v>
      </c>
      <c r="R876">
        <v>-1.36531899451849E-6</v>
      </c>
      <c r="T876" s="60"/>
      <c r="Y876" s="98"/>
    </row>
    <row r="877" spans="4:25" x14ac:dyDescent="0.2">
      <c r="D877" s="63"/>
      <c r="K877">
        <v>3</v>
      </c>
      <c r="L877" s="44">
        <v>1.1374999999999997</v>
      </c>
      <c r="M877">
        <v>7.0442335413929413E-3</v>
      </c>
      <c r="N877">
        <v>-2.5727076035356959</v>
      </c>
      <c r="O877">
        <v>0</v>
      </c>
      <c r="P877">
        <v>0</v>
      </c>
      <c r="Q877">
        <v>6.0506137669516715E-6</v>
      </c>
      <c r="R877">
        <v>-1.3677784865817553E-6</v>
      </c>
      <c r="T877" s="60"/>
      <c r="Y877" s="98"/>
    </row>
    <row r="878" spans="4:25" x14ac:dyDescent="0.2">
      <c r="D878" s="63"/>
      <c r="K878">
        <v>3</v>
      </c>
      <c r="L878" s="44">
        <v>1.1549999999999998</v>
      </c>
      <c r="M878">
        <v>7.0442335413929413E-3</v>
      </c>
      <c r="N878">
        <v>-2.5725843294487216</v>
      </c>
      <c r="O878">
        <v>0</v>
      </c>
      <c r="P878">
        <v>0</v>
      </c>
      <c r="Q878">
        <v>6.0266561237402335E-6</v>
      </c>
      <c r="R878">
        <v>-1.3702378607986029E-6</v>
      </c>
      <c r="T878" s="60"/>
      <c r="Y878" s="98"/>
    </row>
    <row r="879" spans="4:25" x14ac:dyDescent="0.2">
      <c r="D879" s="63"/>
      <c r="K879">
        <v>3</v>
      </c>
      <c r="L879" s="44">
        <v>1.1724999999999999</v>
      </c>
      <c r="M879">
        <v>7.0442335413929413E-3</v>
      </c>
      <c r="N879">
        <v>-2.5724610553617473</v>
      </c>
      <c r="O879">
        <v>0</v>
      </c>
      <c r="P879">
        <v>0</v>
      </c>
      <c r="Q879">
        <v>6.0026554425111574E-6</v>
      </c>
      <c r="R879">
        <v>-1.3726971171690329E-6</v>
      </c>
      <c r="T879" s="60"/>
      <c r="Y879" s="98"/>
    </row>
    <row r="880" spans="4:25" x14ac:dyDescent="0.2">
      <c r="D880" s="63"/>
      <c r="K880">
        <v>3</v>
      </c>
      <c r="L880" s="44">
        <v>1.19</v>
      </c>
      <c r="M880">
        <v>7.0442335413929413E-3</v>
      </c>
      <c r="N880">
        <v>-2.572337781274773</v>
      </c>
      <c r="O880">
        <v>0</v>
      </c>
      <c r="P880">
        <v>0</v>
      </c>
      <c r="Q880">
        <v>5.9786117253267547E-6</v>
      </c>
      <c r="R880">
        <v>-1.3751562556930451E-6</v>
      </c>
      <c r="T880" s="60"/>
      <c r="Y880" s="98"/>
    </row>
    <row r="881" spans="4:25" x14ac:dyDescent="0.2">
      <c r="D881" s="63"/>
      <c r="K881">
        <v>3</v>
      </c>
      <c r="L881" s="44">
        <v>1.2075</v>
      </c>
      <c r="M881">
        <v>7.0442335413929413E-3</v>
      </c>
      <c r="N881">
        <v>-2.5722145071877986</v>
      </c>
      <c r="O881">
        <v>0</v>
      </c>
      <c r="P881">
        <v>0</v>
      </c>
      <c r="Q881">
        <v>5.9545249742493382E-6</v>
      </c>
      <c r="R881">
        <v>-1.3776152763706397E-6</v>
      </c>
      <c r="T881" s="60"/>
      <c r="Y881" s="98"/>
    </row>
    <row r="882" spans="4:25" x14ac:dyDescent="0.2">
      <c r="D882" s="63"/>
      <c r="K882">
        <v>3</v>
      </c>
      <c r="L882" s="44">
        <v>1.2250000000000001</v>
      </c>
      <c r="M882">
        <v>7.0442335413929413E-3</v>
      </c>
      <c r="N882">
        <v>-2.5720912331008243</v>
      </c>
      <c r="O882">
        <v>0</v>
      </c>
      <c r="P882">
        <v>0</v>
      </c>
      <c r="Q882">
        <v>5.9303951913412196E-6</v>
      </c>
      <c r="R882">
        <v>-1.3800741792018166E-6</v>
      </c>
      <c r="T882" s="60"/>
      <c r="Y882" s="98"/>
    </row>
    <row r="883" spans="4:25" x14ac:dyDescent="0.2">
      <c r="D883" s="63"/>
      <c r="K883">
        <v>3</v>
      </c>
      <c r="L883" s="44">
        <v>1.2425000000000002</v>
      </c>
      <c r="M883">
        <v>7.0442335413929413E-3</v>
      </c>
      <c r="N883">
        <v>-2.5719679590138496</v>
      </c>
      <c r="O883">
        <v>0</v>
      </c>
      <c r="P883">
        <v>0</v>
      </c>
      <c r="Q883">
        <v>5.9062223786647116E-6</v>
      </c>
      <c r="R883">
        <v>-1.3825329641865758E-6</v>
      </c>
      <c r="T883" s="60"/>
      <c r="Y883" s="98"/>
    </row>
    <row r="884" spans="4:25" x14ac:dyDescent="0.2">
      <c r="D884" s="63"/>
      <c r="K884">
        <v>3</v>
      </c>
      <c r="L884" s="44">
        <v>1.2600000000000002</v>
      </c>
      <c r="M884">
        <v>7.0442335413929413E-3</v>
      </c>
      <c r="N884">
        <v>-2.5718446849268752</v>
      </c>
      <c r="O884">
        <v>0</v>
      </c>
      <c r="P884">
        <v>0</v>
      </c>
      <c r="Q884">
        <v>5.8820065382821267E-6</v>
      </c>
      <c r="R884">
        <v>-1.3849916313249173E-6</v>
      </c>
      <c r="T884" s="60"/>
      <c r="Y884" s="98"/>
    </row>
    <row r="885" spans="4:25" x14ac:dyDescent="0.2">
      <c r="D885" s="63"/>
      <c r="K885">
        <v>3</v>
      </c>
      <c r="L885" s="44">
        <v>1.2775000000000003</v>
      </c>
      <c r="M885">
        <v>7.0442335413929413E-3</v>
      </c>
      <c r="N885">
        <v>-2.5717214108399009</v>
      </c>
      <c r="O885">
        <v>0</v>
      </c>
      <c r="P885">
        <v>0</v>
      </c>
      <c r="Q885">
        <v>5.8577476722557768E-6</v>
      </c>
      <c r="R885">
        <v>-1.3874501806168413E-6</v>
      </c>
      <c r="T885" s="60"/>
      <c r="Y885" s="98"/>
    </row>
    <row r="886" spans="4:25" x14ac:dyDescent="0.2">
      <c r="D886" s="63"/>
      <c r="K886">
        <v>3</v>
      </c>
      <c r="L886" s="44">
        <v>1.2950000000000004</v>
      </c>
      <c r="M886">
        <v>7.0442335413929413E-3</v>
      </c>
      <c r="N886">
        <v>-2.5715981367529266</v>
      </c>
      <c r="O886">
        <v>0</v>
      </c>
      <c r="P886">
        <v>0</v>
      </c>
      <c r="Q886">
        <v>5.8334457826479745E-6</v>
      </c>
      <c r="R886">
        <v>-1.3899086120623475E-6</v>
      </c>
      <c r="T886" s="60"/>
      <c r="Y886" s="98"/>
    </row>
    <row r="887" spans="4:25" x14ac:dyDescent="0.2">
      <c r="D887" s="63"/>
      <c r="K887">
        <v>3</v>
      </c>
      <c r="L887" s="44">
        <v>1.3125000000000004</v>
      </c>
      <c r="M887">
        <v>7.0442335413929413E-3</v>
      </c>
      <c r="N887">
        <v>-2.5714748626659523</v>
      </c>
      <c r="O887">
        <v>0</v>
      </c>
      <c r="P887">
        <v>0</v>
      </c>
      <c r="Q887">
        <v>5.8091008715210323E-6</v>
      </c>
      <c r="R887">
        <v>-1.3923669256614359E-6</v>
      </c>
      <c r="T887" s="60"/>
      <c r="Y887" s="98"/>
    </row>
    <row r="888" spans="4:25" x14ac:dyDescent="0.2">
      <c r="D888" s="63"/>
      <c r="K888">
        <v>3</v>
      </c>
      <c r="L888" s="44">
        <v>1.3300000000000005</v>
      </c>
      <c r="M888">
        <v>7.0442335413929413E-3</v>
      </c>
      <c r="N888">
        <v>-2.5713515885789779</v>
      </c>
      <c r="O888">
        <v>0</v>
      </c>
      <c r="P888">
        <v>0</v>
      </c>
      <c r="Q888">
        <v>5.7847129409372612E-6</v>
      </c>
      <c r="R888">
        <v>-1.3948251214141069E-6</v>
      </c>
      <c r="T888" s="60"/>
      <c r="Y888" s="98"/>
    </row>
    <row r="889" spans="4:25" x14ac:dyDescent="0.2">
      <c r="D889" s="63"/>
      <c r="K889">
        <v>3</v>
      </c>
      <c r="L889" s="44">
        <v>1.3475000000000006</v>
      </c>
      <c r="M889">
        <v>7.0442335413929413E-3</v>
      </c>
      <c r="N889">
        <v>-2.5712283144920036</v>
      </c>
      <c r="O889">
        <v>0</v>
      </c>
      <c r="P889">
        <v>0</v>
      </c>
      <c r="Q889">
        <v>5.7602819929589756E-6</v>
      </c>
      <c r="R889">
        <v>-1.39728319932036E-6</v>
      </c>
      <c r="T889" s="60"/>
      <c r="Y889" s="98"/>
    </row>
    <row r="890" spans="4:25" x14ac:dyDescent="0.2">
      <c r="D890" s="63"/>
      <c r="K890">
        <v>3</v>
      </c>
      <c r="L890" s="44">
        <v>1.3650000000000007</v>
      </c>
      <c r="M890">
        <v>7.0442335413929413E-3</v>
      </c>
      <c r="N890">
        <v>-2.5711050404050293</v>
      </c>
      <c r="O890">
        <v>0</v>
      </c>
      <c r="P890">
        <v>0</v>
      </c>
      <c r="Q890">
        <v>5.7358080296484863E-6</v>
      </c>
      <c r="R890">
        <v>-1.3997411593801956E-6</v>
      </c>
      <c r="T890" s="60"/>
      <c r="Y890" s="98"/>
    </row>
    <row r="891" spans="4:25" x14ac:dyDescent="0.2">
      <c r="D891" s="63"/>
      <c r="K891">
        <v>3</v>
      </c>
      <c r="L891" s="44">
        <v>1.3825000000000007</v>
      </c>
      <c r="M891">
        <v>7.0442335413929413E-3</v>
      </c>
      <c r="N891">
        <v>-2.570981766318055</v>
      </c>
      <c r="O891">
        <v>0</v>
      </c>
      <c r="P891">
        <v>0</v>
      </c>
      <c r="Q891">
        <v>5.711291053068106E-6</v>
      </c>
      <c r="R891">
        <v>-1.4021990015936136E-6</v>
      </c>
      <c r="T891" s="60"/>
      <c r="Y891" s="98"/>
    </row>
    <row r="892" spans="4:25" x14ac:dyDescent="0.2">
      <c r="D892" s="63"/>
      <c r="K892">
        <v>3</v>
      </c>
      <c r="L892" s="44">
        <v>1.4000000000000008</v>
      </c>
      <c r="M892">
        <v>7.0442335413929413E-3</v>
      </c>
      <c r="N892">
        <v>-2.5708584922310802</v>
      </c>
      <c r="O892">
        <v>0</v>
      </c>
      <c r="P892">
        <v>0</v>
      </c>
      <c r="Q892">
        <v>5.6867310652801465E-6</v>
      </c>
      <c r="R892">
        <v>-1.4046567259606138E-6</v>
      </c>
      <c r="T892" s="60"/>
      <c r="Y892" s="98"/>
    </row>
    <row r="893" spans="4:25" x14ac:dyDescent="0.2">
      <c r="D893" s="63"/>
      <c r="K893">
        <v>3</v>
      </c>
      <c r="L893" s="44">
        <v>1.4175000000000009</v>
      </c>
      <c r="M893">
        <v>7.0442335413929413E-3</v>
      </c>
      <c r="N893">
        <v>-2.5707352181441059</v>
      </c>
      <c r="O893">
        <v>0</v>
      </c>
      <c r="P893">
        <v>0</v>
      </c>
      <c r="Q893">
        <v>5.662128068346922E-6</v>
      </c>
      <c r="R893">
        <v>-1.4071143324811964E-6</v>
      </c>
      <c r="T893" s="60"/>
      <c r="Y893" s="98"/>
    </row>
    <row r="894" spans="4:25" x14ac:dyDescent="0.2">
      <c r="D894" s="63"/>
      <c r="K894">
        <v>3</v>
      </c>
      <c r="L894" s="44">
        <v>1.4350000000000009</v>
      </c>
      <c r="M894">
        <v>7.0442335413929413E-3</v>
      </c>
      <c r="N894">
        <v>-2.5706119440571316</v>
      </c>
      <c r="O894">
        <v>0</v>
      </c>
      <c r="P894">
        <v>0</v>
      </c>
      <c r="Q894">
        <v>5.6374820643307418E-6</v>
      </c>
      <c r="R894">
        <v>-1.4095718211553613E-6</v>
      </c>
      <c r="T894" s="60"/>
      <c r="Y894" s="98"/>
    </row>
    <row r="895" spans="4:25" x14ac:dyDescent="0.2">
      <c r="D895" s="63"/>
      <c r="K895">
        <v>3</v>
      </c>
      <c r="L895" s="44">
        <v>1.452500000000001</v>
      </c>
      <c r="M895">
        <v>7.0442335413929413E-3</v>
      </c>
      <c r="N895">
        <v>-2.5704886699701572</v>
      </c>
      <c r="O895">
        <v>0</v>
      </c>
      <c r="P895">
        <v>0</v>
      </c>
      <c r="Q895">
        <v>5.612793055293921E-6</v>
      </c>
      <c r="R895">
        <v>-1.4120291919831085E-6</v>
      </c>
      <c r="T895" s="60"/>
      <c r="Y895" s="98"/>
    </row>
    <row r="896" spans="4:25" x14ac:dyDescent="0.2">
      <c r="D896" s="63"/>
      <c r="K896">
        <v>3</v>
      </c>
      <c r="L896" s="44">
        <v>1.4700000000000011</v>
      </c>
      <c r="M896">
        <v>7.0442335413929413E-3</v>
      </c>
      <c r="N896">
        <v>-2.5703653958831829</v>
      </c>
      <c r="O896">
        <v>0</v>
      </c>
      <c r="P896">
        <v>0</v>
      </c>
      <c r="Q896">
        <v>5.5880610432987707E-6</v>
      </c>
      <c r="R896">
        <v>-1.414486444964438E-6</v>
      </c>
      <c r="T896" s="60"/>
      <c r="Y896" s="98"/>
    </row>
    <row r="897" spans="4:25" x14ac:dyDescent="0.2">
      <c r="D897" s="63"/>
      <c r="K897">
        <v>3</v>
      </c>
      <c r="L897" s="44">
        <v>1.4875000000000012</v>
      </c>
      <c r="M897">
        <v>7.0442335413929413E-3</v>
      </c>
      <c r="N897">
        <v>-2.5702421217962086</v>
      </c>
      <c r="O897">
        <v>0</v>
      </c>
      <c r="P897">
        <v>0</v>
      </c>
      <c r="Q897">
        <v>5.5632860304076034E-6</v>
      </c>
      <c r="R897">
        <v>-1.4169435800993498E-6</v>
      </c>
      <c r="T897" s="60"/>
      <c r="Y897" s="98"/>
    </row>
    <row r="898" spans="4:25" x14ac:dyDescent="0.2">
      <c r="D898" s="63"/>
      <c r="K898">
        <v>3</v>
      </c>
      <c r="L898" s="44">
        <v>1.5050000000000012</v>
      </c>
      <c r="M898">
        <v>7.0442335413929413E-3</v>
      </c>
      <c r="N898">
        <v>-2.5701188477092343</v>
      </c>
      <c r="O898">
        <v>0</v>
      </c>
      <c r="P898">
        <v>0</v>
      </c>
      <c r="Q898">
        <v>5.5384680186827308E-6</v>
      </c>
      <c r="R898">
        <v>-1.419400597387844E-6</v>
      </c>
      <c r="T898" s="60"/>
      <c r="Y898" s="98"/>
    </row>
    <row r="899" spans="4:25" x14ac:dyDescent="0.2">
      <c r="D899" s="63"/>
      <c r="K899">
        <v>3</v>
      </c>
      <c r="L899" s="44">
        <v>1.5225000000000013</v>
      </c>
      <c r="M899">
        <v>7.0442335413929413E-3</v>
      </c>
      <c r="N899">
        <v>-2.5699955736222599</v>
      </c>
      <c r="O899">
        <v>0</v>
      </c>
      <c r="P899">
        <v>0</v>
      </c>
      <c r="Q899">
        <v>5.5136070101864657E-6</v>
      </c>
      <c r="R899">
        <v>-1.4218574968299204E-6</v>
      </c>
      <c r="T899" s="60"/>
      <c r="Y899" s="98"/>
    </row>
    <row r="900" spans="4:25" x14ac:dyDescent="0.2">
      <c r="D900" s="63"/>
      <c r="K900">
        <v>3</v>
      </c>
      <c r="L900" s="44">
        <v>1.5400000000000014</v>
      </c>
      <c r="M900">
        <v>7.0442335413929413E-3</v>
      </c>
      <c r="N900">
        <v>-2.5698722995352852</v>
      </c>
      <c r="O900">
        <v>0</v>
      </c>
      <c r="P900">
        <v>0</v>
      </c>
      <c r="Q900">
        <v>5.4887030069811206E-6</v>
      </c>
      <c r="R900">
        <v>-1.4243142784255792E-6</v>
      </c>
      <c r="T900" s="60"/>
      <c r="Y900" s="98"/>
    </row>
    <row r="901" spans="4:25" x14ac:dyDescent="0.2">
      <c r="D901" s="63"/>
      <c r="K901">
        <v>3</v>
      </c>
      <c r="L901" s="44">
        <v>1.5575000000000014</v>
      </c>
      <c r="M901">
        <v>7.0442335413929413E-3</v>
      </c>
      <c r="N901">
        <v>-2.5697490254483109</v>
      </c>
      <c r="O901">
        <v>0</v>
      </c>
      <c r="P901">
        <v>0</v>
      </c>
      <c r="Q901">
        <v>5.4637560111290081E-6</v>
      </c>
      <c r="R901">
        <v>-1.4267709421748203E-6</v>
      </c>
      <c r="T901" s="60"/>
      <c r="Y901" s="98"/>
    </row>
    <row r="902" spans="4:25" x14ac:dyDescent="0.2">
      <c r="D902" s="63"/>
      <c r="K902">
        <v>3</v>
      </c>
      <c r="L902" s="44">
        <v>1.5750000000000015</v>
      </c>
      <c r="M902">
        <v>7.0442335413929413E-3</v>
      </c>
      <c r="N902">
        <v>-2.5696257513613365</v>
      </c>
      <c r="O902">
        <v>0</v>
      </c>
      <c r="P902">
        <v>0</v>
      </c>
      <c r="Q902">
        <v>5.4387660246924392E-6</v>
      </c>
      <c r="R902">
        <v>-1.4292274880776437E-6</v>
      </c>
      <c r="T902" s="60"/>
      <c r="Y902" s="98"/>
    </row>
    <row r="903" spans="4:25" x14ac:dyDescent="0.2">
      <c r="D903" s="63"/>
      <c r="K903">
        <v>3</v>
      </c>
      <c r="L903" s="44">
        <v>1.5925000000000016</v>
      </c>
      <c r="M903">
        <v>7.0442335413929413E-3</v>
      </c>
      <c r="N903">
        <v>-2.5695024772743622</v>
      </c>
      <c r="O903">
        <v>0</v>
      </c>
      <c r="P903">
        <v>0</v>
      </c>
      <c r="Q903">
        <v>5.4137330497337273E-6</v>
      </c>
      <c r="R903">
        <v>-1.4316839161340494E-6</v>
      </c>
      <c r="T903" s="60"/>
      <c r="Y903" s="98"/>
    </row>
    <row r="904" spans="4:25" x14ac:dyDescent="0.2">
      <c r="D904" s="63"/>
      <c r="K904">
        <v>3</v>
      </c>
      <c r="L904" s="44">
        <v>1.6100000000000017</v>
      </c>
      <c r="M904">
        <v>7.0442335413929413E-3</v>
      </c>
      <c r="N904">
        <v>-2.5693792031873879</v>
      </c>
      <c r="O904">
        <v>0</v>
      </c>
      <c r="P904">
        <v>0</v>
      </c>
      <c r="Q904">
        <v>5.3886570883151843E-6</v>
      </c>
      <c r="R904">
        <v>-1.4341402263440374E-6</v>
      </c>
      <c r="T904" s="60"/>
      <c r="Y904" s="98"/>
    </row>
    <row r="905" spans="4:25" x14ac:dyDescent="0.2">
      <c r="D905" s="63"/>
      <c r="K905">
        <v>3</v>
      </c>
      <c r="L905" s="44">
        <v>1.6275000000000017</v>
      </c>
      <c r="M905">
        <v>7.0442335413929413E-3</v>
      </c>
      <c r="N905">
        <v>-2.5692559291004136</v>
      </c>
      <c r="O905">
        <v>0</v>
      </c>
      <c r="P905">
        <v>0</v>
      </c>
      <c r="Q905">
        <v>5.3635381424991235E-6</v>
      </c>
      <c r="R905">
        <v>-1.4365964187076078E-6</v>
      </c>
      <c r="T905" s="60"/>
      <c r="Y905" s="98"/>
    </row>
    <row r="906" spans="4:25" x14ac:dyDescent="0.2">
      <c r="D906" s="63"/>
      <c r="K906">
        <v>3</v>
      </c>
      <c r="L906" s="44">
        <v>1.6450000000000018</v>
      </c>
      <c r="M906">
        <v>7.0442335413929413E-3</v>
      </c>
      <c r="N906">
        <v>-2.5691326550134392</v>
      </c>
      <c r="O906">
        <v>0</v>
      </c>
      <c r="P906">
        <v>0</v>
      </c>
      <c r="Q906">
        <v>5.338376214347856E-6</v>
      </c>
      <c r="R906">
        <v>-1.4390524932247605E-6</v>
      </c>
      <c r="T906" s="60"/>
      <c r="Y906" s="98"/>
    </row>
    <row r="907" spans="4:25" x14ac:dyDescent="0.2">
      <c r="D907" s="63"/>
      <c r="K907">
        <v>3</v>
      </c>
      <c r="L907" s="44">
        <v>1.6625000000000019</v>
      </c>
      <c r="M907">
        <v>7.0442335413929413E-3</v>
      </c>
      <c r="N907">
        <v>-2.5690093809264649</v>
      </c>
      <c r="O907">
        <v>0</v>
      </c>
      <c r="P907">
        <v>0</v>
      </c>
      <c r="Q907">
        <v>5.3131713059236935E-6</v>
      </c>
      <c r="R907">
        <v>-1.4415084498954954E-6</v>
      </c>
      <c r="T907" s="60"/>
      <c r="Y907" s="98"/>
    </row>
    <row r="908" spans="4:25" x14ac:dyDescent="0.2">
      <c r="D908" s="63"/>
      <c r="K908">
        <v>3</v>
      </c>
      <c r="L908" s="44">
        <v>1.6800000000000019</v>
      </c>
      <c r="M908">
        <v>7.0442335413929413E-3</v>
      </c>
      <c r="N908">
        <v>-2.5688861068394901</v>
      </c>
      <c r="O908">
        <v>0</v>
      </c>
      <c r="P908">
        <v>0</v>
      </c>
      <c r="Q908">
        <v>5.287923419288951E-6</v>
      </c>
      <c r="R908">
        <v>-1.4439642887198127E-6</v>
      </c>
      <c r="T908" s="60"/>
      <c r="Y908" s="98"/>
    </row>
    <row r="909" spans="4:25" x14ac:dyDescent="0.2">
      <c r="D909" s="63"/>
      <c r="K909">
        <v>3</v>
      </c>
      <c r="L909" s="44">
        <v>1.697500000000002</v>
      </c>
      <c r="M909">
        <v>7.0442335413929413E-3</v>
      </c>
      <c r="N909">
        <v>-2.5687628327525158</v>
      </c>
      <c r="O909">
        <v>0</v>
      </c>
      <c r="P909">
        <v>0</v>
      </c>
      <c r="Q909">
        <v>5.262632556505938E-6</v>
      </c>
      <c r="R909">
        <v>-1.4464200096977124E-6</v>
      </c>
      <c r="T909" s="60"/>
      <c r="Y909" s="98"/>
    </row>
    <row r="910" spans="4:25" x14ac:dyDescent="0.2">
      <c r="D910" s="63"/>
      <c r="K910">
        <v>3</v>
      </c>
      <c r="L910" s="44">
        <v>1.7150000000000021</v>
      </c>
      <c r="M910">
        <v>7.0442335413929413E-3</v>
      </c>
      <c r="N910">
        <v>-2.5686395586655415</v>
      </c>
      <c r="O910">
        <v>0</v>
      </c>
      <c r="P910">
        <v>0</v>
      </c>
      <c r="Q910">
        <v>5.2372987196369679E-6</v>
      </c>
      <c r="R910">
        <v>-1.4488756128291943E-6</v>
      </c>
      <c r="T910" s="60"/>
      <c r="Y910" s="98"/>
    </row>
    <row r="911" spans="4:25" x14ac:dyDescent="0.2">
      <c r="D911" s="63"/>
      <c r="K911">
        <v>3</v>
      </c>
      <c r="L911" s="44">
        <v>1.7325000000000021</v>
      </c>
      <c r="M911">
        <v>7.0442335413929413E-3</v>
      </c>
      <c r="N911">
        <v>-2.5685162845785672</v>
      </c>
      <c r="O911">
        <v>0</v>
      </c>
      <c r="P911">
        <v>0</v>
      </c>
      <c r="Q911">
        <v>5.2119219107443532E-6</v>
      </c>
      <c r="R911">
        <v>-1.4513310981142585E-6</v>
      </c>
      <c r="T911" s="60"/>
      <c r="Y911" s="98"/>
    </row>
    <row r="912" spans="4:25" x14ac:dyDescent="0.2">
      <c r="D912" s="63"/>
      <c r="K912">
        <v>3</v>
      </c>
      <c r="L912" s="44">
        <v>1.7500000000000022</v>
      </c>
      <c r="M912">
        <v>7.0442335413929413E-3</v>
      </c>
      <c r="N912">
        <v>-2.5683930104915929</v>
      </c>
      <c r="O912">
        <v>0</v>
      </c>
      <c r="P912">
        <v>0</v>
      </c>
      <c r="Q912">
        <v>5.1865021318904066E-6</v>
      </c>
      <c r="R912">
        <v>-1.4537864655529051E-6</v>
      </c>
      <c r="T912" s="60"/>
      <c r="Y912" s="98"/>
    </row>
    <row r="913" spans="4:25" x14ac:dyDescent="0.2">
      <c r="D913" s="63"/>
      <c r="K913">
        <v>3</v>
      </c>
      <c r="L913" s="44">
        <v>1.7675000000000023</v>
      </c>
      <c r="M913">
        <v>7.0442335413929413E-3</v>
      </c>
      <c r="N913">
        <v>-2.5682697364046185</v>
      </c>
      <c r="O913">
        <v>0</v>
      </c>
      <c r="P913">
        <v>0</v>
      </c>
      <c r="Q913">
        <v>5.161039385137439E-6</v>
      </c>
      <c r="R913">
        <v>-1.456241715145134E-6</v>
      </c>
      <c r="T913" s="60"/>
      <c r="Y913" s="98"/>
    </row>
    <row r="914" spans="4:25" x14ac:dyDescent="0.2">
      <c r="D914" s="63"/>
      <c r="K914">
        <v>3</v>
      </c>
      <c r="L914" s="44">
        <v>1.7850000000000024</v>
      </c>
      <c r="M914">
        <v>7.0442335413929413E-3</v>
      </c>
      <c r="N914">
        <v>-2.5681464623176442</v>
      </c>
      <c r="O914">
        <v>0</v>
      </c>
      <c r="P914">
        <v>0</v>
      </c>
      <c r="Q914">
        <v>5.1355336725477639E-6</v>
      </c>
      <c r="R914">
        <v>-1.4586968468909451E-6</v>
      </c>
      <c r="T914" s="60"/>
      <c r="Y914" s="98"/>
    </row>
    <row r="915" spans="4:25" x14ac:dyDescent="0.2">
      <c r="D915" s="63"/>
      <c r="K915">
        <v>3</v>
      </c>
      <c r="L915" s="44">
        <v>1.8025000000000024</v>
      </c>
      <c r="M915">
        <v>7.0442335413929413E-3</v>
      </c>
      <c r="N915">
        <v>-2.5680231882306699</v>
      </c>
      <c r="O915">
        <v>0</v>
      </c>
      <c r="P915">
        <v>0</v>
      </c>
      <c r="Q915">
        <v>5.1099849961836922E-6</v>
      </c>
      <c r="R915">
        <v>-1.4611518607903387E-6</v>
      </c>
      <c r="T915" s="60"/>
      <c r="Y915" s="98"/>
    </row>
    <row r="916" spans="4:25" x14ac:dyDescent="0.2">
      <c r="D916" s="63"/>
      <c r="K916">
        <v>3</v>
      </c>
      <c r="L916" s="44">
        <v>1.8200000000000025</v>
      </c>
      <c r="M916">
        <v>7.0442335413929413E-3</v>
      </c>
      <c r="N916">
        <v>-2.5678999141436951</v>
      </c>
      <c r="O916">
        <v>0</v>
      </c>
      <c r="P916">
        <v>0</v>
      </c>
      <c r="Q916">
        <v>5.0843933581075383E-6</v>
      </c>
      <c r="R916">
        <v>-1.4636067568433145E-6</v>
      </c>
      <c r="T916" s="60"/>
      <c r="Y916" s="98"/>
    </row>
    <row r="917" spans="4:25" x14ac:dyDescent="0.2">
      <c r="D917" s="63"/>
      <c r="K917">
        <v>3</v>
      </c>
      <c r="L917" s="44">
        <v>1.8375000000000026</v>
      </c>
      <c r="M917">
        <v>7.0442335413929413E-3</v>
      </c>
      <c r="N917">
        <v>-2.5677766400567208</v>
      </c>
      <c r="O917">
        <v>0</v>
      </c>
      <c r="P917">
        <v>0</v>
      </c>
      <c r="Q917">
        <v>5.0587587603816138E-6</v>
      </c>
      <c r="R917">
        <v>-1.4660615350498726E-6</v>
      </c>
      <c r="T917" s="60"/>
      <c r="Y917" s="98"/>
    </row>
    <row r="918" spans="4:25" x14ac:dyDescent="0.2">
      <c r="D918" s="63"/>
      <c r="K918">
        <v>3</v>
      </c>
      <c r="L918" s="44">
        <v>1.8550000000000026</v>
      </c>
      <c r="M918">
        <v>7.0442335413929413E-3</v>
      </c>
      <c r="N918">
        <v>-2.5676533659697465</v>
      </c>
      <c r="O918">
        <v>0</v>
      </c>
      <c r="P918">
        <v>0</v>
      </c>
      <c r="Q918">
        <v>5.0330812050682307E-6</v>
      </c>
      <c r="R918">
        <v>-1.4685161954100131E-6</v>
      </c>
      <c r="T918" s="60"/>
      <c r="Y918" s="98"/>
    </row>
    <row r="919" spans="4:25" x14ac:dyDescent="0.2">
      <c r="D919" s="63"/>
      <c r="K919">
        <v>3</v>
      </c>
      <c r="L919" s="44">
        <v>1.8725000000000027</v>
      </c>
      <c r="M919">
        <v>7.0442335413929413E-3</v>
      </c>
      <c r="N919">
        <v>-2.5675300918827721</v>
      </c>
      <c r="O919">
        <v>0</v>
      </c>
      <c r="P919">
        <v>0</v>
      </c>
      <c r="Q919">
        <v>5.0073606942297006E-6</v>
      </c>
      <c r="R919">
        <v>-1.4709707379237358E-6</v>
      </c>
      <c r="T919" s="60"/>
      <c r="Y919" s="98"/>
    </row>
    <row r="920" spans="4:25" x14ac:dyDescent="0.2">
      <c r="D920" s="63"/>
      <c r="K920">
        <v>3</v>
      </c>
      <c r="L920" s="44">
        <v>1.8900000000000028</v>
      </c>
      <c r="M920">
        <v>7.0442335413929413E-3</v>
      </c>
      <c r="N920">
        <v>-2.5674068177957978</v>
      </c>
      <c r="O920">
        <v>0</v>
      </c>
      <c r="P920">
        <v>0</v>
      </c>
      <c r="Q920">
        <v>4.981597229928337E-6</v>
      </c>
      <c r="R920">
        <v>-1.4734251625910409E-6</v>
      </c>
      <c r="T920" s="60"/>
      <c r="Y920" s="98"/>
    </row>
    <row r="921" spans="4:25" x14ac:dyDescent="0.2">
      <c r="D921" s="63"/>
      <c r="K921">
        <v>3</v>
      </c>
      <c r="L921" s="44">
        <v>1.9075000000000029</v>
      </c>
      <c r="M921">
        <v>7.0442335413929413E-3</v>
      </c>
      <c r="N921">
        <v>-2.5672835437088235</v>
      </c>
      <c r="O921">
        <v>0</v>
      </c>
      <c r="P921">
        <v>0</v>
      </c>
      <c r="Q921">
        <v>4.9557908142264517E-6</v>
      </c>
      <c r="R921">
        <v>-1.4758794694119283E-6</v>
      </c>
      <c r="T921" s="60"/>
      <c r="Y921" s="98"/>
    </row>
    <row r="922" spans="4:25" x14ac:dyDescent="0.2">
      <c r="D922" s="63"/>
      <c r="K922">
        <v>3</v>
      </c>
      <c r="L922" s="44">
        <v>1.9250000000000029</v>
      </c>
      <c r="M922">
        <v>7.0442335413929413E-3</v>
      </c>
      <c r="N922">
        <v>-2.5671602696218492</v>
      </c>
      <c r="O922">
        <v>0</v>
      </c>
      <c r="P922">
        <v>0</v>
      </c>
      <c r="Q922">
        <v>4.9299414491863565E-6</v>
      </c>
      <c r="R922">
        <v>-1.478333658386398E-6</v>
      </c>
      <c r="T922" s="60"/>
      <c r="Y922" s="98"/>
    </row>
    <row r="923" spans="4:25" x14ac:dyDescent="0.2">
      <c r="D923" s="63"/>
      <c r="K923">
        <v>3</v>
      </c>
      <c r="L923" s="44">
        <v>1.942500000000003</v>
      </c>
      <c r="M923">
        <v>7.0442335413929413E-3</v>
      </c>
      <c r="N923">
        <v>-2.5670369955348749</v>
      </c>
      <c r="O923">
        <v>0</v>
      </c>
      <c r="P923">
        <v>0</v>
      </c>
      <c r="Q923">
        <v>4.9040491368703648E-6</v>
      </c>
      <c r="R923">
        <v>-1.48078772951445E-6</v>
      </c>
      <c r="T923" s="60"/>
      <c r="Y923" s="98"/>
    </row>
    <row r="924" spans="4:25" x14ac:dyDescent="0.2">
      <c r="D924" s="63"/>
      <c r="K924">
        <v>3</v>
      </c>
      <c r="L924" s="44">
        <v>1.9600000000000031</v>
      </c>
      <c r="M924">
        <v>7.0442335413929413E-3</v>
      </c>
      <c r="N924">
        <v>-2.5669137214479005</v>
      </c>
      <c r="O924">
        <v>0</v>
      </c>
      <c r="P924">
        <v>0</v>
      </c>
      <c r="Q924">
        <v>4.8781138793407884E-6</v>
      </c>
      <c r="R924">
        <v>-1.4832416827960844E-6</v>
      </c>
      <c r="T924" s="60"/>
      <c r="Y924" s="98"/>
    </row>
    <row r="925" spans="4:25" x14ac:dyDescent="0.2">
      <c r="D925" s="63"/>
      <c r="K925">
        <v>3</v>
      </c>
      <c r="L925" s="44">
        <v>1.9775000000000031</v>
      </c>
      <c r="M925">
        <v>7.0442335413929413E-3</v>
      </c>
      <c r="N925">
        <v>-2.5667904473609258</v>
      </c>
      <c r="O925">
        <v>0</v>
      </c>
      <c r="P925">
        <v>0</v>
      </c>
      <c r="Q925">
        <v>4.8521356786599392E-6</v>
      </c>
      <c r="R925">
        <v>-1.4856955182313011E-6</v>
      </c>
      <c r="T925" s="60"/>
      <c r="Y925" s="98"/>
    </row>
    <row r="926" spans="4:25" x14ac:dyDescent="0.2">
      <c r="D926" s="63"/>
      <c r="K926">
        <v>3</v>
      </c>
      <c r="L926" s="44">
        <v>1.9950000000000032</v>
      </c>
      <c r="M926">
        <v>7.0442335413929413E-3</v>
      </c>
      <c r="N926">
        <v>-2.5666671732739514</v>
      </c>
      <c r="O926">
        <v>0</v>
      </c>
      <c r="P926">
        <v>0</v>
      </c>
      <c r="Q926">
        <v>4.8261145368901305E-6</v>
      </c>
      <c r="R926">
        <v>-1.4881492358201E-6</v>
      </c>
      <c r="T926" s="60"/>
      <c r="Y926" s="98"/>
    </row>
    <row r="927" spans="4:25" x14ac:dyDescent="0.2">
      <c r="D927" s="63"/>
      <c r="K927">
        <v>3</v>
      </c>
      <c r="L927" s="44">
        <v>2.0125000000000033</v>
      </c>
      <c r="M927">
        <v>7.0442335413929413E-3</v>
      </c>
      <c r="N927">
        <v>-2.5665438991869771</v>
      </c>
      <c r="O927">
        <v>0</v>
      </c>
      <c r="P927">
        <v>0</v>
      </c>
      <c r="Q927">
        <v>4.8000504560936741E-6</v>
      </c>
      <c r="R927">
        <v>-1.4906028355624813E-6</v>
      </c>
      <c r="T927" s="60"/>
      <c r="Y927" s="98"/>
    </row>
    <row r="928" spans="4:25" x14ac:dyDescent="0.2">
      <c r="D928" s="63"/>
      <c r="K928">
        <v>3</v>
      </c>
      <c r="L928" s="44">
        <v>2.0300000000000034</v>
      </c>
      <c r="M928">
        <v>7.0442335413929413E-3</v>
      </c>
      <c r="N928">
        <v>-2.5664206251000028</v>
      </c>
      <c r="O928">
        <v>0</v>
      </c>
      <c r="P928">
        <v>0</v>
      </c>
      <c r="Q928">
        <v>4.7739434383328801E-6</v>
      </c>
      <c r="R928">
        <v>-1.4930563174584449E-6</v>
      </c>
      <c r="T928" s="60"/>
      <c r="Y928" s="98"/>
    </row>
    <row r="929" spans="4:25" x14ac:dyDescent="0.2">
      <c r="D929" s="63"/>
      <c r="K929">
        <v>3</v>
      </c>
      <c r="L929" s="44">
        <v>2.0475000000000034</v>
      </c>
      <c r="M929">
        <v>7.0442335413929413E-3</v>
      </c>
      <c r="N929">
        <v>-2.5662973510130285</v>
      </c>
      <c r="O929">
        <v>0</v>
      </c>
      <c r="P929">
        <v>0</v>
      </c>
      <c r="Q929">
        <v>4.7477934856700654E-6</v>
      </c>
      <c r="R929">
        <v>-1.4955096815079908E-6</v>
      </c>
      <c r="T929" s="60"/>
      <c r="Y929" s="98"/>
    </row>
    <row r="930" spans="4:25" x14ac:dyDescent="0.2">
      <c r="D930" s="63"/>
      <c r="K930">
        <v>3</v>
      </c>
      <c r="L930" s="44">
        <v>2.0650000000000035</v>
      </c>
      <c r="M930">
        <v>7.0442335413929413E-3</v>
      </c>
      <c r="N930">
        <v>-2.5661740769260541</v>
      </c>
      <c r="O930">
        <v>0</v>
      </c>
      <c r="P930">
        <v>0</v>
      </c>
      <c r="Q930">
        <v>4.7216006001675383E-6</v>
      </c>
      <c r="R930">
        <v>-1.4979629277111193E-6</v>
      </c>
      <c r="T930" s="60"/>
      <c r="Y930" s="98"/>
    </row>
    <row r="931" spans="4:25" x14ac:dyDescent="0.2">
      <c r="D931" s="63"/>
      <c r="K931">
        <v>3</v>
      </c>
      <c r="L931" s="44">
        <v>2.0825000000000036</v>
      </c>
      <c r="M931">
        <v>7.0442335413929413E-3</v>
      </c>
      <c r="N931">
        <v>-2.5660508028390798</v>
      </c>
      <c r="O931">
        <v>0</v>
      </c>
      <c r="P931">
        <v>0</v>
      </c>
      <c r="Q931">
        <v>4.6953647838876133E-6</v>
      </c>
      <c r="R931">
        <v>-1.5004160560678298E-6</v>
      </c>
      <c r="T931" s="60"/>
      <c r="Y931" s="98"/>
    </row>
    <row r="932" spans="4:25" x14ac:dyDescent="0.2">
      <c r="D932" s="63"/>
      <c r="K932">
        <v>3</v>
      </c>
      <c r="L932" s="44">
        <v>2.1000000000000036</v>
      </c>
      <c r="M932">
        <v>7.0442335413929413E-3</v>
      </c>
      <c r="N932">
        <v>-2.5659275287521055</v>
      </c>
      <c r="O932">
        <v>0</v>
      </c>
      <c r="P932">
        <v>0</v>
      </c>
      <c r="Q932">
        <v>4.6690860388926011E-6</v>
      </c>
      <c r="R932">
        <v>-1.5028690665781227E-6</v>
      </c>
      <c r="T932" s="60"/>
      <c r="Y932" s="98"/>
    </row>
    <row r="933" spans="4:25" x14ac:dyDescent="0.2">
      <c r="D933" s="63"/>
      <c r="K933">
        <v>3</v>
      </c>
      <c r="L933" s="44">
        <v>2.1175000000000037</v>
      </c>
      <c r="M933">
        <v>7.0442335413929413E-3</v>
      </c>
      <c r="N933">
        <v>-2.5658042546651307</v>
      </c>
      <c r="O933">
        <v>0</v>
      </c>
      <c r="P933">
        <v>0</v>
      </c>
      <c r="Q933">
        <v>4.6427643672448161E-6</v>
      </c>
      <c r="R933">
        <v>-1.5053219592419979E-6</v>
      </c>
      <c r="T933" s="60"/>
      <c r="Y933" s="98"/>
    </row>
    <row r="934" spans="4:25" x14ac:dyDescent="0.2">
      <c r="D934" s="63"/>
      <c r="K934">
        <v>3</v>
      </c>
      <c r="L934" s="44">
        <v>2.1350000000000038</v>
      </c>
      <c r="M934">
        <v>7.0442335413929413E-3</v>
      </c>
      <c r="N934">
        <v>-2.5656809805781564</v>
      </c>
      <c r="O934">
        <v>0</v>
      </c>
      <c r="P934">
        <v>0</v>
      </c>
      <c r="Q934">
        <v>4.6163997710065693E-6</v>
      </c>
      <c r="R934">
        <v>-1.5077747340594556E-6</v>
      </c>
      <c r="T934" s="60"/>
      <c r="Y934" s="98"/>
    </row>
    <row r="935" spans="4:25" x14ac:dyDescent="0.2">
      <c r="D935" s="63"/>
      <c r="K935">
        <v>3</v>
      </c>
      <c r="L935" s="44">
        <v>2.1525000000000039</v>
      </c>
      <c r="M935">
        <v>7.0442335413929413E-3</v>
      </c>
      <c r="N935">
        <v>-2.5655577064911821</v>
      </c>
      <c r="O935">
        <v>0</v>
      </c>
      <c r="P935">
        <v>0</v>
      </c>
      <c r="Q935">
        <v>4.5899922522401723E-6</v>
      </c>
      <c r="R935">
        <v>-1.5102273910304954E-6</v>
      </c>
      <c r="T935" s="60"/>
      <c r="Y935" s="98"/>
    </row>
    <row r="936" spans="4:25" x14ac:dyDescent="0.2">
      <c r="D936" s="63"/>
      <c r="K936">
        <v>3</v>
      </c>
      <c r="L936" s="44">
        <v>2.1700000000000039</v>
      </c>
      <c r="M936">
        <v>7.0442335413929413E-3</v>
      </c>
      <c r="N936">
        <v>-2.5654344324042078</v>
      </c>
      <c r="O936">
        <v>0</v>
      </c>
      <c r="P936">
        <v>0</v>
      </c>
      <c r="Q936">
        <v>4.5635418130079388E-6</v>
      </c>
      <c r="R936">
        <v>-1.5126799301551178E-6</v>
      </c>
      <c r="T936" s="60"/>
      <c r="Y936" s="98"/>
    </row>
    <row r="937" spans="4:25" x14ac:dyDescent="0.2">
      <c r="D937" s="63"/>
      <c r="K937">
        <v>3</v>
      </c>
      <c r="L937" s="44">
        <v>2.187500000000004</v>
      </c>
      <c r="M937">
        <v>7.0442335413929413E-3</v>
      </c>
      <c r="N937">
        <v>-2.5653111583172334</v>
      </c>
      <c r="O937">
        <v>0</v>
      </c>
      <c r="P937">
        <v>0</v>
      </c>
      <c r="Q937">
        <v>4.5370484553721804E-6</v>
      </c>
      <c r="R937">
        <v>-1.5151323514333224E-6</v>
      </c>
      <c r="T937" s="60"/>
      <c r="Y937" s="98"/>
    </row>
    <row r="938" spans="4:25" x14ac:dyDescent="0.2">
      <c r="D938" s="63"/>
      <c r="K938">
        <v>3</v>
      </c>
      <c r="L938" s="44">
        <v>2.2050000000000041</v>
      </c>
      <c r="M938">
        <v>7.0442335413929413E-3</v>
      </c>
      <c r="N938">
        <v>-2.5651878842302591</v>
      </c>
      <c r="O938">
        <v>0</v>
      </c>
      <c r="P938">
        <v>0</v>
      </c>
      <c r="Q938">
        <v>4.5105121813952089E-6</v>
      </c>
      <c r="R938">
        <v>-1.5175846548651094E-6</v>
      </c>
      <c r="T938" s="60"/>
      <c r="Y938" s="98"/>
    </row>
    <row r="939" spans="4:25" x14ac:dyDescent="0.2">
      <c r="D939" s="63"/>
      <c r="K939">
        <v>3</v>
      </c>
      <c r="L939" s="44">
        <v>2.2225000000000041</v>
      </c>
      <c r="M939">
        <v>7.0442335413929413E-3</v>
      </c>
      <c r="N939">
        <v>-2.5650646101432848</v>
      </c>
      <c r="O939">
        <v>0</v>
      </c>
      <c r="P939">
        <v>0</v>
      </c>
      <c r="Q939">
        <v>4.4839329931393387E-6</v>
      </c>
      <c r="R939">
        <v>-1.5200368404504787E-6</v>
      </c>
      <c r="T939" s="60"/>
      <c r="Y939" s="98"/>
    </row>
    <row r="940" spans="4:25" x14ac:dyDescent="0.2">
      <c r="D940" s="63"/>
      <c r="K940">
        <v>3</v>
      </c>
      <c r="L940" s="44">
        <v>2.2400000000000042</v>
      </c>
      <c r="M940">
        <v>7.0442335413929413E-3</v>
      </c>
      <c r="N940">
        <v>-2.5649413360563105</v>
      </c>
      <c r="O940">
        <v>0</v>
      </c>
      <c r="P940">
        <v>0</v>
      </c>
      <c r="Q940">
        <v>4.4573108926668807E-6</v>
      </c>
      <c r="R940">
        <v>-1.5224889081894303E-6</v>
      </c>
      <c r="T940" s="60"/>
      <c r="Y940" s="98"/>
    </row>
    <row r="941" spans="4:25" x14ac:dyDescent="0.2">
      <c r="D941" s="63"/>
      <c r="K941">
        <v>3</v>
      </c>
      <c r="L941" s="44">
        <v>2.2575000000000043</v>
      </c>
      <c r="M941">
        <v>7.0442335413929413E-3</v>
      </c>
      <c r="N941">
        <v>-2.5648180619693357</v>
      </c>
      <c r="O941">
        <v>0</v>
      </c>
      <c r="P941">
        <v>0</v>
      </c>
      <c r="Q941">
        <v>4.4306458820401457E-6</v>
      </c>
      <c r="R941">
        <v>-1.5249408580819642E-6</v>
      </c>
      <c r="T941" s="60"/>
      <c r="Y941" s="98"/>
    </row>
    <row r="942" spans="4:25" x14ac:dyDescent="0.2">
      <c r="D942" s="63"/>
      <c r="K942">
        <v>3</v>
      </c>
      <c r="L942" s="44">
        <v>2.2750000000000044</v>
      </c>
      <c r="M942">
        <v>7.0442335413929413E-3</v>
      </c>
      <c r="N942">
        <v>-2.5646947878823614</v>
      </c>
      <c r="O942">
        <v>0</v>
      </c>
      <c r="P942">
        <v>0</v>
      </c>
      <c r="Q942">
        <v>4.4039379633214482E-6</v>
      </c>
      <c r="R942">
        <v>-1.5273926901280804E-6</v>
      </c>
      <c r="T942" s="60"/>
      <c r="Y942" s="98"/>
    </row>
    <row r="943" spans="4:25" x14ac:dyDescent="0.2">
      <c r="D943" s="63"/>
      <c r="K943">
        <v>3</v>
      </c>
      <c r="L943" s="44">
        <v>2.2925000000000044</v>
      </c>
      <c r="M943">
        <v>7.0442335413929413E-3</v>
      </c>
      <c r="N943">
        <v>-2.5645715137953871</v>
      </c>
      <c r="O943">
        <v>0</v>
      </c>
      <c r="P943">
        <v>0</v>
      </c>
      <c r="Q943">
        <v>4.3771871385730999E-6</v>
      </c>
      <c r="R943">
        <v>-1.529844404327779E-6</v>
      </c>
      <c r="T943" s="60"/>
      <c r="Y943" s="98"/>
    </row>
    <row r="944" spans="4:25" x14ac:dyDescent="0.2">
      <c r="D944" s="63"/>
      <c r="K944">
        <v>3</v>
      </c>
      <c r="L944" s="44">
        <v>2.3100000000000045</v>
      </c>
      <c r="M944">
        <v>7.0442335413929413E-3</v>
      </c>
      <c r="N944">
        <v>-2.5644482397084127</v>
      </c>
      <c r="O944">
        <v>0</v>
      </c>
      <c r="P944">
        <v>0</v>
      </c>
      <c r="Q944">
        <v>4.3503934098574142E-6</v>
      </c>
      <c r="R944">
        <v>-1.5322960006810598E-6</v>
      </c>
      <c r="T944" s="60"/>
      <c r="Y944" s="98"/>
    </row>
    <row r="945" spans="4:25" x14ac:dyDescent="0.2">
      <c r="D945" s="63"/>
      <c r="K945">
        <v>3</v>
      </c>
      <c r="L945" s="44">
        <v>2.3275000000000046</v>
      </c>
      <c r="M945">
        <v>7.0442335413929413E-3</v>
      </c>
      <c r="N945">
        <v>-2.5643249656214384</v>
      </c>
      <c r="O945">
        <v>0</v>
      </c>
      <c r="P945">
        <v>0</v>
      </c>
      <c r="Q945">
        <v>4.3235567792367004E-6</v>
      </c>
      <c r="R945">
        <v>-1.534747479187923E-6</v>
      </c>
      <c r="T945" s="60"/>
      <c r="Y945" s="98"/>
    </row>
    <row r="946" spans="4:25" x14ac:dyDescent="0.2">
      <c r="D946" s="63"/>
      <c r="K946">
        <v>3</v>
      </c>
      <c r="L946" s="44">
        <v>2.3450000000000046</v>
      </c>
      <c r="M946">
        <v>7.0442335413929413E-3</v>
      </c>
      <c r="N946">
        <v>-2.5642016915344641</v>
      </c>
      <c r="O946">
        <v>0</v>
      </c>
      <c r="P946">
        <v>0</v>
      </c>
      <c r="Q946">
        <v>4.2966772487732737E-6</v>
      </c>
      <c r="R946">
        <v>-1.5371988398483685E-6</v>
      </c>
      <c r="T946" s="60"/>
      <c r="Y946" s="98"/>
    </row>
    <row r="947" spans="4:25" x14ac:dyDescent="0.2">
      <c r="D947" s="63"/>
      <c r="K947">
        <v>3</v>
      </c>
      <c r="L947" s="44">
        <v>2.3625000000000047</v>
      </c>
      <c r="M947">
        <v>7.0442335413929413E-3</v>
      </c>
      <c r="N947">
        <v>-2.5640784174474898</v>
      </c>
      <c r="O947">
        <v>0</v>
      </c>
      <c r="P947">
        <v>0</v>
      </c>
      <c r="Q947">
        <v>4.2697548205294449E-6</v>
      </c>
      <c r="R947">
        <v>-1.5396500826623963E-6</v>
      </c>
      <c r="T947" s="60"/>
      <c r="Y947" s="98"/>
    </row>
    <row r="948" spans="4:25" x14ac:dyDescent="0.2">
      <c r="D948" s="63"/>
      <c r="K948">
        <v>3</v>
      </c>
      <c r="L948" s="44">
        <v>2.3800000000000048</v>
      </c>
      <c r="M948">
        <v>7.0442335413929413E-3</v>
      </c>
      <c r="N948">
        <v>-2.5639551433605154</v>
      </c>
      <c r="O948">
        <v>0</v>
      </c>
      <c r="P948">
        <v>0</v>
      </c>
      <c r="Q948">
        <v>4.2427894965675268E-6</v>
      </c>
      <c r="R948">
        <v>-1.5421012076300064E-6</v>
      </c>
      <c r="T948" s="60"/>
      <c r="Y948" s="98"/>
    </row>
    <row r="949" spans="4:25" x14ac:dyDescent="0.2">
      <c r="D949" s="63"/>
      <c r="K949">
        <v>3</v>
      </c>
      <c r="L949" s="44">
        <v>2.3975000000000048</v>
      </c>
      <c r="M949">
        <v>7.0442335413929413E-3</v>
      </c>
      <c r="N949">
        <v>-2.5638318692735407</v>
      </c>
      <c r="O949">
        <v>0</v>
      </c>
      <c r="P949">
        <v>0</v>
      </c>
      <c r="Q949">
        <v>4.2157812789498318E-6</v>
      </c>
      <c r="R949">
        <v>-1.5445522147511989E-6</v>
      </c>
      <c r="T949" s="60"/>
      <c r="Y949" s="98"/>
    </row>
    <row r="950" spans="4:25" x14ac:dyDescent="0.2">
      <c r="D950" s="63"/>
      <c r="K950">
        <v>3</v>
      </c>
      <c r="L950" s="44">
        <v>2.4150000000000049</v>
      </c>
      <c r="M950">
        <v>7.0442335413929413E-3</v>
      </c>
      <c r="N950">
        <v>-2.5637085951865664</v>
      </c>
      <c r="O950">
        <v>0</v>
      </c>
      <c r="P950">
        <v>0</v>
      </c>
      <c r="Q950">
        <v>4.1887301697386719E-6</v>
      </c>
      <c r="R950">
        <v>-1.5470031040259736E-6</v>
      </c>
      <c r="T950" s="60"/>
      <c r="Y950" s="98"/>
    </row>
    <row r="951" spans="4:25" x14ac:dyDescent="0.2">
      <c r="D951" s="63"/>
      <c r="K951">
        <v>3</v>
      </c>
      <c r="L951" s="44">
        <v>2.432500000000005</v>
      </c>
      <c r="M951">
        <v>7.0442335413929413E-3</v>
      </c>
      <c r="N951">
        <v>-2.563585321099592</v>
      </c>
      <c r="O951">
        <v>0</v>
      </c>
      <c r="P951">
        <v>0</v>
      </c>
      <c r="Q951">
        <v>4.1616361709963604E-6</v>
      </c>
      <c r="R951">
        <v>-1.5494538754543307E-6</v>
      </c>
      <c r="T951" s="60"/>
      <c r="Y951" s="98"/>
    </row>
    <row r="952" spans="4:25" x14ac:dyDescent="0.2">
      <c r="D952" s="63"/>
      <c r="K952">
        <v>3</v>
      </c>
      <c r="L952" s="44">
        <v>2.4500000000000051</v>
      </c>
      <c r="M952">
        <v>7.0442335413929413E-3</v>
      </c>
      <c r="N952">
        <v>-2.5634620470126177</v>
      </c>
      <c r="O952">
        <v>0</v>
      </c>
      <c r="P952">
        <v>0</v>
      </c>
      <c r="Q952">
        <v>4.1344992847852084E-6</v>
      </c>
      <c r="R952">
        <v>-1.5519045290362701E-6</v>
      </c>
      <c r="T952" s="60"/>
      <c r="Y952" s="98"/>
    </row>
    <row r="953" spans="4:25" x14ac:dyDescent="0.2">
      <c r="D953" s="63"/>
      <c r="K953">
        <v>3</v>
      </c>
      <c r="L953" s="44">
        <v>2.4675000000000051</v>
      </c>
      <c r="M953">
        <v>7.0442335413929413E-3</v>
      </c>
      <c r="N953">
        <v>-2.5633387729256434</v>
      </c>
      <c r="O953">
        <v>0</v>
      </c>
      <c r="P953">
        <v>0</v>
      </c>
      <c r="Q953">
        <v>4.1073195131675283E-6</v>
      </c>
      <c r="R953">
        <v>-1.5543550647717918E-6</v>
      </c>
      <c r="T953" s="60"/>
      <c r="Y953" s="98"/>
    </row>
    <row r="954" spans="4:25" x14ac:dyDescent="0.2">
      <c r="D954" s="63"/>
      <c r="K954">
        <v>3</v>
      </c>
      <c r="L954" s="44">
        <v>2.4850000000000052</v>
      </c>
      <c r="M954">
        <v>7.0442335413929413E-3</v>
      </c>
      <c r="N954">
        <v>-2.5632154988386691</v>
      </c>
      <c r="O954">
        <v>0</v>
      </c>
      <c r="P954">
        <v>0</v>
      </c>
      <c r="Q954">
        <v>4.0800968582056329E-6</v>
      </c>
      <c r="R954">
        <v>-1.5568054826608958E-6</v>
      </c>
      <c r="T954" s="60"/>
      <c r="Y954" s="98"/>
    </row>
    <row r="955" spans="4:25" x14ac:dyDescent="0.2">
      <c r="D955" s="63"/>
      <c r="K955">
        <v>3</v>
      </c>
      <c r="L955" s="44">
        <v>2.5025000000000053</v>
      </c>
      <c r="M955">
        <v>7.0442335413929413E-3</v>
      </c>
      <c r="N955">
        <v>-2.5630922247516947</v>
      </c>
      <c r="O955">
        <v>0</v>
      </c>
      <c r="P955">
        <v>0</v>
      </c>
      <c r="Q955">
        <v>4.0528313219618338E-6</v>
      </c>
      <c r="R955">
        <v>-1.5592557827035821E-6</v>
      </c>
      <c r="T955" s="60"/>
      <c r="Y955" s="98"/>
    </row>
    <row r="956" spans="4:25" x14ac:dyDescent="0.2">
      <c r="D956" s="63"/>
      <c r="K956">
        <v>3</v>
      </c>
      <c r="L956" s="44">
        <v>2.5200000000000053</v>
      </c>
      <c r="M956">
        <v>7.0442335413929413E-3</v>
      </c>
      <c r="N956">
        <v>-2.5629689506647204</v>
      </c>
      <c r="O956">
        <v>0</v>
      </c>
      <c r="P956">
        <v>0</v>
      </c>
      <c r="Q956">
        <v>4.0255229064984439E-6</v>
      </c>
      <c r="R956">
        <v>-1.5617059648998508E-6</v>
      </c>
      <c r="T956" s="60"/>
      <c r="Y956" s="98"/>
    </row>
    <row r="957" spans="4:25" x14ac:dyDescent="0.2">
      <c r="D957" s="63"/>
      <c r="K957">
        <v>3</v>
      </c>
      <c r="L957" s="44">
        <v>2.5375000000000054</v>
      </c>
      <c r="M957">
        <v>7.0442335413929413E-3</v>
      </c>
      <c r="N957">
        <v>-2.5628456765777461</v>
      </c>
      <c r="O957">
        <v>0</v>
      </c>
      <c r="P957">
        <v>0</v>
      </c>
      <c r="Q957">
        <v>3.9981716138777764E-6</v>
      </c>
      <c r="R957">
        <v>-1.5641560292497018E-6</v>
      </c>
      <c r="T957" s="60"/>
      <c r="Y957" s="98"/>
    </row>
    <row r="958" spans="4:25" x14ac:dyDescent="0.2">
      <c r="D958" s="63"/>
      <c r="K958">
        <v>3</v>
      </c>
      <c r="L958" s="44">
        <v>2.5550000000000055</v>
      </c>
      <c r="M958">
        <v>7.0442335413929413E-3</v>
      </c>
      <c r="N958">
        <v>-2.5627224024907713</v>
      </c>
      <c r="O958">
        <v>0</v>
      </c>
      <c r="P958">
        <v>0</v>
      </c>
      <c r="Q958">
        <v>3.9707774461621415E-6</v>
      </c>
      <c r="R958">
        <v>-1.566605975753135E-6</v>
      </c>
      <c r="T958" s="60"/>
      <c r="Y958" s="98"/>
    </row>
    <row r="959" spans="4:25" x14ac:dyDescent="0.2">
      <c r="D959" s="63"/>
      <c r="K959">
        <v>3</v>
      </c>
      <c r="L959" s="44">
        <v>2.5725000000000056</v>
      </c>
      <c r="M959">
        <v>7.0442335413929413E-3</v>
      </c>
      <c r="N959">
        <v>-2.562599128403797</v>
      </c>
      <c r="O959">
        <v>0</v>
      </c>
      <c r="P959">
        <v>0</v>
      </c>
      <c r="Q959">
        <v>3.9433404054138543E-6</v>
      </c>
      <c r="R959">
        <v>-1.5690558044101506E-6</v>
      </c>
      <c r="T959" s="60"/>
      <c r="Y959" s="98"/>
    </row>
    <row r="960" spans="4:25" x14ac:dyDescent="0.2">
      <c r="D960" s="63"/>
      <c r="K960">
        <v>3</v>
      </c>
      <c r="L960" s="44">
        <v>2.5900000000000056</v>
      </c>
      <c r="M960">
        <v>7.0442335413929413E-3</v>
      </c>
      <c r="N960">
        <v>-2.5624758543168227</v>
      </c>
      <c r="O960">
        <v>0</v>
      </c>
      <c r="P960">
        <v>0</v>
      </c>
      <c r="Q960">
        <v>3.9158604936952241E-6</v>
      </c>
      <c r="R960">
        <v>-1.5715055152207485E-6</v>
      </c>
      <c r="T960" s="60"/>
      <c r="Y960" s="98"/>
    </row>
    <row r="961" spans="4:25" x14ac:dyDescent="0.2">
      <c r="D961" s="63"/>
      <c r="K961">
        <v>3</v>
      </c>
      <c r="L961" s="44">
        <v>2.6075000000000057</v>
      </c>
      <c r="M961">
        <v>7.0442335413929413E-3</v>
      </c>
      <c r="N961">
        <v>-2.5623525802298484</v>
      </c>
      <c r="O961">
        <v>0</v>
      </c>
      <c r="P961">
        <v>0</v>
      </c>
      <c r="Q961">
        <v>3.8883377130685652E-6</v>
      </c>
      <c r="R961">
        <v>-1.5739551081849288E-6</v>
      </c>
      <c r="T961" s="60"/>
      <c r="Y961" s="98"/>
    </row>
    <row r="962" spans="4:25" x14ac:dyDescent="0.2">
      <c r="D962" s="63"/>
      <c r="K962">
        <v>3</v>
      </c>
      <c r="L962" s="44">
        <v>2.6250000000000058</v>
      </c>
      <c r="M962">
        <v>7.0442335413929413E-3</v>
      </c>
      <c r="N962">
        <v>-2.562229306142874</v>
      </c>
      <c r="O962">
        <v>0</v>
      </c>
      <c r="P962">
        <v>0</v>
      </c>
      <c r="Q962">
        <v>3.8607720655961894E-6</v>
      </c>
      <c r="R962">
        <v>-1.5764045833026913E-6</v>
      </c>
      <c r="T962" s="60"/>
      <c r="Y962" s="98"/>
    </row>
    <row r="963" spans="4:25" x14ac:dyDescent="0.2">
      <c r="D963" s="63"/>
      <c r="K963">
        <v>3</v>
      </c>
      <c r="L963" s="44">
        <v>2.6425000000000058</v>
      </c>
      <c r="M963">
        <v>7.0442335413929413E-3</v>
      </c>
      <c r="N963">
        <v>-2.5621060320558997</v>
      </c>
      <c r="O963">
        <v>0</v>
      </c>
      <c r="P963">
        <v>0</v>
      </c>
      <c r="Q963">
        <v>3.8331635533404084E-6</v>
      </c>
      <c r="R963">
        <v>-1.5788539405740362E-6</v>
      </c>
      <c r="T963" s="60"/>
      <c r="Y963" s="98"/>
    </row>
    <row r="964" spans="4:25" x14ac:dyDescent="0.2">
      <c r="D964" s="63"/>
      <c r="K964">
        <v>3</v>
      </c>
      <c r="L964" s="44">
        <v>2.6600000000000059</v>
      </c>
      <c r="M964">
        <v>7.0442335413929413E-3</v>
      </c>
      <c r="N964">
        <v>-2.5619827579689254</v>
      </c>
      <c r="O964">
        <v>0</v>
      </c>
      <c r="P964">
        <v>0</v>
      </c>
      <c r="Q964">
        <v>3.8055121783635353E-6</v>
      </c>
      <c r="R964">
        <v>-1.5813031799989633E-6</v>
      </c>
      <c r="T964" s="60"/>
      <c r="Y964" s="98"/>
    </row>
    <row r="965" spans="4:25" x14ac:dyDescent="0.2">
      <c r="D965" s="63"/>
      <c r="K965">
        <v>3</v>
      </c>
      <c r="L965" s="44">
        <v>2.677500000000006</v>
      </c>
      <c r="M965">
        <v>7.0442335413929413E-3</v>
      </c>
      <c r="N965">
        <v>-2.5618594838819511</v>
      </c>
      <c r="O965">
        <v>0</v>
      </c>
      <c r="P965">
        <v>0</v>
      </c>
      <c r="Q965">
        <v>3.7778179427278822E-6</v>
      </c>
      <c r="R965">
        <v>-1.5837523015774728E-6</v>
      </c>
      <c r="T965" s="60"/>
      <c r="Y965" s="98"/>
    </row>
    <row r="966" spans="4:25" x14ac:dyDescent="0.2">
      <c r="D966" s="63"/>
      <c r="K966">
        <v>3</v>
      </c>
      <c r="L966" s="44">
        <v>2.6950000000000061</v>
      </c>
      <c r="M966">
        <v>7.0442335413929413E-3</v>
      </c>
      <c r="N966">
        <v>-2.5617362097949763</v>
      </c>
      <c r="O966">
        <v>0</v>
      </c>
      <c r="P966">
        <v>0</v>
      </c>
      <c r="Q966">
        <v>3.7500808484957611E-6</v>
      </c>
      <c r="R966">
        <v>-1.5862013053095646E-6</v>
      </c>
      <c r="T966" s="60"/>
      <c r="Y966" s="98"/>
    </row>
    <row r="967" spans="4:25" x14ac:dyDescent="0.2">
      <c r="D967" s="63"/>
      <c r="K967">
        <v>3</v>
      </c>
      <c r="L967" s="44">
        <v>2.7125000000000061</v>
      </c>
      <c r="M967">
        <v>7.0442335413929413E-3</v>
      </c>
      <c r="N967">
        <v>-2.561612935708002</v>
      </c>
      <c r="O967">
        <v>0</v>
      </c>
      <c r="P967">
        <v>0</v>
      </c>
      <c r="Q967">
        <v>3.7223008977294844E-6</v>
      </c>
      <c r="R967">
        <v>-1.5886501911952387E-6</v>
      </c>
      <c r="T967" s="60"/>
      <c r="Y967" s="98"/>
    </row>
    <row r="968" spans="4:25" x14ac:dyDescent="0.2">
      <c r="D968" s="63"/>
      <c r="K968">
        <v>3</v>
      </c>
      <c r="L968" s="44">
        <v>2.7300000000000062</v>
      </c>
      <c r="M968">
        <v>7.0442335413929413E-3</v>
      </c>
      <c r="N968">
        <v>-2.5614896616210276</v>
      </c>
      <c r="O968">
        <v>0</v>
      </c>
      <c r="P968">
        <v>0</v>
      </c>
      <c r="Q968">
        <v>3.6944780924913652E-6</v>
      </c>
      <c r="R968">
        <v>-1.5910989592344952E-6</v>
      </c>
      <c r="T968" s="60"/>
      <c r="Y968" s="98"/>
    </row>
    <row r="969" spans="4:25" x14ac:dyDescent="0.2">
      <c r="D969" s="63"/>
      <c r="K969">
        <v>3</v>
      </c>
      <c r="L969" s="44">
        <v>2.7475000000000063</v>
      </c>
      <c r="M969">
        <v>7.0442335413929413E-3</v>
      </c>
      <c r="N969">
        <v>-2.5613663875340533</v>
      </c>
      <c r="O969">
        <v>0</v>
      </c>
      <c r="P969">
        <v>0</v>
      </c>
      <c r="Q969">
        <v>3.666612434843714E-6</v>
      </c>
      <c r="R969">
        <v>-1.5935476094273339E-6</v>
      </c>
      <c r="T969" s="60"/>
      <c r="Y969" s="98"/>
    </row>
    <row r="970" spans="4:25" x14ac:dyDescent="0.2">
      <c r="D970" s="63"/>
      <c r="K970">
        <v>3</v>
      </c>
      <c r="L970" s="44">
        <v>2.7650000000000063</v>
      </c>
      <c r="M970">
        <v>7.0442335413929413E-3</v>
      </c>
      <c r="N970">
        <v>-2.561243113447079</v>
      </c>
      <c r="O970">
        <v>0</v>
      </c>
      <c r="P970">
        <v>0</v>
      </c>
      <c r="Q970">
        <v>3.6387039268488452E-6</v>
      </c>
      <c r="R970">
        <v>-1.595996141773755E-6</v>
      </c>
      <c r="T970" s="60"/>
      <c r="Y970" s="98"/>
    </row>
    <row r="971" spans="4:25" x14ac:dyDescent="0.2">
      <c r="D971" s="63"/>
      <c r="K971">
        <v>3</v>
      </c>
      <c r="L971" s="44">
        <v>2.7825000000000064</v>
      </c>
      <c r="M971">
        <v>7.0442335413929413E-3</v>
      </c>
      <c r="N971">
        <v>-2.5611198393601047</v>
      </c>
      <c r="O971">
        <v>0</v>
      </c>
      <c r="P971">
        <v>0</v>
      </c>
      <c r="Q971">
        <v>3.6107525705690697E-6</v>
      </c>
      <c r="R971">
        <v>-1.5984445562737584E-6</v>
      </c>
      <c r="T971" s="60"/>
      <c r="Y971" s="98"/>
    </row>
    <row r="972" spans="4:25" x14ac:dyDescent="0.2">
      <c r="D972" s="63"/>
      <c r="K972">
        <v>3</v>
      </c>
      <c r="L972" s="44">
        <v>2.8000000000000065</v>
      </c>
      <c r="M972">
        <v>7.0442335413929413E-3</v>
      </c>
      <c r="N972">
        <v>-2.5609965652731304</v>
      </c>
      <c r="O972">
        <v>0</v>
      </c>
      <c r="P972">
        <v>0</v>
      </c>
      <c r="Q972">
        <v>3.5827583680667009E-6</v>
      </c>
      <c r="R972">
        <v>-1.6008928529273441E-6</v>
      </c>
      <c r="T972" s="60"/>
      <c r="Y972" s="98"/>
    </row>
    <row r="973" spans="4:25" x14ac:dyDescent="0.2">
      <c r="D973" s="63"/>
      <c r="K973">
        <v>3</v>
      </c>
      <c r="L973" s="44">
        <v>2.8175000000000066</v>
      </c>
      <c r="M973">
        <v>7.0442335413929413E-3</v>
      </c>
      <c r="N973">
        <v>-2.560873291186156</v>
      </c>
      <c r="O973">
        <v>0</v>
      </c>
      <c r="P973">
        <v>0</v>
      </c>
      <c r="Q973">
        <v>3.5547213214040497E-6</v>
      </c>
      <c r="R973">
        <v>-1.6033410317345121E-6</v>
      </c>
      <c r="T973" s="60"/>
      <c r="Y973" s="98"/>
    </row>
    <row r="974" spans="4:25" x14ac:dyDescent="0.2">
      <c r="D974" s="63"/>
      <c r="K974">
        <v>3</v>
      </c>
      <c r="L974" s="44">
        <v>2.8350000000000066</v>
      </c>
      <c r="M974">
        <v>7.0442335413929413E-3</v>
      </c>
      <c r="N974">
        <v>-2.5607500170991813</v>
      </c>
      <c r="O974">
        <v>0</v>
      </c>
      <c r="P974">
        <v>0</v>
      </c>
      <c r="Q974">
        <v>3.5266414326434297E-6</v>
      </c>
      <c r="R974">
        <v>-1.6057890926952624E-6</v>
      </c>
      <c r="T974" s="60"/>
      <c r="Y974" s="98"/>
    </row>
    <row r="975" spans="4:25" x14ac:dyDescent="0.2">
      <c r="D975" s="63"/>
      <c r="K975">
        <v>3</v>
      </c>
      <c r="L975" s="44">
        <v>2.8525000000000067</v>
      </c>
      <c r="M975">
        <v>7.0442335413929413E-3</v>
      </c>
      <c r="N975">
        <v>-2.5606267430122069</v>
      </c>
      <c r="O975">
        <v>0</v>
      </c>
      <c r="P975">
        <v>0</v>
      </c>
      <c r="Q975">
        <v>3.4985187038471535E-6</v>
      </c>
      <c r="R975">
        <v>-1.608237035809595E-6</v>
      </c>
      <c r="T975" s="60"/>
      <c r="Y975" s="98"/>
    </row>
    <row r="976" spans="4:25" x14ac:dyDescent="0.2">
      <c r="D976" s="63"/>
      <c r="K976">
        <v>3</v>
      </c>
      <c r="L976" s="44">
        <v>2.8700000000000068</v>
      </c>
      <c r="M976">
        <v>7.0442335413929413E-3</v>
      </c>
      <c r="N976">
        <v>-2.5605034689252326</v>
      </c>
      <c r="O976">
        <v>0</v>
      </c>
      <c r="P976">
        <v>0</v>
      </c>
      <c r="Q976">
        <v>3.4703531370775319E-6</v>
      </c>
      <c r="R976">
        <v>-1.61068486107751E-6</v>
      </c>
      <c r="T976" s="60"/>
      <c r="Y976" s="98"/>
    </row>
    <row r="977" spans="4:25" x14ac:dyDescent="0.2">
      <c r="D977" s="63"/>
      <c r="K977">
        <v>3</v>
      </c>
      <c r="L977" s="44">
        <v>2.8875000000000068</v>
      </c>
      <c r="M977">
        <v>7.0442335413929413E-3</v>
      </c>
      <c r="N977">
        <v>-2.5603801948382583</v>
      </c>
      <c r="O977">
        <v>0</v>
      </c>
      <c r="P977">
        <v>0</v>
      </c>
      <c r="Q977">
        <v>3.4421447343968785E-6</v>
      </c>
      <c r="R977">
        <v>-1.6131325684990073E-6</v>
      </c>
      <c r="T977" s="60"/>
      <c r="Y977" s="98"/>
    </row>
    <row r="978" spans="4:25" x14ac:dyDescent="0.2">
      <c r="D978" s="63"/>
      <c r="K978">
        <v>3</v>
      </c>
      <c r="L978" s="44">
        <v>2.9050000000000069</v>
      </c>
      <c r="M978">
        <v>7.0442335413929413E-3</v>
      </c>
      <c r="N978">
        <v>-2.560256920751284</v>
      </c>
      <c r="O978">
        <v>0</v>
      </c>
      <c r="P978">
        <v>0</v>
      </c>
      <c r="Q978">
        <v>3.4138934978675041E-6</v>
      </c>
      <c r="R978">
        <v>-1.6155801580740871E-6</v>
      </c>
      <c r="T978" s="60"/>
      <c r="Y978" s="98"/>
    </row>
    <row r="979" spans="4:25" x14ac:dyDescent="0.2">
      <c r="D979" s="63"/>
      <c r="K979">
        <v>3</v>
      </c>
      <c r="L979" s="44">
        <v>2.922500000000007</v>
      </c>
      <c r="M979">
        <v>7.0442335413929413E-3</v>
      </c>
      <c r="N979">
        <v>-2.5601336466643096</v>
      </c>
      <c r="O979">
        <v>0</v>
      </c>
      <c r="P979">
        <v>0</v>
      </c>
      <c r="Q979">
        <v>3.3855994295517223E-6</v>
      </c>
      <c r="R979">
        <v>-1.618027629802749E-6</v>
      </c>
      <c r="T979" s="60"/>
      <c r="Y979" s="98"/>
    </row>
    <row r="980" spans="4:25" x14ac:dyDescent="0.2">
      <c r="D980" s="63"/>
      <c r="K980">
        <v>3</v>
      </c>
      <c r="L980" s="44">
        <v>2.9400000000000071</v>
      </c>
      <c r="M980">
        <v>7.0442335413929413E-3</v>
      </c>
      <c r="N980">
        <v>-2.5600103725773353</v>
      </c>
      <c r="O980">
        <v>0</v>
      </c>
      <c r="P980">
        <v>0</v>
      </c>
      <c r="Q980">
        <v>3.3572625315118457E-6</v>
      </c>
      <c r="R980">
        <v>-1.6204749836849932E-6</v>
      </c>
      <c r="T980" s="60"/>
      <c r="Y980" s="98"/>
    </row>
    <row r="981" spans="4:25" x14ac:dyDescent="0.2">
      <c r="D981" s="63"/>
      <c r="K981">
        <v>3</v>
      </c>
      <c r="L981" s="44">
        <v>2.9575000000000071</v>
      </c>
      <c r="M981">
        <v>7.0442335413929413E-3</v>
      </c>
      <c r="N981">
        <v>-2.559887098490361</v>
      </c>
      <c r="O981">
        <v>0</v>
      </c>
      <c r="P981">
        <v>0</v>
      </c>
      <c r="Q981">
        <v>3.3288828058101851E-6</v>
      </c>
      <c r="R981">
        <v>-1.6229222197208199E-6</v>
      </c>
      <c r="T981" s="60"/>
      <c r="Y981" s="98"/>
    </row>
    <row r="982" spans="4:25" x14ac:dyDescent="0.2">
      <c r="D982" s="63"/>
      <c r="K982">
        <v>3</v>
      </c>
      <c r="L982" s="44">
        <v>2.9750000000000072</v>
      </c>
      <c r="M982">
        <v>7.0442335413929413E-3</v>
      </c>
      <c r="N982">
        <v>-2.5597638244033862</v>
      </c>
      <c r="O982">
        <v>0</v>
      </c>
      <c r="P982">
        <v>0</v>
      </c>
      <c r="Q982">
        <v>3.3004602545090533E-6</v>
      </c>
      <c r="R982">
        <v>-1.6253693379102288E-6</v>
      </c>
      <c r="T982" s="60"/>
      <c r="Y982" s="98"/>
    </row>
    <row r="983" spans="4:25" x14ac:dyDescent="0.2">
      <c r="D983" s="63"/>
      <c r="K983">
        <v>3</v>
      </c>
      <c r="L983" s="44">
        <v>2.9925000000000073</v>
      </c>
      <c r="M983">
        <v>7.0442335413929413E-3</v>
      </c>
      <c r="N983">
        <v>-2.5596405503164119</v>
      </c>
      <c r="O983">
        <v>0</v>
      </c>
      <c r="P983">
        <v>0</v>
      </c>
      <c r="Q983">
        <v>3.2719948796707645E-6</v>
      </c>
      <c r="R983">
        <v>-1.6278163382532202E-6</v>
      </c>
      <c r="T983" s="60"/>
      <c r="Y983" s="98"/>
    </row>
    <row r="984" spans="4:25" x14ac:dyDescent="0.2">
      <c r="D984" s="63"/>
      <c r="K984">
        <v>3</v>
      </c>
      <c r="L984" s="44">
        <v>3.0100000000000073</v>
      </c>
      <c r="M984">
        <v>7.0442335413929413E-3</v>
      </c>
      <c r="N984">
        <v>7.4404827237705629</v>
      </c>
      <c r="O984">
        <v>0</v>
      </c>
      <c r="P984">
        <v>0</v>
      </c>
      <c r="Q984">
        <v>3.2435139968067708E-6</v>
      </c>
      <c r="R984">
        <v>-1.6248005309213183E-6</v>
      </c>
      <c r="T984" s="60"/>
      <c r="Y984" s="98"/>
    </row>
    <row r="985" spans="4:25" x14ac:dyDescent="0.2">
      <c r="D985" s="63"/>
      <c r="K985">
        <v>3</v>
      </c>
      <c r="L985" s="44">
        <v>3.0275000000000074</v>
      </c>
      <c r="M985">
        <v>7.0442335413929413E-3</v>
      </c>
      <c r="N985">
        <v>7.4406059978575367</v>
      </c>
      <c r="O985">
        <v>0</v>
      </c>
      <c r="P985">
        <v>0</v>
      </c>
      <c r="Q985">
        <v>3.2151422255910987E-6</v>
      </c>
      <c r="R985">
        <v>-1.6176875883716489E-6</v>
      </c>
      <c r="T985" s="60"/>
      <c r="Y985" s="98"/>
    </row>
    <row r="986" spans="4:25" x14ac:dyDescent="0.2">
      <c r="D986" s="63"/>
      <c r="K986">
        <v>3</v>
      </c>
      <c r="L986" s="44">
        <v>3.0450000000000075</v>
      </c>
      <c r="M986">
        <v>7.0442335413929413E-3</v>
      </c>
      <c r="N986">
        <v>7.4407292719445106</v>
      </c>
      <c r="O986">
        <v>0</v>
      </c>
      <c r="P986">
        <v>0</v>
      </c>
      <c r="Q986">
        <v>3.186894931901201E-6</v>
      </c>
      <c r="R986">
        <v>-1.6105745279755618E-6</v>
      </c>
      <c r="T986" s="60"/>
      <c r="Y986" s="98"/>
    </row>
    <row r="987" spans="4:25" x14ac:dyDescent="0.2">
      <c r="D987" s="63"/>
      <c r="K987">
        <v>3</v>
      </c>
      <c r="L987" s="44">
        <v>3.0625000000000075</v>
      </c>
      <c r="M987">
        <v>7.0442335413929413E-3</v>
      </c>
      <c r="N987">
        <v>7.4408525460314854</v>
      </c>
      <c r="O987">
        <v>0</v>
      </c>
      <c r="P987">
        <v>0</v>
      </c>
      <c r="Q987">
        <v>3.1587721177993904E-6</v>
      </c>
      <c r="R987">
        <v>-1.6034613497330571E-6</v>
      </c>
      <c r="T987" s="60"/>
      <c r="Y987" s="98"/>
    </row>
    <row r="988" spans="4:25" x14ac:dyDescent="0.2">
      <c r="D988" s="63"/>
      <c r="K988">
        <v>3</v>
      </c>
      <c r="L988" s="44">
        <v>3.0800000000000076</v>
      </c>
      <c r="M988">
        <v>7.0442335413929413E-3</v>
      </c>
      <c r="N988">
        <v>7.4409758201184601</v>
      </c>
      <c r="O988">
        <v>0</v>
      </c>
      <c r="P988">
        <v>0</v>
      </c>
      <c r="Q988">
        <v>3.1307737853479804E-6</v>
      </c>
      <c r="R988">
        <v>-1.5963480536441349E-6</v>
      </c>
      <c r="T988" s="60"/>
      <c r="Y988" s="98"/>
    </row>
    <row r="989" spans="4:25" x14ac:dyDescent="0.2">
      <c r="D989" s="63"/>
      <c r="K989">
        <v>3</v>
      </c>
      <c r="L989" s="44">
        <v>3.0975000000000077</v>
      </c>
      <c r="M989">
        <v>7.0442335413929413E-3</v>
      </c>
      <c r="N989">
        <v>7.441099094205434</v>
      </c>
      <c r="O989">
        <v>0</v>
      </c>
      <c r="P989">
        <v>0</v>
      </c>
      <c r="Q989">
        <v>3.1028999366092828E-6</v>
      </c>
      <c r="R989">
        <v>-1.5892346397087948E-6</v>
      </c>
      <c r="T989" s="60"/>
      <c r="Y989" s="98"/>
    </row>
    <row r="990" spans="4:25" x14ac:dyDescent="0.2">
      <c r="D990" s="63"/>
      <c r="K990">
        <v>3</v>
      </c>
      <c r="L990" s="44">
        <v>3.1150000000000078</v>
      </c>
      <c r="M990">
        <v>7.0442335413929413E-3</v>
      </c>
      <c r="N990">
        <v>7.4412223682924079</v>
      </c>
      <c r="O990">
        <v>0</v>
      </c>
      <c r="P990">
        <v>0</v>
      </c>
      <c r="Q990">
        <v>3.0751505736456102E-6</v>
      </c>
      <c r="R990">
        <v>-1.5821211079270372E-6</v>
      </c>
      <c r="T990" s="60"/>
      <c r="Y990" s="98"/>
    </row>
    <row r="991" spans="4:25" x14ac:dyDescent="0.2">
      <c r="D991" s="63"/>
      <c r="K991">
        <v>3</v>
      </c>
      <c r="L991" s="44">
        <v>3.1325000000000078</v>
      </c>
      <c r="M991">
        <v>7.0442335413929413E-3</v>
      </c>
      <c r="N991">
        <v>7.4413456423793836</v>
      </c>
      <c r="O991">
        <v>0</v>
      </c>
      <c r="P991">
        <v>0</v>
      </c>
      <c r="Q991">
        <v>3.0475256985192734E-6</v>
      </c>
      <c r="R991">
        <v>-1.5750074582988617E-6</v>
      </c>
      <c r="T991" s="60"/>
      <c r="Y991" s="98"/>
    </row>
    <row r="992" spans="4:25" x14ac:dyDescent="0.2">
      <c r="D992" s="63"/>
      <c r="K992">
        <v>3</v>
      </c>
      <c r="L992" s="44">
        <v>3.1500000000000079</v>
      </c>
      <c r="M992">
        <v>7.0442335413929413E-3</v>
      </c>
      <c r="N992">
        <v>7.4414689164663574</v>
      </c>
      <c r="O992">
        <v>0</v>
      </c>
      <c r="P992">
        <v>0</v>
      </c>
      <c r="Q992">
        <v>3.0200253132925861E-6</v>
      </c>
      <c r="R992">
        <v>-1.5678936908242688E-6</v>
      </c>
      <c r="T992" s="60"/>
      <c r="Y992" s="98"/>
    </row>
    <row r="993" spans="4:25" x14ac:dyDescent="0.2">
      <c r="D993" s="63"/>
      <c r="K993">
        <v>3</v>
      </c>
      <c r="L993" s="44">
        <v>3.167500000000008</v>
      </c>
      <c r="M993">
        <v>7.0442335413929413E-3</v>
      </c>
      <c r="N993">
        <v>7.4415921905533313</v>
      </c>
      <c r="O993">
        <v>0</v>
      </c>
      <c r="P993">
        <v>0</v>
      </c>
      <c r="Q993">
        <v>2.9926494200278615E-6</v>
      </c>
      <c r="R993">
        <v>-1.5607798055032579E-6</v>
      </c>
      <c r="T993" s="60"/>
      <c r="Y993" s="98"/>
    </row>
    <row r="994" spans="4:25" x14ac:dyDescent="0.2">
      <c r="D994" s="63"/>
      <c r="K994">
        <v>3</v>
      </c>
      <c r="L994" s="44">
        <v>3.185000000000008</v>
      </c>
      <c r="M994">
        <v>7.0442335413929413E-3</v>
      </c>
      <c r="N994">
        <v>7.4417154646403061</v>
      </c>
      <c r="O994">
        <v>0</v>
      </c>
      <c r="P994">
        <v>0</v>
      </c>
      <c r="Q994">
        <v>2.9653980207874099E-6</v>
      </c>
      <c r="R994">
        <v>-1.5536658023358294E-6</v>
      </c>
      <c r="T994" s="60"/>
      <c r="Y994" s="98"/>
    </row>
    <row r="995" spans="4:25" x14ac:dyDescent="0.2">
      <c r="D995" s="63"/>
      <c r="K995">
        <v>3</v>
      </c>
      <c r="L995" s="44">
        <v>3.2025000000000081</v>
      </c>
      <c r="M995">
        <v>7.0442335413929413E-3</v>
      </c>
      <c r="N995">
        <v>7.4418387387272809</v>
      </c>
      <c r="O995">
        <v>0</v>
      </c>
      <c r="P995">
        <v>0</v>
      </c>
      <c r="Q995">
        <v>2.9382711176335447E-6</v>
      </c>
      <c r="R995">
        <v>-1.5465516813219834E-6</v>
      </c>
      <c r="T995" s="60"/>
      <c r="Y995" s="98"/>
    </row>
    <row r="996" spans="4:25" x14ac:dyDescent="0.2">
      <c r="D996" s="63"/>
      <c r="K996">
        <v>3</v>
      </c>
      <c r="L996" s="44">
        <v>3.2200000000000082</v>
      </c>
      <c r="M996">
        <v>7.0442335413929413E-3</v>
      </c>
      <c r="N996">
        <v>7.4419620128142547</v>
      </c>
      <c r="O996">
        <v>0</v>
      </c>
      <c r="P996">
        <v>0</v>
      </c>
      <c r="Q996">
        <v>2.9112687126285785E-6</v>
      </c>
      <c r="R996">
        <v>-1.5394374424617195E-6</v>
      </c>
      <c r="T996" s="60"/>
      <c r="Y996" s="98"/>
    </row>
    <row r="997" spans="4:25" x14ac:dyDescent="0.2">
      <c r="D997" s="63"/>
      <c r="K997">
        <v>3</v>
      </c>
      <c r="L997" s="44">
        <v>3.2375000000000083</v>
      </c>
      <c r="M997">
        <v>7.0442335413929413E-3</v>
      </c>
      <c r="N997">
        <v>7.4420852869012286</v>
      </c>
      <c r="O997">
        <v>0</v>
      </c>
      <c r="P997">
        <v>0</v>
      </c>
      <c r="Q997">
        <v>2.8843908078348222E-6</v>
      </c>
      <c r="R997">
        <v>-1.5323230857550381E-6</v>
      </c>
      <c r="T997" s="60"/>
      <c r="Y997" s="98"/>
    </row>
    <row r="998" spans="4:25" x14ac:dyDescent="0.2">
      <c r="D998" s="63"/>
      <c r="K998">
        <v>3</v>
      </c>
      <c r="L998" s="44">
        <v>3.2550000000000083</v>
      </c>
      <c r="M998">
        <v>7.0442335413929413E-3</v>
      </c>
      <c r="N998">
        <v>7.4422085609882034</v>
      </c>
      <c r="O998">
        <v>0</v>
      </c>
      <c r="P998">
        <v>0</v>
      </c>
      <c r="Q998">
        <v>2.8576374053145893E-6</v>
      </c>
      <c r="R998">
        <v>-1.525208611201939E-6</v>
      </c>
      <c r="T998" s="60"/>
      <c r="Y998" s="98"/>
    </row>
    <row r="999" spans="4:25" x14ac:dyDescent="0.2">
      <c r="D999" s="63"/>
      <c r="K999">
        <v>3</v>
      </c>
      <c r="L999" s="44">
        <v>3.2725000000000084</v>
      </c>
      <c r="M999">
        <v>7.0442335413929413E-3</v>
      </c>
      <c r="N999">
        <v>7.4423318350751781</v>
      </c>
      <c r="O999">
        <v>0</v>
      </c>
      <c r="P999">
        <v>0</v>
      </c>
      <c r="Q999">
        <v>2.8310085071301916E-6</v>
      </c>
      <c r="R999">
        <v>-1.5180940188024221E-6</v>
      </c>
      <c r="T999" s="60"/>
      <c r="Y999" s="98"/>
    </row>
    <row r="1000" spans="4:25" x14ac:dyDescent="0.2">
      <c r="D1000" s="63"/>
      <c r="K1000">
        <v>3</v>
      </c>
      <c r="L1000" s="44">
        <v>3.2900000000000085</v>
      </c>
      <c r="M1000">
        <v>7.0442335413929413E-3</v>
      </c>
      <c r="N1000">
        <v>7.442455109162152</v>
      </c>
      <c r="O1000">
        <v>0</v>
      </c>
      <c r="P1000">
        <v>0</v>
      </c>
      <c r="Q1000">
        <v>2.8045041153439417E-6</v>
      </c>
      <c r="R1000">
        <v>-1.5109793085564876E-6</v>
      </c>
      <c r="T1000" s="60"/>
      <c r="Y1000" s="98"/>
    </row>
    <row r="1001" spans="4:25" x14ac:dyDescent="0.2">
      <c r="D1001" s="63"/>
      <c r="K1001">
        <v>3</v>
      </c>
      <c r="L1001" s="44">
        <v>3.3075000000000085</v>
      </c>
      <c r="M1001">
        <v>7.0442335413929413E-3</v>
      </c>
      <c r="N1001">
        <v>7.4425783832491268</v>
      </c>
      <c r="O1001">
        <v>0</v>
      </c>
      <c r="P1001">
        <v>0</v>
      </c>
      <c r="Q1001">
        <v>2.7781242320181523E-6</v>
      </c>
      <c r="R1001">
        <v>-1.5038644804641355E-6</v>
      </c>
      <c r="T1001" s="60"/>
      <c r="Y1001" s="98"/>
    </row>
    <row r="1002" spans="4:25" x14ac:dyDescent="0.2">
      <c r="D1002" s="63"/>
      <c r="K1002">
        <v>3</v>
      </c>
      <c r="L1002" s="44">
        <v>3.3250000000000086</v>
      </c>
      <c r="M1002">
        <v>7.0442335413929413E-3</v>
      </c>
      <c r="N1002">
        <v>7.4427016573361016</v>
      </c>
      <c r="O1002">
        <v>0</v>
      </c>
      <c r="P1002">
        <v>0</v>
      </c>
      <c r="Q1002">
        <v>2.7518688592151342E-6</v>
      </c>
      <c r="R1002">
        <v>-1.4967495345253657E-6</v>
      </c>
      <c r="T1002" s="60"/>
      <c r="Y1002" s="98"/>
    </row>
    <row r="1003" spans="4:25" x14ac:dyDescent="0.2">
      <c r="D1003" s="63"/>
      <c r="K1003">
        <v>3</v>
      </c>
      <c r="L1003" s="44">
        <v>3.3425000000000087</v>
      </c>
      <c r="M1003">
        <v>7.0442335413929413E-3</v>
      </c>
      <c r="N1003">
        <v>7.4428249314230754</v>
      </c>
      <c r="O1003">
        <v>0</v>
      </c>
      <c r="P1003">
        <v>0</v>
      </c>
      <c r="Q1003">
        <v>2.7257379989972017E-6</v>
      </c>
      <c r="R1003">
        <v>-1.4896344707401783E-6</v>
      </c>
      <c r="T1003" s="60"/>
      <c r="Y1003" s="98"/>
    </row>
    <row r="1004" spans="4:25" x14ac:dyDescent="0.2">
      <c r="D1004" s="63"/>
      <c r="K1004">
        <v>3</v>
      </c>
      <c r="L1004" s="44">
        <v>3.3600000000000088</v>
      </c>
      <c r="M1004">
        <v>7.0442335413929413E-3</v>
      </c>
      <c r="N1004">
        <v>7.4429482055100493</v>
      </c>
      <c r="O1004">
        <v>0</v>
      </c>
      <c r="P1004">
        <v>0</v>
      </c>
      <c r="Q1004">
        <v>2.699731653426665E-6</v>
      </c>
      <c r="R1004">
        <v>-1.4825192891085731E-6</v>
      </c>
      <c r="T1004" s="60"/>
      <c r="Y1004" s="98"/>
    </row>
    <row r="1005" spans="4:25" x14ac:dyDescent="0.2">
      <c r="D1005" s="63"/>
      <c r="K1005">
        <v>3</v>
      </c>
      <c r="L1005" s="44">
        <v>3.3775000000000088</v>
      </c>
      <c r="M1005">
        <v>7.0442335413929413E-3</v>
      </c>
      <c r="N1005">
        <v>7.4430714795970241</v>
      </c>
      <c r="O1005">
        <v>0</v>
      </c>
      <c r="P1005">
        <v>0</v>
      </c>
      <c r="Q1005">
        <v>2.6738498245658384E-6</v>
      </c>
      <c r="R1005">
        <v>-1.4754039896305502E-6</v>
      </c>
      <c r="T1005" s="60"/>
      <c r="Y1005" s="98"/>
    </row>
    <row r="1006" spans="4:25" x14ac:dyDescent="0.2">
      <c r="D1006" s="63"/>
      <c r="K1006">
        <v>3</v>
      </c>
      <c r="L1006" s="44">
        <v>3.3950000000000089</v>
      </c>
      <c r="M1006">
        <v>7.0442335413929413E-3</v>
      </c>
      <c r="N1006">
        <v>7.4431947536839989</v>
      </c>
      <c r="O1006">
        <v>0</v>
      </c>
      <c r="P1006">
        <v>0</v>
      </c>
      <c r="Q1006">
        <v>2.6480925144770336E-6</v>
      </c>
      <c r="R1006">
        <v>-1.4682885723061097E-6</v>
      </c>
      <c r="T1006" s="60"/>
      <c r="Y1006" s="98"/>
    </row>
    <row r="1007" spans="4:25" x14ac:dyDescent="0.2">
      <c r="D1007" s="63"/>
      <c r="K1007">
        <v>3</v>
      </c>
      <c r="L1007" s="44">
        <v>3.412500000000009</v>
      </c>
      <c r="M1007">
        <v>7.0442335413929413E-3</v>
      </c>
      <c r="N1007">
        <v>7.4433180277709727</v>
      </c>
      <c r="O1007">
        <v>0</v>
      </c>
      <c r="P1007">
        <v>0</v>
      </c>
      <c r="Q1007">
        <v>2.6224597252225615E-6</v>
      </c>
      <c r="R1007">
        <v>-1.4611730371352515E-6</v>
      </c>
      <c r="T1007" s="60"/>
      <c r="Y1007" s="98"/>
    </row>
    <row r="1008" spans="4:25" x14ac:dyDescent="0.2">
      <c r="D1008" s="63"/>
      <c r="K1008">
        <v>3</v>
      </c>
      <c r="L1008" s="44">
        <v>3.430000000000009</v>
      </c>
      <c r="M1008">
        <v>7.0442335413929413E-3</v>
      </c>
      <c r="N1008">
        <v>7.4434413018579475</v>
      </c>
      <c r="O1008">
        <v>0</v>
      </c>
      <c r="P1008">
        <v>0</v>
      </c>
      <c r="Q1008">
        <v>2.5969514588647365E-6</v>
      </c>
      <c r="R1008">
        <v>-1.4540573841179756E-6</v>
      </c>
      <c r="T1008" s="60"/>
      <c r="Y1008" s="98"/>
    </row>
    <row r="1009" spans="4:25" x14ac:dyDescent="0.2">
      <c r="D1009" s="63"/>
      <c r="K1009">
        <v>3</v>
      </c>
      <c r="L1009" s="44">
        <v>3.4475000000000091</v>
      </c>
      <c r="M1009">
        <v>7.0442335413929413E-3</v>
      </c>
      <c r="N1009">
        <v>7.4435645759449223</v>
      </c>
      <c r="O1009">
        <v>0</v>
      </c>
      <c r="P1009">
        <v>0</v>
      </c>
      <c r="Q1009">
        <v>2.5715677174658704E-6</v>
      </c>
      <c r="R1009">
        <v>-1.446941613254282E-6</v>
      </c>
      <c r="T1009" s="60"/>
      <c r="Y1009" s="98"/>
    </row>
    <row r="1010" spans="4:25" x14ac:dyDescent="0.2">
      <c r="D1010" s="63"/>
      <c r="K1010">
        <v>3</v>
      </c>
      <c r="L1010" s="44">
        <v>3.4650000000000092</v>
      </c>
      <c r="M1010">
        <v>7.0442335413929413E-3</v>
      </c>
      <c r="N1010">
        <v>7.4436878500318961</v>
      </c>
      <c r="O1010">
        <v>0</v>
      </c>
      <c r="P1010">
        <v>0</v>
      </c>
      <c r="Q1010">
        <v>2.5463085030882741E-6</v>
      </c>
      <c r="R1010">
        <v>-1.4398257245441707E-6</v>
      </c>
      <c r="T1010" s="60"/>
      <c r="Y1010" s="98"/>
    </row>
    <row r="1011" spans="4:25" x14ac:dyDescent="0.2">
      <c r="D1011" s="63"/>
      <c r="K1011">
        <v>3</v>
      </c>
      <c r="L1011" s="44">
        <v>3.4825000000000093</v>
      </c>
      <c r="M1011">
        <v>7.0442335413929413E-3</v>
      </c>
      <c r="N1011">
        <v>7.44381112411887</v>
      </c>
      <c r="O1011">
        <v>0</v>
      </c>
      <c r="P1011">
        <v>0</v>
      </c>
      <c r="Q1011">
        <v>2.5211738177942618E-6</v>
      </c>
      <c r="R1011">
        <v>-1.4327097179876417E-6</v>
      </c>
      <c r="T1011" s="60"/>
      <c r="Y1011" s="98"/>
    </row>
    <row r="1012" spans="4:25" x14ac:dyDescent="0.2">
      <c r="D1012" s="63"/>
      <c r="K1012">
        <v>3</v>
      </c>
      <c r="L1012" s="44">
        <v>3.5000000000000093</v>
      </c>
      <c r="M1012">
        <v>7.0442335413929413E-3</v>
      </c>
      <c r="N1012">
        <v>7.4439343982058448</v>
      </c>
      <c r="O1012">
        <v>0</v>
      </c>
      <c r="P1012">
        <v>0</v>
      </c>
      <c r="Q1012">
        <v>2.4961636636461438E-6</v>
      </c>
      <c r="R1012">
        <v>-1.4255935935846951E-6</v>
      </c>
      <c r="T1012" s="60"/>
      <c r="Y1012" s="98"/>
    </row>
    <row r="1013" spans="4:25" x14ac:dyDescent="0.2">
      <c r="D1013" s="63"/>
      <c r="K1013">
        <v>3</v>
      </c>
      <c r="L1013" s="44">
        <v>3.5175000000000094</v>
      </c>
      <c r="M1013">
        <v>7.0442335413929413E-3</v>
      </c>
      <c r="N1013">
        <v>7.4440576722928196</v>
      </c>
      <c r="O1013">
        <v>0</v>
      </c>
      <c r="P1013">
        <v>0</v>
      </c>
      <c r="Q1013">
        <v>2.4712780427062342E-6</v>
      </c>
      <c r="R1013">
        <v>-1.4184773513353308E-6</v>
      </c>
      <c r="T1013" s="60"/>
      <c r="Y1013" s="98"/>
    </row>
    <row r="1014" spans="4:25" x14ac:dyDescent="0.2">
      <c r="D1014" s="63"/>
      <c r="K1014">
        <v>3</v>
      </c>
      <c r="L1014" s="44">
        <v>3.5350000000000095</v>
      </c>
      <c r="M1014">
        <v>7.0442335413929413E-3</v>
      </c>
      <c r="N1014">
        <v>7.4441809463797934</v>
      </c>
      <c r="O1014">
        <v>0</v>
      </c>
      <c r="P1014">
        <v>0</v>
      </c>
      <c r="Q1014">
        <v>2.4465169570368449E-6</v>
      </c>
      <c r="R1014">
        <v>-1.4113609912395488E-6</v>
      </c>
      <c r="T1014" s="60"/>
      <c r="Y1014" s="98"/>
    </row>
    <row r="1015" spans="4:25" x14ac:dyDescent="0.2">
      <c r="D1015" s="63"/>
      <c r="K1015">
        <v>3</v>
      </c>
      <c r="L1015" s="44">
        <v>3.5525000000000095</v>
      </c>
      <c r="M1015">
        <v>7.0442335413929413E-3</v>
      </c>
      <c r="N1015">
        <v>7.4443042204667682</v>
      </c>
      <c r="O1015">
        <v>0</v>
      </c>
      <c r="P1015">
        <v>0</v>
      </c>
      <c r="Q1015">
        <v>2.4218804087002867E-6</v>
      </c>
      <c r="R1015">
        <v>-1.4042445132973491E-6</v>
      </c>
      <c r="T1015" s="60"/>
      <c r="Y1015" s="98"/>
    </row>
    <row r="1016" spans="4:25" x14ac:dyDescent="0.2">
      <c r="D1016" s="63"/>
      <c r="K1016">
        <v>3</v>
      </c>
      <c r="L1016" s="44">
        <v>3.5700000000000096</v>
      </c>
      <c r="M1016">
        <v>7.0442335413929413E-3</v>
      </c>
      <c r="N1016">
        <v>7.444427494553743</v>
      </c>
      <c r="O1016">
        <v>0</v>
      </c>
      <c r="P1016">
        <v>0</v>
      </c>
      <c r="Q1016">
        <v>2.397368399758875E-6</v>
      </c>
      <c r="R1016">
        <v>-1.3971279175087317E-6</v>
      </c>
      <c r="T1016" s="60"/>
      <c r="Y1016" s="98"/>
    </row>
    <row r="1017" spans="4:25" x14ac:dyDescent="0.2">
      <c r="D1017" s="63"/>
      <c r="K1017">
        <v>3</v>
      </c>
      <c r="L1017" s="44">
        <v>3.5875000000000097</v>
      </c>
      <c r="M1017">
        <v>7.0442335413929413E-3</v>
      </c>
      <c r="N1017">
        <v>7.4445507686407169</v>
      </c>
      <c r="O1017">
        <v>0</v>
      </c>
      <c r="P1017">
        <v>0</v>
      </c>
      <c r="Q1017">
        <v>2.3729809322749188E-6</v>
      </c>
      <c r="R1017">
        <v>-1.3900112038736966E-6</v>
      </c>
      <c r="T1017" s="60"/>
      <c r="Y1017" s="98"/>
    </row>
    <row r="1018" spans="4:25" x14ac:dyDescent="0.2">
      <c r="D1018" s="63"/>
      <c r="K1018">
        <v>3</v>
      </c>
      <c r="L1018" s="44">
        <v>3.6050000000000098</v>
      </c>
      <c r="M1018">
        <v>7.0442335413929413E-3</v>
      </c>
      <c r="N1018">
        <v>7.4446740427276907</v>
      </c>
      <c r="O1018">
        <v>0</v>
      </c>
      <c r="P1018">
        <v>0</v>
      </c>
      <c r="Q1018">
        <v>2.3487180083107317E-6</v>
      </c>
      <c r="R1018">
        <v>-1.3828943723922439E-6</v>
      </c>
      <c r="T1018" s="60"/>
      <c r="Y1018" s="98"/>
    </row>
    <row r="1019" spans="4:25" x14ac:dyDescent="0.2">
      <c r="D1019" s="63"/>
      <c r="K1019">
        <v>3</v>
      </c>
      <c r="L1019" s="44">
        <v>3.6225000000000098</v>
      </c>
      <c r="M1019">
        <v>7.0442335413929413E-3</v>
      </c>
      <c r="N1019">
        <v>7.4447973168146655</v>
      </c>
      <c r="O1019">
        <v>0</v>
      </c>
      <c r="P1019">
        <v>0</v>
      </c>
      <c r="Q1019">
        <v>2.3245796299286271E-6</v>
      </c>
      <c r="R1019">
        <v>-1.3757774230643734E-6</v>
      </c>
      <c r="T1019" s="60"/>
      <c r="Y1019" s="98"/>
    </row>
    <row r="1020" spans="4:25" x14ac:dyDescent="0.2">
      <c r="D1020" s="63"/>
      <c r="K1020">
        <v>3</v>
      </c>
      <c r="L1020" s="44">
        <v>3.6400000000000099</v>
      </c>
      <c r="M1020">
        <v>7.0442335413929413E-3</v>
      </c>
      <c r="N1020">
        <v>7.4449205909016403</v>
      </c>
      <c r="O1020">
        <v>0</v>
      </c>
      <c r="P1020">
        <v>0</v>
      </c>
      <c r="Q1020">
        <v>2.3005657991909159E-6</v>
      </c>
      <c r="R1020">
        <v>-1.3686603558900853E-6</v>
      </c>
      <c r="T1020" s="60"/>
      <c r="Y1020" s="98"/>
    </row>
    <row r="1021" spans="4:25" x14ac:dyDescent="0.2">
      <c r="D1021" s="63"/>
      <c r="K1021">
        <v>3</v>
      </c>
      <c r="L1021" s="44">
        <v>3.65750000000001</v>
      </c>
      <c r="M1021">
        <v>7.0442335413929413E-3</v>
      </c>
      <c r="N1021">
        <v>7.4450438649886141</v>
      </c>
      <c r="O1021">
        <v>0</v>
      </c>
      <c r="P1021">
        <v>0</v>
      </c>
      <c r="Q1021">
        <v>2.2766765181599108E-6</v>
      </c>
      <c r="R1021">
        <v>-1.3615431708693795E-6</v>
      </c>
      <c r="T1021" s="60"/>
      <c r="Y1021" s="98"/>
    </row>
    <row r="1022" spans="4:25" x14ac:dyDescent="0.2">
      <c r="D1022" s="63"/>
      <c r="K1022">
        <v>3</v>
      </c>
      <c r="L1022" s="44">
        <v>3.67500000000001</v>
      </c>
      <c r="M1022">
        <v>7.0442335413929413E-3</v>
      </c>
      <c r="N1022">
        <v>7.445167139075588</v>
      </c>
      <c r="O1022">
        <v>0</v>
      </c>
      <c r="P1022">
        <v>0</v>
      </c>
      <c r="Q1022">
        <v>2.2529117888979253E-6</v>
      </c>
      <c r="R1022">
        <v>-1.354425868002256E-6</v>
      </c>
      <c r="T1022" s="60"/>
      <c r="Y1022" s="98"/>
    </row>
    <row r="1023" spans="4:25" x14ac:dyDescent="0.2">
      <c r="D1023" s="63"/>
      <c r="K1023">
        <v>3</v>
      </c>
      <c r="L1023" s="44">
        <v>3.6925000000000101</v>
      </c>
      <c r="M1023">
        <v>7.0442335413929413E-3</v>
      </c>
      <c r="N1023">
        <v>7.4452904131625628</v>
      </c>
      <c r="O1023">
        <v>0</v>
      </c>
      <c r="P1023">
        <v>0</v>
      </c>
      <c r="Q1023">
        <v>2.2292716134672694E-6</v>
      </c>
      <c r="R1023">
        <v>-1.3473084472887148E-6</v>
      </c>
      <c r="T1023" s="60"/>
      <c r="Y1023" s="98"/>
    </row>
    <row r="1024" spans="4:25" x14ac:dyDescent="0.2">
      <c r="D1024" s="63"/>
      <c r="K1024">
        <v>3</v>
      </c>
      <c r="L1024" s="44">
        <v>3.7100000000000102</v>
      </c>
      <c r="M1024">
        <v>7.0442335413929413E-3</v>
      </c>
      <c r="N1024">
        <v>7.4454136872495376</v>
      </c>
      <c r="O1024">
        <v>0</v>
      </c>
      <c r="P1024">
        <v>0</v>
      </c>
      <c r="Q1024">
        <v>2.2057559939302574E-6</v>
      </c>
      <c r="R1024">
        <v>-1.340190908728756E-6</v>
      </c>
      <c r="T1024" s="60"/>
      <c r="Y1024" s="98"/>
    </row>
    <row r="1025" spans="4:25" x14ac:dyDescent="0.2">
      <c r="D1025" s="63"/>
      <c r="K1025">
        <v>3</v>
      </c>
      <c r="L1025" s="44">
        <v>3.7275000000000102</v>
      </c>
      <c r="M1025">
        <v>7.0442335413929413E-3</v>
      </c>
      <c r="N1025">
        <v>7.4455369613365114</v>
      </c>
      <c r="O1025">
        <v>0</v>
      </c>
      <c r="P1025">
        <v>0</v>
      </c>
      <c r="Q1025">
        <v>2.1823649323492003E-6</v>
      </c>
      <c r="R1025">
        <v>-1.3330732523223794E-6</v>
      </c>
      <c r="T1025" s="60"/>
      <c r="Y1025" s="98"/>
    </row>
    <row r="1026" spans="4:25" x14ac:dyDescent="0.2">
      <c r="D1026" s="63"/>
      <c r="K1026">
        <v>3</v>
      </c>
      <c r="L1026" s="44">
        <v>3.7450000000000103</v>
      </c>
      <c r="M1026">
        <v>7.0442335413929413E-3</v>
      </c>
      <c r="N1026">
        <v>7.4456602354234862</v>
      </c>
      <c r="O1026">
        <v>0</v>
      </c>
      <c r="P1026">
        <v>0</v>
      </c>
      <c r="Q1026">
        <v>2.1590984307864106E-6</v>
      </c>
      <c r="R1026">
        <v>-1.3259554780695852E-6</v>
      </c>
      <c r="T1026" s="60"/>
      <c r="Y1026" s="98"/>
    </row>
    <row r="1027" spans="4:25" x14ac:dyDescent="0.2">
      <c r="D1027" s="63"/>
      <c r="K1027">
        <v>3</v>
      </c>
      <c r="L1027" s="44">
        <v>3.7625000000000104</v>
      </c>
      <c r="M1027">
        <v>7.0442335413929413E-3</v>
      </c>
      <c r="N1027">
        <v>7.445783509510461</v>
      </c>
      <c r="O1027">
        <v>0</v>
      </c>
      <c r="P1027">
        <v>0</v>
      </c>
      <c r="Q1027">
        <v>2.1359564913042019E-6</v>
      </c>
      <c r="R1027">
        <v>-1.3188375859703733E-6</v>
      </c>
      <c r="T1027" s="60"/>
      <c r="Y1027" s="98"/>
    </row>
    <row r="1028" spans="4:25" x14ac:dyDescent="0.2">
      <c r="D1028" s="63"/>
      <c r="K1028">
        <v>3</v>
      </c>
      <c r="L1028" s="44">
        <v>3.7800000000000105</v>
      </c>
      <c r="M1028">
        <v>7.0442335413929413E-3</v>
      </c>
      <c r="N1028">
        <v>7.4459067835974349</v>
      </c>
      <c r="O1028">
        <v>0</v>
      </c>
      <c r="P1028">
        <v>0</v>
      </c>
      <c r="Q1028">
        <v>2.1129391159648851E-6</v>
      </c>
      <c r="R1028">
        <v>-1.3117195760247437E-6</v>
      </c>
      <c r="T1028" s="60"/>
      <c r="Y1028" s="98"/>
    </row>
    <row r="1029" spans="4:25" x14ac:dyDescent="0.2">
      <c r="D1029" s="63"/>
      <c r="K1029">
        <v>3</v>
      </c>
      <c r="L1029" s="44">
        <v>3.7975000000000105</v>
      </c>
      <c r="M1029">
        <v>7.0442335413929413E-3</v>
      </c>
      <c r="N1029">
        <v>7.4460300576844087</v>
      </c>
      <c r="O1029">
        <v>0</v>
      </c>
      <c r="P1029">
        <v>0</v>
      </c>
      <c r="Q1029">
        <v>2.0900463068307737E-6</v>
      </c>
      <c r="R1029">
        <v>-1.3046014482326966E-6</v>
      </c>
      <c r="T1029" s="60"/>
      <c r="Y1029" s="98"/>
    </row>
    <row r="1030" spans="4:25" x14ac:dyDescent="0.2">
      <c r="D1030" s="63"/>
      <c r="K1030">
        <v>3</v>
      </c>
      <c r="L1030" s="44">
        <v>3.8150000000000106</v>
      </c>
      <c r="M1030">
        <v>7.0442335413929413E-3</v>
      </c>
      <c r="N1030">
        <v>7.4461533317713835</v>
      </c>
      <c r="O1030">
        <v>0</v>
      </c>
      <c r="P1030">
        <v>0</v>
      </c>
      <c r="Q1030">
        <v>2.0672780659641785E-6</v>
      </c>
      <c r="R1030">
        <v>-1.2974832025942316E-6</v>
      </c>
      <c r="T1030" s="60"/>
      <c r="Y1030" s="98"/>
    </row>
    <row r="1031" spans="4:25" x14ac:dyDescent="0.2">
      <c r="D1031" s="63"/>
      <c r="K1031">
        <v>3</v>
      </c>
      <c r="L1031" s="44">
        <v>3.8325000000000107</v>
      </c>
      <c r="M1031">
        <v>7.0442335413929413E-3</v>
      </c>
      <c r="N1031">
        <v>7.4462766058583583</v>
      </c>
      <c r="O1031">
        <v>0</v>
      </c>
      <c r="P1031">
        <v>0</v>
      </c>
      <c r="Q1031">
        <v>2.0446343954274122E-6</v>
      </c>
      <c r="R1031">
        <v>-1.290364839109349E-6</v>
      </c>
      <c r="T1031" s="60"/>
      <c r="Y1031" s="98"/>
    </row>
    <row r="1032" spans="4:25" x14ac:dyDescent="0.2">
      <c r="D1032" s="63"/>
      <c r="K1032">
        <v>3</v>
      </c>
      <c r="L1032" s="44">
        <v>3.8500000000000107</v>
      </c>
      <c r="M1032">
        <v>7.0442335413929413E-3</v>
      </c>
      <c r="N1032">
        <v>7.4463998799453321</v>
      </c>
      <c r="O1032">
        <v>0</v>
      </c>
      <c r="P1032">
        <v>0</v>
      </c>
      <c r="Q1032">
        <v>2.0221152972827883E-6</v>
      </c>
      <c r="R1032">
        <v>-1.2832463577780489E-6</v>
      </c>
      <c r="T1032" s="60"/>
      <c r="Y1032" s="98"/>
    </row>
    <row r="1033" spans="4:25" x14ac:dyDescent="0.2">
      <c r="D1033" s="63"/>
      <c r="K1033">
        <v>3</v>
      </c>
      <c r="L1033" s="44">
        <v>3.8675000000000108</v>
      </c>
      <c r="M1033">
        <v>7.0442335413929413E-3</v>
      </c>
      <c r="N1033">
        <v>7.4465231540323069</v>
      </c>
      <c r="O1033">
        <v>0</v>
      </c>
      <c r="P1033">
        <v>0</v>
      </c>
      <c r="Q1033">
        <v>1.9997207735926177E-6</v>
      </c>
      <c r="R1033">
        <v>-1.2761277586003308E-6</v>
      </c>
      <c r="T1033" s="60"/>
      <c r="Y1033" s="98"/>
    </row>
    <row r="1034" spans="4:25" x14ac:dyDescent="0.2">
      <c r="D1034" s="63"/>
      <c r="K1034">
        <v>3</v>
      </c>
      <c r="L1034" s="44">
        <v>3.8850000000000109</v>
      </c>
      <c r="M1034">
        <v>7.0442335413929413E-3</v>
      </c>
      <c r="N1034">
        <v>7.4466464281192817</v>
      </c>
      <c r="O1034">
        <v>0</v>
      </c>
      <c r="P1034">
        <v>0</v>
      </c>
      <c r="Q1034">
        <v>1.977450826419213E-6</v>
      </c>
      <c r="R1034">
        <v>-1.2690090415761951E-6</v>
      </c>
      <c r="T1034" s="60"/>
      <c r="Y1034" s="98"/>
    </row>
    <row r="1035" spans="4:25" x14ac:dyDescent="0.2">
      <c r="D1035" s="63"/>
      <c r="K1035">
        <v>3</v>
      </c>
      <c r="L1035" s="44">
        <v>3.902500000000011</v>
      </c>
      <c r="M1035">
        <v>7.0442335413929413E-3</v>
      </c>
      <c r="N1035">
        <v>7.4467697022062556</v>
      </c>
      <c r="O1035">
        <v>0</v>
      </c>
      <c r="P1035">
        <v>0</v>
      </c>
      <c r="Q1035">
        <v>1.9553054578248876E-6</v>
      </c>
      <c r="R1035">
        <v>-1.261890206705642E-6</v>
      </c>
      <c r="T1035" s="60"/>
      <c r="Y1035" s="98"/>
    </row>
    <row r="1036" spans="4:25" x14ac:dyDescent="0.2">
      <c r="D1036" s="63"/>
      <c r="K1036">
        <v>3</v>
      </c>
      <c r="L1036" s="44">
        <v>3.920000000000011</v>
      </c>
      <c r="M1036">
        <v>7.0442335413929413E-3</v>
      </c>
      <c r="N1036">
        <v>7.4468929762932294</v>
      </c>
      <c r="O1036">
        <v>0</v>
      </c>
      <c r="P1036">
        <v>0</v>
      </c>
      <c r="Q1036">
        <v>1.9332846698719526E-6</v>
      </c>
      <c r="R1036">
        <v>-1.2547712539886709E-6</v>
      </c>
      <c r="T1036" s="60"/>
      <c r="Y1036" s="98"/>
    </row>
    <row r="1037" spans="4:25" x14ac:dyDescent="0.2">
      <c r="D1037" s="63"/>
      <c r="K1037">
        <v>3</v>
      </c>
      <c r="L1037" s="44">
        <v>3.9375000000000111</v>
      </c>
      <c r="M1037">
        <v>7.0442335413929413E-3</v>
      </c>
      <c r="N1037">
        <v>7.4470162503802042</v>
      </c>
      <c r="O1037">
        <v>0</v>
      </c>
      <c r="P1037">
        <v>0</v>
      </c>
      <c r="Q1037">
        <v>1.9113884646227214E-6</v>
      </c>
      <c r="R1037">
        <v>-1.2476521834252821E-6</v>
      </c>
      <c r="T1037" s="60"/>
      <c r="Y1037" s="98"/>
    </row>
    <row r="1038" spans="4:25" x14ac:dyDescent="0.2">
      <c r="D1038" s="63"/>
      <c r="K1038">
        <v>3</v>
      </c>
      <c r="L1038" s="44">
        <v>3.9550000000000112</v>
      </c>
      <c r="M1038">
        <v>7.0442335413929413E-3</v>
      </c>
      <c r="N1038">
        <v>7.447139524467179</v>
      </c>
      <c r="O1038">
        <v>0</v>
      </c>
      <c r="P1038">
        <v>0</v>
      </c>
      <c r="Q1038">
        <v>1.8896168441395048E-6</v>
      </c>
      <c r="R1038">
        <v>-1.2405329950154757E-6</v>
      </c>
      <c r="T1038" s="60"/>
      <c r="Y1038" s="98"/>
    </row>
    <row r="1039" spans="4:25" x14ac:dyDescent="0.2">
      <c r="D1039" s="63"/>
      <c r="K1039">
        <v>3</v>
      </c>
      <c r="L1039" s="44">
        <v>3.9725000000000112</v>
      </c>
      <c r="M1039">
        <v>7.0442335413929413E-3</v>
      </c>
      <c r="N1039">
        <v>7.4472627985541529</v>
      </c>
      <c r="O1039">
        <v>0</v>
      </c>
      <c r="P1039">
        <v>0</v>
      </c>
      <c r="Q1039">
        <v>1.8679698104846165E-6</v>
      </c>
      <c r="R1039">
        <v>-1.2334136887592516E-6</v>
      </c>
      <c r="T1039" s="60"/>
      <c r="Y1039" s="98"/>
    </row>
    <row r="1040" spans="4:25" x14ac:dyDescent="0.2">
      <c r="D1040" s="63"/>
      <c r="K1040">
        <v>3</v>
      </c>
      <c r="L1040" s="44">
        <v>3.9900000000000113</v>
      </c>
      <c r="M1040">
        <v>7.0442335413929413E-3</v>
      </c>
      <c r="N1040">
        <v>7.4473860726411276</v>
      </c>
      <c r="O1040">
        <v>0</v>
      </c>
      <c r="P1040">
        <v>0</v>
      </c>
      <c r="Q1040">
        <v>1.8464473657203689E-6</v>
      </c>
      <c r="R1040">
        <v>-1.2262942646566099E-6</v>
      </c>
      <c r="T1040" s="60"/>
      <c r="Y1040" s="98"/>
    </row>
    <row r="1041" spans="4:25" x14ac:dyDescent="0.2">
      <c r="D1041" s="63"/>
      <c r="K1041">
        <v>3</v>
      </c>
      <c r="L1041" s="44">
        <v>4.0075000000000109</v>
      </c>
      <c r="M1041">
        <v>7.0442335413929413E-3</v>
      </c>
      <c r="N1041">
        <v>7.4475093467281024</v>
      </c>
      <c r="O1041">
        <v>0</v>
      </c>
      <c r="P1041">
        <v>0</v>
      </c>
      <c r="Q1041">
        <v>1.8250495119090731E-6</v>
      </c>
      <c r="R1041">
        <v>-1.2191747227075507E-6</v>
      </c>
      <c r="T1041" s="60"/>
      <c r="Y1041" s="98"/>
    </row>
    <row r="1042" spans="4:25" x14ac:dyDescent="0.2">
      <c r="D1042" s="63"/>
      <c r="K1042">
        <v>3</v>
      </c>
      <c r="L1042" s="44">
        <v>4.025000000000011</v>
      </c>
      <c r="M1042">
        <v>7.0442335413929413E-3</v>
      </c>
      <c r="N1042">
        <v>7.4476326208150763</v>
      </c>
      <c r="O1042">
        <v>0</v>
      </c>
      <c r="P1042">
        <v>0</v>
      </c>
      <c r="Q1042">
        <v>1.8037762511130424E-6</v>
      </c>
      <c r="R1042">
        <v>-1.2120550629120737E-6</v>
      </c>
      <c r="T1042" s="60"/>
      <c r="Y1042" s="98"/>
    </row>
    <row r="1043" spans="4:25" x14ac:dyDescent="0.2">
      <c r="D1043" s="63"/>
      <c r="K1043">
        <v>3</v>
      </c>
      <c r="L1043" s="44">
        <v>4.0425000000000111</v>
      </c>
      <c r="M1043">
        <v>7.0442335413929413E-3</v>
      </c>
      <c r="N1043">
        <v>7.4477558949020501</v>
      </c>
      <c r="O1043">
        <v>0</v>
      </c>
      <c r="P1043">
        <v>0</v>
      </c>
      <c r="Q1043">
        <v>1.7826275853945879E-6</v>
      </c>
      <c r="R1043">
        <v>-1.2049352852701788E-6</v>
      </c>
      <c r="T1043" s="60"/>
      <c r="Y1043" s="98"/>
    </row>
    <row r="1044" spans="4:25" x14ac:dyDescent="0.2">
      <c r="D1044" s="63"/>
      <c r="K1044">
        <v>3</v>
      </c>
      <c r="L1044" s="44">
        <v>4.0600000000000112</v>
      </c>
      <c r="M1044">
        <v>7.0442335413929413E-3</v>
      </c>
      <c r="N1044">
        <v>7.4478791689890249</v>
      </c>
      <c r="O1044">
        <v>0</v>
      </c>
      <c r="P1044">
        <v>0</v>
      </c>
      <c r="Q1044">
        <v>1.7616035168160229E-6</v>
      </c>
      <c r="R1044">
        <v>-1.1978153897818665E-6</v>
      </c>
      <c r="T1044" s="60"/>
      <c r="Y1044" s="98"/>
    </row>
    <row r="1045" spans="4:25" x14ac:dyDescent="0.2">
      <c r="D1045" s="63"/>
      <c r="K1045">
        <v>3</v>
      </c>
      <c r="L1045" s="44">
        <v>4.0775000000000112</v>
      </c>
      <c r="M1045">
        <v>7.0442335413929413E-3</v>
      </c>
      <c r="N1045">
        <v>7.4480024430759997</v>
      </c>
      <c r="O1045">
        <v>0</v>
      </c>
      <c r="P1045">
        <v>0</v>
      </c>
      <c r="Q1045">
        <v>1.7407040474396602E-6</v>
      </c>
      <c r="R1045">
        <v>-1.1906953764471362E-6</v>
      </c>
      <c r="T1045" s="60"/>
      <c r="Y1045" s="98"/>
    </row>
    <row r="1046" spans="4:25" x14ac:dyDescent="0.2">
      <c r="D1046" s="63"/>
      <c r="K1046">
        <v>3</v>
      </c>
      <c r="L1046" s="44">
        <v>4.0950000000000113</v>
      </c>
      <c r="M1046">
        <v>7.0442335413929413E-3</v>
      </c>
      <c r="N1046">
        <v>7.4481257171629736</v>
      </c>
      <c r="O1046">
        <v>0</v>
      </c>
      <c r="P1046">
        <v>0</v>
      </c>
      <c r="Q1046">
        <v>1.7199291793278105E-6</v>
      </c>
      <c r="R1046">
        <v>-1.1835752452659885E-6</v>
      </c>
      <c r="T1046" s="60"/>
      <c r="Y1046" s="98"/>
    </row>
    <row r="1047" spans="4:25" x14ac:dyDescent="0.2">
      <c r="D1047" s="63"/>
      <c r="K1047">
        <v>3</v>
      </c>
      <c r="L1047" s="44">
        <v>4.1125000000000114</v>
      </c>
      <c r="M1047">
        <v>7.0442335413929413E-3</v>
      </c>
      <c r="N1047">
        <v>7.4482489912499474</v>
      </c>
      <c r="O1047">
        <v>0</v>
      </c>
      <c r="P1047">
        <v>0</v>
      </c>
      <c r="Q1047">
        <v>1.6992789145427875E-6</v>
      </c>
      <c r="R1047">
        <v>-1.1764549962384231E-6</v>
      </c>
      <c r="T1047" s="60"/>
      <c r="Y1047" s="98"/>
    </row>
    <row r="1048" spans="4:25" x14ac:dyDescent="0.2">
      <c r="D1048" s="63"/>
      <c r="K1048">
        <v>3</v>
      </c>
      <c r="L1048" s="44">
        <v>4.1300000000000114</v>
      </c>
      <c r="M1048">
        <v>7.0442335413929413E-3</v>
      </c>
      <c r="N1048">
        <v>7.4483722653369222</v>
      </c>
      <c r="O1048">
        <v>0</v>
      </c>
      <c r="P1048">
        <v>0</v>
      </c>
      <c r="Q1048">
        <v>1.6787532551469038E-6</v>
      </c>
      <c r="R1048">
        <v>-1.1693346293644399E-6</v>
      </c>
      <c r="T1048" s="60"/>
      <c r="Y1048" s="98"/>
    </row>
    <row r="1049" spans="4:25" x14ac:dyDescent="0.2">
      <c r="D1049" s="63"/>
      <c r="K1049">
        <v>3</v>
      </c>
      <c r="L1049" s="44">
        <v>4.1475000000000115</v>
      </c>
      <c r="M1049">
        <v>7.0442335413929413E-3</v>
      </c>
      <c r="N1049">
        <v>7.448495539423897</v>
      </c>
      <c r="O1049">
        <v>0</v>
      </c>
      <c r="P1049">
        <v>0</v>
      </c>
      <c r="Q1049">
        <v>1.6583522032024701E-6</v>
      </c>
      <c r="R1049">
        <v>-1.1622141446440391E-6</v>
      </c>
      <c r="T1049" s="60"/>
      <c r="Y1049" s="98"/>
    </row>
    <row r="1050" spans="4:25" x14ac:dyDescent="0.2">
      <c r="D1050" s="63"/>
      <c r="K1050">
        <v>3</v>
      </c>
      <c r="L1050" s="44">
        <v>4.1650000000000116</v>
      </c>
      <c r="M1050">
        <v>7.0442335413929413E-3</v>
      </c>
      <c r="N1050">
        <v>7.4486188135108709</v>
      </c>
      <c r="O1050">
        <v>0</v>
      </c>
      <c r="P1050">
        <v>0</v>
      </c>
      <c r="Q1050">
        <v>1.6380757607718001E-6</v>
      </c>
      <c r="R1050">
        <v>-1.1550935420772204E-6</v>
      </c>
      <c r="T1050" s="60"/>
      <c r="Y1050" s="98"/>
    </row>
    <row r="1051" spans="4:25" x14ac:dyDescent="0.2">
      <c r="D1051" s="63"/>
      <c r="K1051">
        <v>3</v>
      </c>
      <c r="L1051" s="44">
        <v>4.1825000000000117</v>
      </c>
      <c r="M1051">
        <v>7.0442335413929413E-3</v>
      </c>
      <c r="N1051">
        <v>7.4487420875978456</v>
      </c>
      <c r="O1051">
        <v>0</v>
      </c>
      <c r="P1051">
        <v>0</v>
      </c>
      <c r="Q1051">
        <v>1.6179239299172046E-6</v>
      </c>
      <c r="R1051">
        <v>-1.1479728216639843E-6</v>
      </c>
      <c r="T1051" s="60"/>
      <c r="Y1051" s="98"/>
    </row>
    <row r="1052" spans="4:25" x14ac:dyDescent="0.2">
      <c r="D1052" s="63"/>
      <c r="K1052">
        <v>3</v>
      </c>
      <c r="L1052" s="44">
        <v>4.2000000000000117</v>
      </c>
      <c r="M1052">
        <v>7.0442335413929413E-3</v>
      </c>
      <c r="N1052">
        <v>7.4488653616848204</v>
      </c>
      <c r="O1052">
        <v>0</v>
      </c>
      <c r="P1052">
        <v>0</v>
      </c>
      <c r="Q1052">
        <v>1.5978967127009972E-6</v>
      </c>
      <c r="R1052">
        <v>-1.1408519834043305E-6</v>
      </c>
      <c r="T1052" s="60"/>
      <c r="Y1052" s="98"/>
    </row>
    <row r="1053" spans="4:25" x14ac:dyDescent="0.2">
      <c r="D1053" s="63"/>
      <c r="K1053">
        <v>3</v>
      </c>
      <c r="L1053" s="44">
        <v>4.2175000000000118</v>
      </c>
      <c r="M1053">
        <v>7.0442335413929413E-3</v>
      </c>
      <c r="N1053">
        <v>7.4489886357717943</v>
      </c>
      <c r="O1053">
        <v>0</v>
      </c>
      <c r="P1053">
        <v>0</v>
      </c>
      <c r="Q1053">
        <v>1.5779941111854904E-6</v>
      </c>
      <c r="R1053">
        <v>-1.133731027298259E-6</v>
      </c>
      <c r="T1053" s="60"/>
      <c r="Y1053" s="98"/>
    </row>
    <row r="1054" spans="4:25" x14ac:dyDescent="0.2">
      <c r="D1054" s="63"/>
      <c r="K1054">
        <v>3</v>
      </c>
      <c r="L1054" s="44">
        <v>4.2350000000000119</v>
      </c>
      <c r="M1054">
        <v>7.0442335413929413E-3</v>
      </c>
      <c r="N1054">
        <v>7.4491119098587681</v>
      </c>
      <c r="O1054">
        <v>0</v>
      </c>
      <c r="P1054">
        <v>0</v>
      </c>
      <c r="Q1054">
        <v>1.5582161274329951E-6</v>
      </c>
      <c r="R1054">
        <v>-1.1266099533457698E-6</v>
      </c>
      <c r="T1054" s="60"/>
      <c r="Y1054" s="98"/>
    </row>
    <row r="1055" spans="4:25" x14ac:dyDescent="0.2">
      <c r="D1055" s="63"/>
      <c r="K1055">
        <v>3</v>
      </c>
      <c r="L1055" s="44">
        <v>4.2525000000000119</v>
      </c>
      <c r="M1055">
        <v>7.0442335413929413E-3</v>
      </c>
      <c r="N1055">
        <v>7.4492351839457429</v>
      </c>
      <c r="O1055">
        <v>0</v>
      </c>
      <c r="P1055">
        <v>0</v>
      </c>
      <c r="Q1055">
        <v>1.5385627635058257E-6</v>
      </c>
      <c r="R1055">
        <v>-1.1194887615468629E-6</v>
      </c>
      <c r="T1055" s="60"/>
      <c r="Y1055" s="98"/>
    </row>
    <row r="1056" spans="4:25" x14ac:dyDescent="0.2">
      <c r="D1056" s="63"/>
      <c r="K1056">
        <v>3</v>
      </c>
      <c r="L1056" s="44">
        <v>4.270000000000012</v>
      </c>
      <c r="M1056">
        <v>7.0442335413929413E-3</v>
      </c>
      <c r="N1056">
        <v>7.4493584580327177</v>
      </c>
      <c r="O1056">
        <v>0</v>
      </c>
      <c r="P1056">
        <v>0</v>
      </c>
      <c r="Q1056">
        <v>1.5190340214662923E-6</v>
      </c>
      <c r="R1056">
        <v>-1.1123674519015384E-6</v>
      </c>
      <c r="T1056" s="60"/>
      <c r="Y1056" s="98"/>
    </row>
    <row r="1057" spans="4:25" x14ac:dyDescent="0.2">
      <c r="D1057" s="63"/>
      <c r="K1057">
        <v>3</v>
      </c>
      <c r="L1057" s="44">
        <v>4.2875000000000121</v>
      </c>
      <c r="M1057">
        <v>7.0442335413929413E-3</v>
      </c>
      <c r="N1057">
        <v>7.4494817321196916</v>
      </c>
      <c r="O1057">
        <v>0</v>
      </c>
      <c r="P1057">
        <v>0</v>
      </c>
      <c r="Q1057">
        <v>1.4996299033767083E-6</v>
      </c>
      <c r="R1057">
        <v>-1.1052460244097961E-6</v>
      </c>
      <c r="T1057" s="60"/>
      <c r="Y1057" s="98"/>
    </row>
    <row r="1058" spans="4:25" x14ac:dyDescent="0.2">
      <c r="D1058" s="63"/>
      <c r="K1058">
        <v>3</v>
      </c>
      <c r="L1058" s="44">
        <v>4.3050000000000122</v>
      </c>
      <c r="M1058">
        <v>7.0442335413929413E-3</v>
      </c>
      <c r="N1058">
        <v>7.4496050062066663</v>
      </c>
      <c r="O1058">
        <v>0</v>
      </c>
      <c r="P1058">
        <v>0</v>
      </c>
      <c r="Q1058">
        <v>1.4803504112993872E-6</v>
      </c>
      <c r="R1058">
        <v>-1.0981244790716362E-6</v>
      </c>
      <c r="T1058" s="60"/>
      <c r="Y1058" s="98"/>
    </row>
    <row r="1059" spans="4:25" x14ac:dyDescent="0.2">
      <c r="D1059" s="63"/>
      <c r="K1059">
        <v>3</v>
      </c>
      <c r="L1059" s="44">
        <v>4.3225000000000122</v>
      </c>
      <c r="M1059">
        <v>7.0442335413929413E-3</v>
      </c>
      <c r="N1059">
        <v>7.4497282802936411</v>
      </c>
      <c r="O1059">
        <v>0</v>
      </c>
      <c r="P1059">
        <v>0</v>
      </c>
      <c r="Q1059">
        <v>1.4611955472966391E-6</v>
      </c>
      <c r="R1059">
        <v>-1.0910028158870586E-6</v>
      </c>
      <c r="T1059" s="60"/>
      <c r="Y1059" s="98"/>
    </row>
    <row r="1060" spans="4:25" x14ac:dyDescent="0.2">
      <c r="D1060" s="63"/>
      <c r="K1060">
        <v>3</v>
      </c>
      <c r="L1060" s="44">
        <v>4.3400000000000123</v>
      </c>
      <c r="M1060">
        <v>7.0442335413929413E-3</v>
      </c>
      <c r="N1060">
        <v>7.449851554380615</v>
      </c>
      <c r="O1060">
        <v>0</v>
      </c>
      <c r="P1060">
        <v>0</v>
      </c>
      <c r="Q1060">
        <v>1.4421653134307774E-6</v>
      </c>
      <c r="R1060">
        <v>-1.0838810348560633E-6</v>
      </c>
      <c r="T1060" s="60"/>
      <c r="Y1060" s="98"/>
    </row>
    <row r="1061" spans="4:25" x14ac:dyDescent="0.2">
      <c r="D1061" s="63"/>
      <c r="K1061">
        <v>3</v>
      </c>
      <c r="L1061" s="44">
        <v>4.3575000000000124</v>
      </c>
      <c r="M1061">
        <v>7.0442335413929413E-3</v>
      </c>
      <c r="N1061">
        <v>7.4499748284675888</v>
      </c>
      <c r="O1061">
        <v>0</v>
      </c>
      <c r="P1061">
        <v>0</v>
      </c>
      <c r="Q1061">
        <v>1.4232597117641148E-6</v>
      </c>
      <c r="R1061">
        <v>-1.0767591359786501E-6</v>
      </c>
      <c r="T1061" s="60"/>
      <c r="Y1061" s="98"/>
    </row>
    <row r="1062" spans="4:25" x14ac:dyDescent="0.2">
      <c r="D1062" s="63"/>
      <c r="K1062">
        <v>3</v>
      </c>
      <c r="L1062" s="44">
        <v>4.3750000000000124</v>
      </c>
      <c r="M1062">
        <v>7.0442335413929413E-3</v>
      </c>
      <c r="N1062">
        <v>7.4500981025545636</v>
      </c>
      <c r="O1062">
        <v>0</v>
      </c>
      <c r="P1062">
        <v>0</v>
      </c>
      <c r="Q1062">
        <v>1.4044787443589622E-6</v>
      </c>
      <c r="R1062">
        <v>-1.0696371192548195E-6</v>
      </c>
      <c r="T1062" s="60"/>
      <c r="Y1062" s="98"/>
    </row>
    <row r="1063" spans="4:25" x14ac:dyDescent="0.2">
      <c r="D1063" s="63"/>
      <c r="K1063">
        <v>3</v>
      </c>
      <c r="L1063" s="44">
        <v>4.3925000000000125</v>
      </c>
      <c r="M1063">
        <v>7.0442335413929413E-3</v>
      </c>
      <c r="N1063">
        <v>7.4502213766415384</v>
      </c>
      <c r="O1063">
        <v>0</v>
      </c>
      <c r="P1063">
        <v>0</v>
      </c>
      <c r="Q1063">
        <v>1.3858224132776339E-6</v>
      </c>
      <c r="R1063">
        <v>-1.0625149846845711E-6</v>
      </c>
      <c r="T1063" s="60"/>
      <c r="Y1063" s="98"/>
    </row>
    <row r="1064" spans="4:25" x14ac:dyDescent="0.2">
      <c r="D1064" s="63"/>
      <c r="K1064">
        <v>3</v>
      </c>
      <c r="L1064" s="44">
        <v>4.4100000000000126</v>
      </c>
      <c r="M1064">
        <v>7.0442335413929413E-3</v>
      </c>
      <c r="N1064">
        <v>7.4503446507285123</v>
      </c>
      <c r="O1064">
        <v>0</v>
      </c>
      <c r="P1064">
        <v>0</v>
      </c>
      <c r="Q1064">
        <v>1.36729072058244E-6</v>
      </c>
      <c r="R1064">
        <v>-1.0553927322679051E-6</v>
      </c>
      <c r="T1064" s="60"/>
      <c r="Y1064" s="98"/>
    </row>
    <row r="1065" spans="4:25" x14ac:dyDescent="0.2">
      <c r="D1065" s="63"/>
      <c r="K1065">
        <v>3</v>
      </c>
      <c r="L1065" s="44">
        <v>4.4275000000000126</v>
      </c>
      <c r="M1065">
        <v>7.0442335413929413E-3</v>
      </c>
      <c r="N1065">
        <v>7.450467924815487</v>
      </c>
      <c r="O1065">
        <v>0</v>
      </c>
      <c r="P1065">
        <v>0</v>
      </c>
      <c r="Q1065">
        <v>1.3488836683356939E-6</v>
      </c>
      <c r="R1065">
        <v>-1.0482703620048214E-6</v>
      </c>
      <c r="T1065" s="60"/>
      <c r="Y1065" s="98"/>
    </row>
    <row r="1066" spans="4:25" x14ac:dyDescent="0.2">
      <c r="D1066" s="63"/>
      <c r="K1066">
        <v>3</v>
      </c>
      <c r="L1066" s="44">
        <v>4.4450000000000127</v>
      </c>
      <c r="M1066">
        <v>7.0442335413929413E-3</v>
      </c>
      <c r="N1066">
        <v>7.4505911989024618</v>
      </c>
      <c r="O1066">
        <v>0</v>
      </c>
      <c r="P1066">
        <v>0</v>
      </c>
      <c r="Q1066">
        <v>1.3306012585997084E-6</v>
      </c>
      <c r="R1066">
        <v>-1.04114787389532E-6</v>
      </c>
      <c r="T1066" s="60"/>
      <c r="Y1066" s="98"/>
    </row>
    <row r="1067" spans="4:25" x14ac:dyDescent="0.2">
      <c r="D1067" s="63"/>
      <c r="K1067">
        <v>3</v>
      </c>
      <c r="L1067" s="44">
        <v>4.4625000000000128</v>
      </c>
      <c r="M1067">
        <v>7.0442335413929413E-3</v>
      </c>
      <c r="N1067">
        <v>7.4507144729894357</v>
      </c>
      <c r="O1067">
        <v>0</v>
      </c>
      <c r="P1067">
        <v>0</v>
      </c>
      <c r="Q1067">
        <v>1.312443493436795E-6</v>
      </c>
      <c r="R1067">
        <v>-1.0340252679394009E-6</v>
      </c>
      <c r="T1067" s="60"/>
      <c r="Y1067" s="98"/>
    </row>
    <row r="1068" spans="4:25" x14ac:dyDescent="0.2">
      <c r="D1068" s="63"/>
      <c r="K1068">
        <v>3</v>
      </c>
      <c r="L1068" s="44">
        <v>4.4800000000000129</v>
      </c>
      <c r="M1068">
        <v>7.0442335413929413E-3</v>
      </c>
      <c r="N1068">
        <v>7.4508377470764096</v>
      </c>
      <c r="O1068">
        <v>0</v>
      </c>
      <c r="P1068">
        <v>0</v>
      </c>
      <c r="Q1068">
        <v>1.2944103749092666E-6</v>
      </c>
      <c r="R1068">
        <v>-1.0269025441370641E-6</v>
      </c>
      <c r="T1068" s="60"/>
      <c r="Y1068" s="98"/>
    </row>
    <row r="1069" spans="4:25" x14ac:dyDescent="0.2">
      <c r="D1069" s="63"/>
      <c r="K1069">
        <v>3</v>
      </c>
      <c r="L1069" s="44">
        <v>4.4975000000000129</v>
      </c>
      <c r="M1069">
        <v>7.0442335413929413E-3</v>
      </c>
      <c r="N1069">
        <v>7.4509610211633843</v>
      </c>
      <c r="O1069">
        <v>0</v>
      </c>
      <c r="P1069">
        <v>0</v>
      </c>
      <c r="Q1069">
        <v>1.2765019050794348E-6</v>
      </c>
      <c r="R1069">
        <v>-1.0197797024883096E-6</v>
      </c>
      <c r="T1069" s="60"/>
      <c r="Y1069" s="98"/>
    </row>
    <row r="1070" spans="4:25" x14ac:dyDescent="0.2">
      <c r="D1070" s="63"/>
      <c r="K1070">
        <v>3</v>
      </c>
      <c r="L1070" s="44">
        <v>4.515000000000013</v>
      </c>
      <c r="M1070">
        <v>7.0442335413929413E-3</v>
      </c>
      <c r="N1070">
        <v>7.4510842952503591</v>
      </c>
      <c r="O1070">
        <v>0</v>
      </c>
      <c r="P1070">
        <v>0</v>
      </c>
      <c r="Q1070">
        <v>1.2587180860096122E-6</v>
      </c>
      <c r="R1070">
        <v>-1.0126567429931375E-6</v>
      </c>
      <c r="T1070" s="60"/>
      <c r="Y1070" s="98"/>
    </row>
    <row r="1071" spans="4:25" x14ac:dyDescent="0.2">
      <c r="D1071" s="63"/>
      <c r="K1071">
        <v>3</v>
      </c>
      <c r="L1071" s="44">
        <v>4.5325000000000131</v>
      </c>
      <c r="M1071">
        <v>7.0442335413929413E-3</v>
      </c>
      <c r="N1071">
        <v>7.451207569337333</v>
      </c>
      <c r="O1071">
        <v>0</v>
      </c>
      <c r="P1071">
        <v>0</v>
      </c>
      <c r="Q1071">
        <v>1.2410589197621124E-6</v>
      </c>
      <c r="R1071">
        <v>-1.0055336656515477E-6</v>
      </c>
      <c r="T1071" s="60"/>
      <c r="Y1071" s="98"/>
    </row>
    <row r="1072" spans="4:25" x14ac:dyDescent="0.2">
      <c r="D1072" s="63"/>
      <c r="K1072">
        <v>3</v>
      </c>
      <c r="L1072" s="44">
        <v>4.5500000000000131</v>
      </c>
      <c r="M1072">
        <v>7.0442335413929413E-3</v>
      </c>
      <c r="N1072">
        <v>7.4513308434243068</v>
      </c>
      <c r="O1072">
        <v>0</v>
      </c>
      <c r="P1072">
        <v>0</v>
      </c>
      <c r="Q1072">
        <v>1.2235244083992454E-6</v>
      </c>
      <c r="R1072">
        <v>-9.9841047046354017E-7</v>
      </c>
      <c r="T1072" s="60"/>
      <c r="Y1072" s="98"/>
    </row>
    <row r="1073" spans="4:25" x14ac:dyDescent="0.2">
      <c r="D1073" s="63"/>
      <c r="K1073">
        <v>3</v>
      </c>
      <c r="L1073" s="44">
        <v>4.5675000000000132</v>
      </c>
      <c r="M1073">
        <v>7.0442335413929413E-3</v>
      </c>
      <c r="N1073">
        <v>7.4514541175112825</v>
      </c>
      <c r="O1073">
        <v>0</v>
      </c>
      <c r="P1073">
        <v>0</v>
      </c>
      <c r="Q1073">
        <v>1.2061145539833256E-6</v>
      </c>
      <c r="R1073">
        <v>-9.9128715742911498E-7</v>
      </c>
      <c r="T1073" s="60"/>
      <c r="Y1073" s="98"/>
    </row>
    <row r="1074" spans="4:25" x14ac:dyDescent="0.2">
      <c r="D1074" s="63"/>
      <c r="K1074">
        <v>3</v>
      </c>
      <c r="L1074" s="44">
        <v>4.5850000000000133</v>
      </c>
      <c r="M1074">
        <v>7.0442335413929413E-3</v>
      </c>
      <c r="N1074">
        <v>7.4515773915982564</v>
      </c>
      <c r="O1074">
        <v>0</v>
      </c>
      <c r="P1074">
        <v>0</v>
      </c>
      <c r="Q1074">
        <v>1.1888293585766646E-6</v>
      </c>
      <c r="R1074">
        <v>-9.841637265482721E-7</v>
      </c>
      <c r="T1074" s="60"/>
      <c r="Y1074" s="98"/>
    </row>
    <row r="1075" spans="4:25" x14ac:dyDescent="0.2">
      <c r="D1075" s="63"/>
      <c r="K1075">
        <v>3</v>
      </c>
      <c r="L1075" s="44">
        <v>4.6025000000000134</v>
      </c>
      <c r="M1075">
        <v>7.0442335413929413E-3</v>
      </c>
      <c r="N1075">
        <v>7.4517006656852303</v>
      </c>
      <c r="O1075">
        <v>0</v>
      </c>
      <c r="P1075">
        <v>0</v>
      </c>
      <c r="Q1075">
        <v>1.1716688242415735E-6</v>
      </c>
      <c r="R1075">
        <v>-9.7704017782101154E-7</v>
      </c>
      <c r="T1075" s="60"/>
      <c r="Y1075" s="98"/>
    </row>
    <row r="1076" spans="4:25" x14ac:dyDescent="0.2">
      <c r="D1076" s="63"/>
      <c r="K1076">
        <v>3</v>
      </c>
      <c r="L1076" s="44">
        <v>4.6200000000000134</v>
      </c>
      <c r="M1076">
        <v>7.0442335413929413E-3</v>
      </c>
      <c r="N1076">
        <v>7.451823939772205</v>
      </c>
      <c r="O1076">
        <v>0</v>
      </c>
      <c r="P1076">
        <v>0</v>
      </c>
      <c r="Q1076">
        <v>1.1546329530403665E-6</v>
      </c>
      <c r="R1076">
        <v>-9.6991651124733329E-7</v>
      </c>
      <c r="T1076" s="60"/>
      <c r="Y1076" s="98"/>
    </row>
    <row r="1077" spans="4:25" x14ac:dyDescent="0.2">
      <c r="D1077" s="63"/>
      <c r="K1077">
        <v>3</v>
      </c>
      <c r="L1077" s="44">
        <v>4.6375000000000135</v>
      </c>
      <c r="M1077">
        <v>7.0442335413929413E-3</v>
      </c>
      <c r="N1077">
        <v>7.4519472138591798</v>
      </c>
      <c r="O1077">
        <v>0</v>
      </c>
      <c r="P1077">
        <v>0</v>
      </c>
      <c r="Q1077">
        <v>1.1377217470353547E-6</v>
      </c>
      <c r="R1077">
        <v>-9.6279272682723736E-7</v>
      </c>
      <c r="T1077" s="60"/>
      <c r="Y1077" s="98"/>
    </row>
    <row r="1078" spans="4:25" x14ac:dyDescent="0.2">
      <c r="D1078" s="63"/>
      <c r="K1078">
        <v>3</v>
      </c>
      <c r="L1078" s="44">
        <v>4.6550000000000136</v>
      </c>
      <c r="M1078">
        <v>7.0442335413929413E-3</v>
      </c>
      <c r="N1078">
        <v>7.4520704879461537</v>
      </c>
      <c r="O1078">
        <v>0</v>
      </c>
      <c r="P1078">
        <v>0</v>
      </c>
      <c r="Q1078">
        <v>1.1209352082888505E-6</v>
      </c>
      <c r="R1078">
        <v>-9.5566882456072374E-7</v>
      </c>
      <c r="T1078" s="60"/>
      <c r="Y1078" s="98"/>
    </row>
    <row r="1079" spans="4:25" x14ac:dyDescent="0.2">
      <c r="D1079" s="63"/>
      <c r="K1079">
        <v>3</v>
      </c>
      <c r="L1079" s="44">
        <v>4.6725000000000136</v>
      </c>
      <c r="M1079">
        <v>7.0442335413929413E-3</v>
      </c>
      <c r="N1079">
        <v>7.4521937620331276</v>
      </c>
      <c r="O1079">
        <v>0</v>
      </c>
      <c r="P1079">
        <v>0</v>
      </c>
      <c r="Q1079">
        <v>1.1042733388631666E-6</v>
      </c>
      <c r="R1079">
        <v>-9.4854480444779255E-7</v>
      </c>
      <c r="T1079" s="60"/>
      <c r="Y1079" s="98"/>
    </row>
    <row r="1080" spans="4:25" x14ac:dyDescent="0.2">
      <c r="D1080" s="63"/>
      <c r="K1080">
        <v>3</v>
      </c>
      <c r="L1080" s="44">
        <v>4.6900000000000137</v>
      </c>
      <c r="M1080">
        <v>7.0442335413929413E-3</v>
      </c>
      <c r="N1080">
        <v>7.4523170361201023</v>
      </c>
      <c r="O1080">
        <v>0</v>
      </c>
      <c r="P1080">
        <v>0</v>
      </c>
      <c r="Q1080">
        <v>1.0877361408206148E-6</v>
      </c>
      <c r="R1080">
        <v>-9.4142066648844356E-7</v>
      </c>
      <c r="T1080" s="60"/>
      <c r="Y1080" s="98"/>
    </row>
    <row r="1081" spans="4:25" x14ac:dyDescent="0.2">
      <c r="D1081" s="63"/>
      <c r="K1081">
        <v>3</v>
      </c>
      <c r="L1081" s="44">
        <v>4.7075000000000138</v>
      </c>
      <c r="M1081">
        <v>7.0442335413929413E-3</v>
      </c>
      <c r="N1081">
        <v>7.4524403102070771</v>
      </c>
      <c r="O1081">
        <v>0</v>
      </c>
      <c r="P1081">
        <v>0</v>
      </c>
      <c r="Q1081">
        <v>1.0713236162235086E-6</v>
      </c>
      <c r="R1081">
        <v>-9.34296410682677E-7</v>
      </c>
      <c r="T1081" s="60"/>
      <c r="Y1081" s="98"/>
    </row>
    <row r="1082" spans="4:25" x14ac:dyDescent="0.2">
      <c r="D1082" s="63"/>
      <c r="K1082">
        <v>3</v>
      </c>
      <c r="L1082" s="44">
        <v>4.7250000000000139</v>
      </c>
      <c r="M1082">
        <v>7.0442335413929413E-3</v>
      </c>
      <c r="N1082">
        <v>7.452563584294051</v>
      </c>
      <c r="O1082">
        <v>0</v>
      </c>
      <c r="P1082">
        <v>0</v>
      </c>
      <c r="Q1082">
        <v>1.0550357671341589E-6</v>
      </c>
      <c r="R1082">
        <v>-9.2717203703049275E-7</v>
      </c>
      <c r="T1082" s="60"/>
      <c r="Y1082" s="98"/>
    </row>
    <row r="1083" spans="4:25" x14ac:dyDescent="0.2">
      <c r="D1083" s="63"/>
      <c r="K1083">
        <v>3</v>
      </c>
      <c r="L1083" s="44">
        <v>4.7425000000000139</v>
      </c>
      <c r="M1083">
        <v>7.0442335413929413E-3</v>
      </c>
      <c r="N1083">
        <v>7.4526868583810257</v>
      </c>
      <c r="O1083">
        <v>0</v>
      </c>
      <c r="P1083">
        <v>0</v>
      </c>
      <c r="Q1083">
        <v>1.0388725956148783E-6</v>
      </c>
      <c r="R1083">
        <v>-9.2004754553189082E-7</v>
      </c>
      <c r="T1083" s="60"/>
      <c r="Y1083" s="98"/>
    </row>
    <row r="1084" spans="4:25" x14ac:dyDescent="0.2">
      <c r="D1084" s="63"/>
      <c r="K1084">
        <v>3</v>
      </c>
      <c r="L1084" s="44">
        <v>4.760000000000014</v>
      </c>
      <c r="M1084">
        <v>7.0442335413929413E-3</v>
      </c>
      <c r="N1084">
        <v>7.4528101324680005</v>
      </c>
      <c r="O1084">
        <v>0</v>
      </c>
      <c r="P1084">
        <v>0</v>
      </c>
      <c r="Q1084">
        <v>1.0228341037279803E-6</v>
      </c>
      <c r="R1084">
        <v>-9.129229361868712E-7</v>
      </c>
      <c r="T1084" s="60"/>
      <c r="Y1084" s="98"/>
    </row>
    <row r="1085" spans="4:25" x14ac:dyDescent="0.2">
      <c r="D1085" s="63"/>
      <c r="K1085">
        <v>3</v>
      </c>
      <c r="L1085" s="44">
        <v>4.7775000000000141</v>
      </c>
      <c r="M1085">
        <v>7.0442335413929413E-3</v>
      </c>
      <c r="N1085">
        <v>7.4529334065549744</v>
      </c>
      <c r="O1085">
        <v>0</v>
      </c>
      <c r="P1085">
        <v>0</v>
      </c>
      <c r="Q1085">
        <v>1.0069202935357757E-6</v>
      </c>
      <c r="R1085">
        <v>-9.0579820899543379E-7</v>
      </c>
      <c r="T1085" s="60"/>
      <c r="Y1085" s="98"/>
    </row>
    <row r="1086" spans="4:25" x14ac:dyDescent="0.2">
      <c r="D1086" s="63"/>
      <c r="K1086">
        <v>3</v>
      </c>
      <c r="L1086" s="44">
        <v>4.7950000000000141</v>
      </c>
      <c r="M1086">
        <v>7.0442335413929413E-3</v>
      </c>
      <c r="N1086">
        <v>7.4530566806419483</v>
      </c>
      <c r="O1086">
        <v>0</v>
      </c>
      <c r="P1086">
        <v>0</v>
      </c>
      <c r="Q1086">
        <v>9.9113116710057733E-7</v>
      </c>
      <c r="R1086">
        <v>-8.986733639575788E-7</v>
      </c>
      <c r="T1086" s="60"/>
      <c r="Y1086" s="98"/>
    </row>
    <row r="1087" spans="4:25" x14ac:dyDescent="0.2">
      <c r="D1087" s="63"/>
      <c r="K1087">
        <v>3</v>
      </c>
      <c r="L1087" s="44">
        <v>4.8125000000000142</v>
      </c>
      <c r="M1087">
        <v>7.0442335413929413E-3</v>
      </c>
      <c r="N1087">
        <v>7.453179954728923</v>
      </c>
      <c r="O1087">
        <v>0</v>
      </c>
      <c r="P1087">
        <v>0</v>
      </c>
      <c r="Q1087">
        <v>9.7546672648469853E-7</v>
      </c>
      <c r="R1087">
        <v>-8.9154840107330613E-7</v>
      </c>
      <c r="T1087" s="60"/>
      <c r="Y1087" s="98"/>
    </row>
    <row r="1088" spans="4:25" x14ac:dyDescent="0.2">
      <c r="D1088" s="63"/>
      <c r="K1088">
        <v>3</v>
      </c>
      <c r="L1088" s="44">
        <v>4.8300000000000143</v>
      </c>
      <c r="M1088">
        <v>7.0442335413929413E-3</v>
      </c>
      <c r="N1088">
        <v>7.4533032288158978</v>
      </c>
      <c r="O1088">
        <v>0</v>
      </c>
      <c r="P1088">
        <v>0</v>
      </c>
      <c r="Q1088">
        <v>9.599269737504494E-7</v>
      </c>
      <c r="R1088">
        <v>-8.8442332034261578E-7</v>
      </c>
      <c r="T1088" s="60"/>
      <c r="Y1088" s="98"/>
    </row>
    <row r="1089" spans="4:25" x14ac:dyDescent="0.2">
      <c r="D1089" s="63"/>
      <c r="K1089">
        <v>3</v>
      </c>
      <c r="L1089" s="44">
        <v>4.8475000000000144</v>
      </c>
      <c r="M1089">
        <v>7.0442335413929413E-3</v>
      </c>
      <c r="N1089">
        <v>7.4534265029028717</v>
      </c>
      <c r="O1089">
        <v>0</v>
      </c>
      <c r="P1089">
        <v>0</v>
      </c>
      <c r="Q1089">
        <v>9.4451191096014427E-7</v>
      </c>
      <c r="R1089">
        <v>-8.7729812176550773E-7</v>
      </c>
      <c r="T1089" s="60"/>
      <c r="Y1089" s="98"/>
    </row>
    <row r="1090" spans="4:25" x14ac:dyDescent="0.2">
      <c r="D1090" s="63"/>
      <c r="K1090">
        <v>3</v>
      </c>
      <c r="L1090" s="44">
        <v>4.8650000000000144</v>
      </c>
      <c r="M1090">
        <v>7.0442335413929413E-3</v>
      </c>
      <c r="N1090">
        <v>7.4535497769898464</v>
      </c>
      <c r="O1090">
        <v>0</v>
      </c>
      <c r="P1090">
        <v>0</v>
      </c>
      <c r="Q1090">
        <v>9.2922154017609405E-7</v>
      </c>
      <c r="R1090">
        <v>-8.7017280534198201E-7</v>
      </c>
      <c r="T1090" s="60"/>
      <c r="Y1090" s="98"/>
    </row>
    <row r="1091" spans="4:25" x14ac:dyDescent="0.2">
      <c r="D1091" s="63"/>
      <c r="K1091">
        <v>3</v>
      </c>
      <c r="L1091" s="44">
        <v>4.8825000000000145</v>
      </c>
      <c r="M1091">
        <v>7.0442335413929413E-3</v>
      </c>
      <c r="N1091">
        <v>7.4536730510768212</v>
      </c>
      <c r="O1091">
        <v>0</v>
      </c>
      <c r="P1091">
        <v>0</v>
      </c>
      <c r="Q1091">
        <v>9.1405586346061138E-7</v>
      </c>
      <c r="R1091">
        <v>-8.630473710720386E-7</v>
      </c>
      <c r="T1091" s="60"/>
      <c r="Y1091" s="98"/>
    </row>
    <row r="1092" spans="4:25" x14ac:dyDescent="0.2">
      <c r="D1092" s="63"/>
      <c r="K1092">
        <v>3</v>
      </c>
      <c r="L1092" s="44">
        <v>4.9000000000000146</v>
      </c>
      <c r="M1092">
        <v>7.0442335413929413E-3</v>
      </c>
      <c r="N1092">
        <v>7.4537963251637951</v>
      </c>
      <c r="O1092">
        <v>0</v>
      </c>
      <c r="P1092">
        <v>0</v>
      </c>
      <c r="Q1092">
        <v>8.9901488287601056E-7</v>
      </c>
      <c r="R1092">
        <v>-8.559218189556775E-7</v>
      </c>
      <c r="T1092" s="60"/>
      <c r="Y1092" s="98"/>
    </row>
    <row r="1093" spans="4:25" x14ac:dyDescent="0.2">
      <c r="D1093" s="63"/>
      <c r="K1093">
        <v>3</v>
      </c>
      <c r="L1093" s="44">
        <v>4.9175000000000146</v>
      </c>
      <c r="M1093">
        <v>7.0442335413929413E-3</v>
      </c>
      <c r="N1093">
        <v>7.453919599250769</v>
      </c>
      <c r="O1093">
        <v>0</v>
      </c>
      <c r="P1093">
        <v>0</v>
      </c>
      <c r="Q1093">
        <v>8.8409860048460082E-7</v>
      </c>
      <c r="R1093">
        <v>-8.4879614899289883E-7</v>
      </c>
      <c r="T1093" s="60"/>
      <c r="Y1093" s="98"/>
    </row>
    <row r="1094" spans="4:25" x14ac:dyDescent="0.2">
      <c r="D1094" s="63"/>
      <c r="K1094">
        <v>3</v>
      </c>
      <c r="L1094" s="44">
        <v>4.9350000000000147</v>
      </c>
      <c r="M1094">
        <v>7.0442335413929413E-3</v>
      </c>
      <c r="N1094">
        <v>7.4540428733377437</v>
      </c>
      <c r="O1094">
        <v>0</v>
      </c>
      <c r="P1094">
        <v>0</v>
      </c>
      <c r="Q1094">
        <v>8.6930701834869649E-7</v>
      </c>
      <c r="R1094">
        <v>-8.4167036118370226E-7</v>
      </c>
      <c r="T1094" s="60"/>
      <c r="Y1094" s="98"/>
    </row>
    <row r="1095" spans="4:25" x14ac:dyDescent="0.2">
      <c r="D1095" s="63"/>
      <c r="K1095">
        <v>3</v>
      </c>
      <c r="L1095" s="44">
        <v>4.9525000000000148</v>
      </c>
      <c r="M1095">
        <v>7.0442335413929413E-3</v>
      </c>
      <c r="N1095">
        <v>7.4541661474247185</v>
      </c>
      <c r="O1095">
        <v>0</v>
      </c>
      <c r="P1095">
        <v>0</v>
      </c>
      <c r="Q1095">
        <v>8.546401385306085E-7</v>
      </c>
      <c r="R1095">
        <v>-8.3454445552808822E-7</v>
      </c>
      <c r="T1095" s="60"/>
      <c r="Y1095" s="98"/>
    </row>
    <row r="1096" spans="4:25" x14ac:dyDescent="0.2">
      <c r="D1096" s="63"/>
      <c r="K1096">
        <v>3</v>
      </c>
      <c r="L1096" s="44">
        <v>4.9700000000000149</v>
      </c>
      <c r="M1096">
        <v>7.0442335413929413E-3</v>
      </c>
      <c r="N1096">
        <v>7.4542894215116924</v>
      </c>
      <c r="O1096">
        <v>0</v>
      </c>
      <c r="P1096">
        <v>0</v>
      </c>
      <c r="Q1096">
        <v>8.400979630926503E-7</v>
      </c>
      <c r="R1096">
        <v>-8.2741843202605649E-7</v>
      </c>
      <c r="T1096" s="60"/>
      <c r="Y1096" s="98"/>
    </row>
    <row r="1097" spans="4:25" x14ac:dyDescent="0.2">
      <c r="D1097" s="63"/>
      <c r="K1097">
        <v>3</v>
      </c>
      <c r="L1097" s="44">
        <v>4.9875000000000149</v>
      </c>
      <c r="M1097">
        <v>7.0442335413929413E-3</v>
      </c>
      <c r="N1097">
        <v>7.4544126955986663</v>
      </c>
      <c r="O1097">
        <v>0</v>
      </c>
      <c r="P1097">
        <v>0</v>
      </c>
      <c r="Q1097">
        <v>8.2568049409713452E-7</v>
      </c>
      <c r="R1097">
        <v>-8.2029229067760697E-7</v>
      </c>
      <c r="T1097" s="60"/>
      <c r="Y1097" s="98"/>
    </row>
    <row r="1098" spans="4:25" x14ac:dyDescent="0.2">
      <c r="D1098" s="63"/>
      <c r="K1098">
        <v>3</v>
      </c>
      <c r="L1098" s="44">
        <v>5.005000000000015</v>
      </c>
      <c r="M1098">
        <v>7.0442335413929413E-3</v>
      </c>
      <c r="N1098">
        <v>7.4545359696856419</v>
      </c>
      <c r="O1098">
        <v>0</v>
      </c>
      <c r="P1098">
        <v>0</v>
      </c>
      <c r="Q1098">
        <v>8.1138773360637209E-7</v>
      </c>
      <c r="R1098">
        <v>-8.1316603148273977E-7</v>
      </c>
      <c r="T1098" s="60"/>
      <c r="Y1098" s="98"/>
    </row>
    <row r="1099" spans="4:25" x14ac:dyDescent="0.2">
      <c r="D1099" s="63"/>
      <c r="K1099">
        <v>3</v>
      </c>
      <c r="L1099" s="44">
        <v>5.0225000000000151</v>
      </c>
      <c r="M1099">
        <v>7.0442335413929413E-3</v>
      </c>
      <c r="N1099">
        <v>7.4546592437726158</v>
      </c>
      <c r="O1099">
        <v>0</v>
      </c>
      <c r="P1099">
        <v>0</v>
      </c>
      <c r="Q1099">
        <v>7.9721968368267563E-7</v>
      </c>
      <c r="R1099">
        <v>-8.0603965444145499E-7</v>
      </c>
      <c r="T1099" s="60"/>
      <c r="Y1099" s="98"/>
    </row>
    <row r="1100" spans="4:25" x14ac:dyDescent="0.2">
      <c r="D1100" s="63"/>
      <c r="K1100">
        <v>3</v>
      </c>
      <c r="L1100" s="44">
        <v>5.0400000000000151</v>
      </c>
      <c r="M1100">
        <v>7.0442335413929413E-3</v>
      </c>
      <c r="N1100">
        <v>7.4547825178595897</v>
      </c>
      <c r="O1100">
        <v>0</v>
      </c>
      <c r="P1100">
        <v>0</v>
      </c>
      <c r="Q1100">
        <v>7.8317634638835861E-7</v>
      </c>
      <c r="R1100">
        <v>-7.9891315955375252E-7</v>
      </c>
      <c r="T1100" s="60"/>
      <c r="Y1100" s="98"/>
    </row>
    <row r="1101" spans="4:25" x14ac:dyDescent="0.2">
      <c r="D1101" s="63"/>
      <c r="K1101">
        <v>3</v>
      </c>
      <c r="L1101" s="44">
        <v>5.0575000000000152</v>
      </c>
      <c r="M1101">
        <v>7.0442335413929413E-3</v>
      </c>
      <c r="N1101">
        <v>7.4549057919465644</v>
      </c>
      <c r="O1101">
        <v>0</v>
      </c>
      <c r="P1101">
        <v>0</v>
      </c>
      <c r="Q1101">
        <v>7.6925772378573195E-7</v>
      </c>
      <c r="R1101">
        <v>-7.9178654681963227E-7</v>
      </c>
      <c r="T1101" s="60"/>
      <c r="Y1101" s="98"/>
    </row>
    <row r="1102" spans="4:25" x14ac:dyDescent="0.2">
      <c r="D1102" s="63"/>
      <c r="K1102">
        <v>3</v>
      </c>
      <c r="L1102" s="44">
        <v>5.0750000000000153</v>
      </c>
      <c r="M1102">
        <v>7.0442335413929413E-3</v>
      </c>
      <c r="N1102">
        <v>7.4550290660335392</v>
      </c>
      <c r="O1102">
        <v>0</v>
      </c>
      <c r="P1102">
        <v>0</v>
      </c>
      <c r="Q1102">
        <v>7.5546381793710912E-7</v>
      </c>
      <c r="R1102">
        <v>-7.8465981623909433E-7</v>
      </c>
      <c r="T1102" s="60"/>
      <c r="Y1102" s="98"/>
    </row>
    <row r="1103" spans="4:25" x14ac:dyDescent="0.2">
      <c r="D1103" s="63"/>
      <c r="K1103">
        <v>3</v>
      </c>
      <c r="L1103" s="44">
        <v>5.0925000000000153</v>
      </c>
      <c r="M1103">
        <v>7.0442335413929413E-3</v>
      </c>
      <c r="N1103">
        <v>7.4551523401205131</v>
      </c>
      <c r="O1103">
        <v>0</v>
      </c>
      <c r="P1103">
        <v>0</v>
      </c>
      <c r="Q1103">
        <v>7.4179463090480106E-7</v>
      </c>
      <c r="R1103">
        <v>-7.7753296781213881E-7</v>
      </c>
      <c r="T1103" s="60"/>
      <c r="Y1103" s="98"/>
    </row>
    <row r="1104" spans="4:25" x14ac:dyDescent="0.2">
      <c r="D1104" s="63"/>
      <c r="K1104">
        <v>3</v>
      </c>
      <c r="L1104" s="44">
        <v>5.1100000000000154</v>
      </c>
      <c r="M1104">
        <v>7.0442335413929413E-3</v>
      </c>
      <c r="N1104">
        <v>7.455275614207487</v>
      </c>
      <c r="O1104">
        <v>0</v>
      </c>
      <c r="P1104">
        <v>0</v>
      </c>
      <c r="Q1104">
        <v>7.2825016475112122E-7</v>
      </c>
      <c r="R1104">
        <v>-7.704060015387656E-7</v>
      </c>
      <c r="T1104" s="60"/>
      <c r="Y1104" s="98"/>
    </row>
    <row r="1105" spans="4:25" x14ac:dyDescent="0.2">
      <c r="D1105" s="63"/>
      <c r="K1105">
        <v>3</v>
      </c>
      <c r="L1105" s="44">
        <v>5.1275000000000155</v>
      </c>
      <c r="M1105">
        <v>7.0442335413929413E-3</v>
      </c>
      <c r="N1105">
        <v>7.4553988882944617</v>
      </c>
      <c r="O1105">
        <v>0</v>
      </c>
      <c r="P1105">
        <v>0</v>
      </c>
      <c r="Q1105">
        <v>7.1483042153838224E-7</v>
      </c>
      <c r="R1105">
        <v>-7.6327891741897461E-7</v>
      </c>
      <c r="T1105" s="60"/>
      <c r="Y1105" s="98"/>
    </row>
    <row r="1106" spans="4:25" x14ac:dyDescent="0.2">
      <c r="D1106" s="63"/>
      <c r="K1106">
        <v>3</v>
      </c>
      <c r="L1106" s="44">
        <v>5.1450000000000156</v>
      </c>
      <c r="M1106">
        <v>7.0442335413929413E-3</v>
      </c>
      <c r="N1106">
        <v>7.4555221623814365</v>
      </c>
      <c r="O1106">
        <v>0</v>
      </c>
      <c r="P1106">
        <v>0</v>
      </c>
      <c r="Q1106">
        <v>7.0153540332889503E-7</v>
      </c>
      <c r="R1106">
        <v>-7.5615171545276604E-7</v>
      </c>
      <c r="T1106" s="60"/>
      <c r="Y1106" s="98"/>
    </row>
    <row r="1107" spans="4:25" x14ac:dyDescent="0.2">
      <c r="D1107" s="63"/>
      <c r="K1107">
        <v>3</v>
      </c>
      <c r="L1107" s="44">
        <v>5.1625000000000156</v>
      </c>
      <c r="M1107">
        <v>7.0442335413929413E-3</v>
      </c>
      <c r="N1107">
        <v>7.4556454364684104</v>
      </c>
      <c r="O1107">
        <v>0</v>
      </c>
      <c r="P1107">
        <v>0</v>
      </c>
      <c r="Q1107">
        <v>6.8836511218497306E-7</v>
      </c>
      <c r="R1107">
        <v>-7.4902439564013978E-7</v>
      </c>
      <c r="T1107" s="60"/>
      <c r="Y1107" s="98"/>
    </row>
    <row r="1108" spans="4:25" x14ac:dyDescent="0.2">
      <c r="D1108" s="63"/>
      <c r="K1108">
        <v>3</v>
      </c>
      <c r="L1108" s="44">
        <v>5.1800000000000157</v>
      </c>
      <c r="M1108">
        <v>7.0442335413929413E-3</v>
      </c>
      <c r="N1108">
        <v>7.4557687105553851</v>
      </c>
      <c r="O1108">
        <v>0</v>
      </c>
      <c r="P1108">
        <v>0</v>
      </c>
      <c r="Q1108">
        <v>6.7531955016892727E-7</v>
      </c>
      <c r="R1108">
        <v>-7.4189695798109573E-7</v>
      </c>
      <c r="T1108" s="60"/>
      <c r="Y1108" s="98"/>
    </row>
    <row r="1109" spans="4:25" x14ac:dyDescent="0.2">
      <c r="D1109" s="63"/>
      <c r="K1109">
        <v>3</v>
      </c>
      <c r="L1109" s="44">
        <v>5.1975000000000158</v>
      </c>
      <c r="M1109">
        <v>7.0442335413929413E-3</v>
      </c>
      <c r="N1109">
        <v>7.4558919846423599</v>
      </c>
      <c r="O1109">
        <v>0</v>
      </c>
      <c r="P1109">
        <v>0</v>
      </c>
      <c r="Q1109">
        <v>6.6239871934307112E-7</v>
      </c>
      <c r="R1109">
        <v>-7.347694024756341E-7</v>
      </c>
      <c r="T1109" s="60"/>
      <c r="Y1109" s="98"/>
    </row>
    <row r="1110" spans="4:25" x14ac:dyDescent="0.2">
      <c r="D1110" s="63"/>
      <c r="K1110">
        <v>3</v>
      </c>
      <c r="L1110" s="44">
        <v>5.2150000000000158</v>
      </c>
      <c r="M1110">
        <v>7.0442335413929413E-3</v>
      </c>
      <c r="N1110">
        <v>7.4560152587293338</v>
      </c>
      <c r="O1110">
        <v>0</v>
      </c>
      <c r="P1110">
        <v>0</v>
      </c>
      <c r="Q1110">
        <v>6.4960262176971723E-7</v>
      </c>
      <c r="R1110">
        <v>-7.276417291237549E-7</v>
      </c>
      <c r="T1110" s="60"/>
      <c r="Y1110" s="98"/>
    </row>
    <row r="1111" spans="4:25" x14ac:dyDescent="0.2">
      <c r="D1111" s="63"/>
      <c r="K1111">
        <v>3</v>
      </c>
      <c r="L1111" s="44">
        <v>5.2325000000000159</v>
      </c>
      <c r="M1111">
        <v>7.0442335413929413E-3</v>
      </c>
      <c r="N1111">
        <v>7.4561385328163077</v>
      </c>
      <c r="O1111">
        <v>0</v>
      </c>
      <c r="P1111">
        <v>0</v>
      </c>
      <c r="Q1111">
        <v>6.3693125951117738E-7</v>
      </c>
      <c r="R1111">
        <v>-7.2051393792545779E-7</v>
      </c>
      <c r="T1111" s="60"/>
      <c r="Y1111" s="98"/>
    </row>
    <row r="1112" spans="4:25" x14ac:dyDescent="0.2">
      <c r="D1112" s="63"/>
      <c r="K1112">
        <v>3</v>
      </c>
      <c r="L1112" s="44">
        <v>5.250000000000016</v>
      </c>
      <c r="M1112">
        <v>7.0442335413929413E-3</v>
      </c>
      <c r="N1112">
        <v>7.4562618069032824</v>
      </c>
      <c r="O1112">
        <v>0</v>
      </c>
      <c r="P1112">
        <v>0</v>
      </c>
      <c r="Q1112">
        <v>6.2438463462976334E-7</v>
      </c>
      <c r="R1112">
        <v>-7.1338602888074311E-7</v>
      </c>
      <c r="T1112" s="60"/>
      <c r="Y1112" s="98"/>
    </row>
    <row r="1113" spans="4:25" x14ac:dyDescent="0.2">
      <c r="D1113" s="63"/>
      <c r="K1113">
        <v>3</v>
      </c>
      <c r="L1113" s="44">
        <v>5.2675000000000161</v>
      </c>
      <c r="M1113">
        <v>7.0442335413929413E-3</v>
      </c>
      <c r="N1113">
        <v>7.4563850809902572</v>
      </c>
      <c r="O1113">
        <v>0</v>
      </c>
      <c r="P1113">
        <v>0</v>
      </c>
      <c r="Q1113">
        <v>6.1196274918778858E-7</v>
      </c>
      <c r="R1113">
        <v>-7.0625800198961085E-7</v>
      </c>
      <c r="T1113" s="60"/>
      <c r="Y1113" s="98"/>
    </row>
    <row r="1114" spans="4:25" x14ac:dyDescent="0.2">
      <c r="D1114" s="63"/>
      <c r="K1114">
        <v>3</v>
      </c>
      <c r="L1114" s="44">
        <v>5.2850000000000161</v>
      </c>
      <c r="M1114">
        <v>7.0442335413929413E-3</v>
      </c>
      <c r="N1114">
        <v>7.4565083550772311</v>
      </c>
      <c r="O1114">
        <v>0</v>
      </c>
      <c r="P1114">
        <v>0</v>
      </c>
      <c r="Q1114">
        <v>5.9966560524756403E-7</v>
      </c>
      <c r="R1114">
        <v>-6.991298572520608E-7</v>
      </c>
      <c r="T1114" s="60"/>
      <c r="Y1114" s="98"/>
    </row>
    <row r="1115" spans="4:25" x14ac:dyDescent="0.2">
      <c r="D1115" s="63"/>
      <c r="K1115">
        <v>3</v>
      </c>
      <c r="L1115" s="44">
        <v>5.3025000000000162</v>
      </c>
      <c r="M1115">
        <v>7.0442335413929413E-3</v>
      </c>
      <c r="N1115">
        <v>7.4566316291642059</v>
      </c>
      <c r="O1115">
        <v>0</v>
      </c>
      <c r="P1115">
        <v>0</v>
      </c>
      <c r="Q1115">
        <v>5.87493204871404E-7</v>
      </c>
      <c r="R1115">
        <v>-6.9200159466809307E-7</v>
      </c>
      <c r="T1115" s="60"/>
      <c r="Y1115" s="98"/>
    </row>
    <row r="1116" spans="4:25" x14ac:dyDescent="0.2">
      <c r="D1116" s="63"/>
      <c r="K1116">
        <v>3</v>
      </c>
      <c r="L1116" s="44">
        <v>5.3200000000000163</v>
      </c>
      <c r="M1116">
        <v>7.0442335413929413E-3</v>
      </c>
      <c r="N1116">
        <v>7.4567549032511806</v>
      </c>
      <c r="O1116">
        <v>0</v>
      </c>
      <c r="P1116">
        <v>0</v>
      </c>
      <c r="Q1116">
        <v>5.7544555012161856E-7</v>
      </c>
      <c r="R1116">
        <v>-6.8487321423770765E-7</v>
      </c>
      <c r="T1116" s="60"/>
      <c r="Y1116" s="98"/>
    </row>
    <row r="1117" spans="4:25" x14ac:dyDescent="0.2">
      <c r="D1117" s="63"/>
      <c r="K1117">
        <v>3</v>
      </c>
      <c r="L1117" s="44">
        <v>5.3375000000000163</v>
      </c>
      <c r="M1117">
        <v>7.0442335413929413E-3</v>
      </c>
      <c r="N1117">
        <v>7.4568781773381545</v>
      </c>
      <c r="O1117">
        <v>0</v>
      </c>
      <c r="P1117">
        <v>0</v>
      </c>
      <c r="Q1117">
        <v>5.635226430605212E-7</v>
      </c>
      <c r="R1117">
        <v>-6.7774471596090465E-7</v>
      </c>
      <c r="T1117" s="60"/>
      <c r="Y1117" s="98"/>
    </row>
    <row r="1118" spans="4:25" x14ac:dyDescent="0.2">
      <c r="D1118" s="63"/>
      <c r="K1118">
        <v>3</v>
      </c>
      <c r="L1118" s="44">
        <v>5.3550000000000164</v>
      </c>
      <c r="M1118">
        <v>7.0442335413929413E-3</v>
      </c>
      <c r="N1118">
        <v>7.4570014514251284</v>
      </c>
      <c r="O1118">
        <v>0</v>
      </c>
      <c r="P1118">
        <v>0</v>
      </c>
      <c r="Q1118">
        <v>5.5172448575042454E-7</v>
      </c>
      <c r="R1118">
        <v>-6.7061609983768386E-7</v>
      </c>
      <c r="T1118" s="60"/>
      <c r="Y1118" s="98"/>
    </row>
    <row r="1119" spans="4:25" x14ac:dyDescent="0.2">
      <c r="D1119" s="63"/>
      <c r="K1119">
        <v>3</v>
      </c>
      <c r="L1119" s="44">
        <v>5.3725000000000165</v>
      </c>
      <c r="M1119">
        <v>7.0442335413929413E-3</v>
      </c>
      <c r="N1119">
        <v>7.4571247255121031</v>
      </c>
      <c r="O1119">
        <v>0</v>
      </c>
      <c r="P1119">
        <v>0</v>
      </c>
      <c r="Q1119">
        <v>5.4005108025363949E-7</v>
      </c>
      <c r="R1119">
        <v>-6.6348736586804539E-7</v>
      </c>
      <c r="T1119" s="60"/>
      <c r="Y1119" s="98"/>
    </row>
    <row r="1120" spans="4:25" x14ac:dyDescent="0.2">
      <c r="D1120" s="63"/>
      <c r="K1120">
        <v>3</v>
      </c>
      <c r="L1120" s="44">
        <v>5.3900000000000166</v>
      </c>
      <c r="M1120">
        <v>7.0442335413929413E-3</v>
      </c>
      <c r="N1120">
        <v>7.4572479995990779</v>
      </c>
      <c r="O1120">
        <v>0</v>
      </c>
      <c r="P1120">
        <v>0</v>
      </c>
      <c r="Q1120">
        <v>5.2850242863248037E-7</v>
      </c>
      <c r="R1120">
        <v>-6.5635851405198923E-7</v>
      </c>
      <c r="T1120" s="60"/>
      <c r="Y1120" s="98"/>
    </row>
    <row r="1121" spans="4:25" x14ac:dyDescent="0.2">
      <c r="D1121" s="63"/>
      <c r="K1121">
        <v>3</v>
      </c>
      <c r="L1121" s="44">
        <v>5.4075000000000166</v>
      </c>
      <c r="M1121">
        <v>7.0442335413929413E-3</v>
      </c>
      <c r="N1121">
        <v>7.4573712736860518</v>
      </c>
      <c r="O1121">
        <v>0</v>
      </c>
      <c r="P1121">
        <v>0</v>
      </c>
      <c r="Q1121">
        <v>5.1707853294925727E-7</v>
      </c>
      <c r="R1121">
        <v>-6.492295443895155E-7</v>
      </c>
      <c r="T1121" s="60"/>
      <c r="Y1121" s="98"/>
    </row>
    <row r="1122" spans="4:25" x14ac:dyDescent="0.2">
      <c r="D1122" s="63"/>
      <c r="K1122">
        <v>3</v>
      </c>
      <c r="L1122" s="44">
        <v>5.4250000000000167</v>
      </c>
      <c r="M1122">
        <v>7.0442335413929413E-3</v>
      </c>
      <c r="N1122">
        <v>7.4574945477730257</v>
      </c>
      <c r="O1122">
        <v>0</v>
      </c>
      <c r="P1122">
        <v>0</v>
      </c>
      <c r="Q1122">
        <v>5.0577939526628365E-7</v>
      </c>
      <c r="R1122">
        <v>-6.4210045688062397E-7</v>
      </c>
      <c r="T1122" s="60"/>
      <c r="Y1122" s="98"/>
    </row>
    <row r="1123" spans="4:25" x14ac:dyDescent="0.2">
      <c r="D1123" s="63"/>
      <c r="K1123">
        <v>3</v>
      </c>
      <c r="L1123" s="44">
        <v>5.4425000000000168</v>
      </c>
      <c r="M1123">
        <v>7.0442335413929413E-3</v>
      </c>
      <c r="N1123">
        <v>7.4576178218600013</v>
      </c>
      <c r="O1123">
        <v>0</v>
      </c>
      <c r="P1123">
        <v>0</v>
      </c>
      <c r="Q1123">
        <v>4.9460501764587213E-7</v>
      </c>
      <c r="R1123">
        <v>-6.3497125152531476E-7</v>
      </c>
      <c r="T1123" s="60"/>
      <c r="Y1123" s="98"/>
    </row>
    <row r="1124" spans="4:25" x14ac:dyDescent="0.2">
      <c r="D1124" s="63"/>
      <c r="K1124">
        <v>3</v>
      </c>
      <c r="L1124" s="44">
        <v>5.4600000000000168</v>
      </c>
      <c r="M1124">
        <v>7.0442335413929413E-3</v>
      </c>
      <c r="N1124">
        <v>7.4577410959469752</v>
      </c>
      <c r="O1124">
        <v>0</v>
      </c>
      <c r="P1124">
        <v>0</v>
      </c>
      <c r="Q1124">
        <v>4.835554021503345E-7</v>
      </c>
      <c r="R1124">
        <v>-6.2784192832358797E-7</v>
      </c>
      <c r="T1124" s="60"/>
      <c r="Y1124" s="98"/>
    </row>
    <row r="1125" spans="4:25" x14ac:dyDescent="0.2">
      <c r="D1125" s="63"/>
      <c r="K1125">
        <v>3</v>
      </c>
      <c r="L1125" s="44">
        <v>5.4775000000000169</v>
      </c>
      <c r="M1125">
        <v>7.0442335413929413E-3</v>
      </c>
      <c r="N1125">
        <v>7.4578643700339491</v>
      </c>
      <c r="O1125">
        <v>0</v>
      </c>
      <c r="P1125">
        <v>0</v>
      </c>
      <c r="Q1125">
        <v>4.7263055084198421E-7</v>
      </c>
      <c r="R1125">
        <v>-6.2071248727544339E-7</v>
      </c>
      <c r="T1125" s="60"/>
      <c r="Y1125" s="98"/>
    </row>
    <row r="1126" spans="4:25" x14ac:dyDescent="0.2">
      <c r="D1126" s="63"/>
      <c r="K1126">
        <v>3</v>
      </c>
      <c r="L1126" s="44">
        <v>5.495000000000017</v>
      </c>
      <c r="M1126">
        <v>7.0442335413929413E-3</v>
      </c>
      <c r="N1126">
        <v>7.4579876441209239</v>
      </c>
      <c r="O1126">
        <v>0</v>
      </c>
      <c r="P1126">
        <v>0</v>
      </c>
      <c r="Q1126">
        <v>4.6183046578313135E-7</v>
      </c>
      <c r="R1126">
        <v>-6.1358292838088123E-7</v>
      </c>
      <c r="T1126" s="60"/>
      <c r="Y1126" s="98"/>
    </row>
    <row r="1127" spans="4:25" x14ac:dyDescent="0.2">
      <c r="D1127" s="63"/>
      <c r="K1127">
        <v>3</v>
      </c>
      <c r="L1127" s="44">
        <v>5.5125000000000171</v>
      </c>
      <c r="M1127">
        <v>7.0442335413929413E-3</v>
      </c>
      <c r="N1127">
        <v>7.4581109182078986</v>
      </c>
      <c r="O1127">
        <v>0</v>
      </c>
      <c r="P1127">
        <v>0</v>
      </c>
      <c r="Q1127">
        <v>4.5115514903609022E-7</v>
      </c>
      <c r="R1127">
        <v>-6.0645325163990138E-7</v>
      </c>
      <c r="T1127" s="60"/>
      <c r="Y1127" s="98"/>
    </row>
    <row r="1128" spans="4:25" x14ac:dyDescent="0.2">
      <c r="D1128" s="63"/>
      <c r="K1128">
        <v>3</v>
      </c>
      <c r="L1128" s="44">
        <v>5.5300000000000171</v>
      </c>
      <c r="M1128">
        <v>7.0442335413929413E-3</v>
      </c>
      <c r="N1128">
        <v>7.4582341922948725</v>
      </c>
      <c r="O1128">
        <v>0</v>
      </c>
      <c r="P1128">
        <v>0</v>
      </c>
      <c r="Q1128">
        <v>4.4060460266317262E-7</v>
      </c>
      <c r="R1128">
        <v>-5.9932345705250375E-7</v>
      </c>
      <c r="T1128" s="60"/>
      <c r="Y1128" s="98"/>
    </row>
    <row r="1129" spans="4:25" x14ac:dyDescent="0.2">
      <c r="D1129" s="63"/>
      <c r="K1129">
        <v>3</v>
      </c>
      <c r="L1129" s="44">
        <v>5.5475000000000172</v>
      </c>
      <c r="M1129">
        <v>7.0442335413929413E-3</v>
      </c>
      <c r="N1129">
        <v>7.4583574663818464</v>
      </c>
      <c r="O1129">
        <v>0</v>
      </c>
      <c r="P1129">
        <v>0</v>
      </c>
      <c r="Q1129">
        <v>4.3017882872669031E-7</v>
      </c>
      <c r="R1129">
        <v>-5.9219354461868854E-7</v>
      </c>
      <c r="T1129" s="60"/>
      <c r="Y1129" s="98"/>
    </row>
    <row r="1130" spans="4:25" x14ac:dyDescent="0.2">
      <c r="D1130" s="63"/>
      <c r="K1130">
        <v>3</v>
      </c>
      <c r="L1130" s="44">
        <v>5.5650000000000173</v>
      </c>
      <c r="M1130">
        <v>7.0442335413929413E-3</v>
      </c>
      <c r="N1130">
        <v>7.4584807404688211</v>
      </c>
      <c r="O1130">
        <v>0</v>
      </c>
      <c r="P1130">
        <v>0</v>
      </c>
      <c r="Q1130">
        <v>4.1987782928895506E-7</v>
      </c>
      <c r="R1130">
        <v>-5.8506351433845564E-7</v>
      </c>
      <c r="T1130" s="60"/>
      <c r="Y1130" s="98"/>
    </row>
    <row r="1131" spans="4:25" x14ac:dyDescent="0.2">
      <c r="D1131" s="63"/>
      <c r="K1131">
        <v>3</v>
      </c>
      <c r="L1131" s="44">
        <v>5.5825000000000173</v>
      </c>
      <c r="M1131">
        <v>7.0442335413929413E-3</v>
      </c>
      <c r="N1131">
        <v>7.4586040145557959</v>
      </c>
      <c r="O1131">
        <v>0</v>
      </c>
      <c r="P1131">
        <v>0</v>
      </c>
      <c r="Q1131">
        <v>4.0970160641228119E-7</v>
      </c>
      <c r="R1131">
        <v>-5.7793336621180506E-7</v>
      </c>
      <c r="T1131" s="60"/>
      <c r="Y1131" s="98"/>
    </row>
    <row r="1132" spans="4:25" x14ac:dyDescent="0.2">
      <c r="D1132" s="63"/>
      <c r="K1132">
        <v>3</v>
      </c>
      <c r="L1132" s="44">
        <v>5.6000000000000174</v>
      </c>
      <c r="M1132">
        <v>7.0442335413929413E-3</v>
      </c>
      <c r="N1132">
        <v>7.4587272886427698</v>
      </c>
      <c r="O1132">
        <v>0</v>
      </c>
      <c r="P1132">
        <v>0</v>
      </c>
      <c r="Q1132">
        <v>3.9965016215897878E-7</v>
      </c>
      <c r="R1132">
        <v>-5.7080310023873679E-7</v>
      </c>
      <c r="T1132" s="60"/>
      <c r="Y1132" s="98"/>
    </row>
    <row r="1133" spans="4:25" x14ac:dyDescent="0.2">
      <c r="D1133" s="63"/>
      <c r="K1133">
        <v>3</v>
      </c>
      <c r="L1133" s="44">
        <v>5.6175000000000175</v>
      </c>
      <c r="M1133">
        <v>7.0442335413929413E-3</v>
      </c>
      <c r="N1133">
        <v>7.4588505627297446</v>
      </c>
      <c r="O1133">
        <v>0</v>
      </c>
      <c r="P1133">
        <v>0</v>
      </c>
      <c r="Q1133">
        <v>3.89723498591363E-7</v>
      </c>
      <c r="R1133">
        <v>-5.6367271641925084E-7</v>
      </c>
      <c r="T1133" s="60"/>
      <c r="Y1133" s="98"/>
    </row>
    <row r="1134" spans="4:25" x14ac:dyDescent="0.2">
      <c r="D1134" s="63"/>
      <c r="K1134">
        <v>3</v>
      </c>
      <c r="L1134" s="44">
        <v>5.6350000000000176</v>
      </c>
      <c r="M1134">
        <v>7.0442335413929413E-3</v>
      </c>
      <c r="N1134">
        <v>7.4589738368167193</v>
      </c>
      <c r="O1134">
        <v>0</v>
      </c>
      <c r="P1134">
        <v>0</v>
      </c>
      <c r="Q1134">
        <v>3.7992161777174307E-7</v>
      </c>
      <c r="R1134">
        <v>-5.565422147533472E-7</v>
      </c>
      <c r="T1134" s="60"/>
      <c r="Y1134" s="98"/>
    </row>
    <row r="1135" spans="4:25" x14ac:dyDescent="0.2">
      <c r="D1135" s="63"/>
      <c r="K1135">
        <v>3</v>
      </c>
      <c r="L1135" s="44">
        <v>5.6525000000000176</v>
      </c>
      <c r="M1135">
        <v>7.0442335413929413E-3</v>
      </c>
      <c r="N1135">
        <v>7.4590971109036932</v>
      </c>
      <c r="O1135">
        <v>0</v>
      </c>
      <c r="P1135">
        <v>0</v>
      </c>
      <c r="Q1135">
        <v>3.7024452176243246E-7</v>
      </c>
      <c r="R1135">
        <v>-5.4941159524102588E-7</v>
      </c>
      <c r="T1135" s="60"/>
      <c r="Y1135" s="98"/>
    </row>
    <row r="1136" spans="4:25" x14ac:dyDescent="0.2">
      <c r="D1136" s="63"/>
      <c r="K1136">
        <v>3</v>
      </c>
      <c r="L1136" s="44">
        <v>5.6700000000000177</v>
      </c>
      <c r="M1136">
        <v>7.0442335413929413E-3</v>
      </c>
      <c r="N1136">
        <v>7.4592203849906671</v>
      </c>
      <c r="O1136">
        <v>0</v>
      </c>
      <c r="P1136">
        <v>0</v>
      </c>
      <c r="Q1136">
        <v>3.6069221262574465E-7</v>
      </c>
      <c r="R1136">
        <v>-5.4228085788228688E-7</v>
      </c>
      <c r="T1136" s="60"/>
      <c r="Y1136" s="98"/>
    </row>
    <row r="1137" spans="4:25" x14ac:dyDescent="0.2">
      <c r="D1137" s="63"/>
      <c r="K1137">
        <v>3</v>
      </c>
      <c r="L1137" s="44">
        <v>5.6875000000000178</v>
      </c>
      <c r="M1137">
        <v>7.0442335413929413E-3</v>
      </c>
      <c r="N1137">
        <v>7.4593436590776419</v>
      </c>
      <c r="O1137">
        <v>0</v>
      </c>
      <c r="P1137">
        <v>0</v>
      </c>
      <c r="Q1137">
        <v>3.5126469242399056E-7</v>
      </c>
      <c r="R1137">
        <v>-5.3515000267713019E-7</v>
      </c>
      <c r="T1137" s="60"/>
      <c r="Y1137" s="98"/>
    </row>
    <row r="1138" spans="4:25" x14ac:dyDescent="0.2">
      <c r="D1138" s="63"/>
      <c r="K1138">
        <v>3</v>
      </c>
      <c r="L1138" s="44">
        <v>5.7050000000000178</v>
      </c>
      <c r="M1138">
        <v>7.0442335413929413E-3</v>
      </c>
      <c r="N1138">
        <v>7.4594669331646166</v>
      </c>
      <c r="O1138">
        <v>0</v>
      </c>
      <c r="P1138">
        <v>0</v>
      </c>
      <c r="Q1138">
        <v>3.4196196321948281E-7</v>
      </c>
      <c r="R1138">
        <v>-5.2801902962555592E-7</v>
      </c>
      <c r="T1138" s="60"/>
      <c r="Y1138" s="98"/>
    </row>
    <row r="1139" spans="4:25" x14ac:dyDescent="0.2">
      <c r="D1139" s="63"/>
      <c r="K1139">
        <v>3</v>
      </c>
      <c r="L1139" s="44">
        <v>5.7225000000000179</v>
      </c>
      <c r="M1139">
        <v>7.0442335413929413E-3</v>
      </c>
      <c r="N1139">
        <v>7.4595902072515905</v>
      </c>
      <c r="O1139">
        <v>0</v>
      </c>
      <c r="P1139">
        <v>0</v>
      </c>
      <c r="Q1139">
        <v>3.3278402707453317E-7</v>
      </c>
      <c r="R1139">
        <v>-5.2088793872756375E-7</v>
      </c>
      <c r="T1139" s="60"/>
      <c r="Y1139" s="98"/>
    </row>
    <row r="1140" spans="4:25" x14ac:dyDescent="0.2">
      <c r="D1140" s="63"/>
      <c r="K1140">
        <v>3</v>
      </c>
      <c r="L1140" s="44">
        <v>5.740000000000018</v>
      </c>
      <c r="M1140">
        <v>7.0442335413929413E-3</v>
      </c>
      <c r="N1140">
        <v>7.4597134813385653</v>
      </c>
      <c r="O1140">
        <v>0</v>
      </c>
      <c r="P1140">
        <v>0</v>
      </c>
      <c r="Q1140">
        <v>3.2373088605145427E-7</v>
      </c>
      <c r="R1140">
        <v>-5.1375672998315412E-7</v>
      </c>
      <c r="T1140" s="60"/>
      <c r="Y1140" s="98"/>
    </row>
    <row r="1141" spans="4:25" x14ac:dyDescent="0.2">
      <c r="D1141" s="63"/>
      <c r="K1141">
        <v>3</v>
      </c>
      <c r="L1141" s="44">
        <v>5.757500000000018</v>
      </c>
      <c r="M1141">
        <v>7.0442335413929413E-3</v>
      </c>
      <c r="N1141">
        <v>7.45983675542554</v>
      </c>
      <c r="O1141">
        <v>0</v>
      </c>
      <c r="P1141">
        <v>0</v>
      </c>
      <c r="Q1141">
        <v>3.1480254221255958E-7</v>
      </c>
      <c r="R1141">
        <v>-5.0662540339232669E-7</v>
      </c>
      <c r="T1141" s="60"/>
      <c r="Y1141" s="98"/>
    </row>
    <row r="1142" spans="4:25" x14ac:dyDescent="0.2">
      <c r="D1142" s="63"/>
      <c r="K1142">
        <v>3</v>
      </c>
      <c r="L1142" s="44">
        <v>5.7750000000000181</v>
      </c>
      <c r="M1142">
        <v>7.0442335413929413E-3</v>
      </c>
      <c r="N1142">
        <v>7.4599600295125139</v>
      </c>
      <c r="O1142">
        <v>0</v>
      </c>
      <c r="P1142">
        <v>0</v>
      </c>
      <c r="Q1142">
        <v>3.0599899762016086E-7</v>
      </c>
      <c r="R1142">
        <v>-4.9949395895508157E-7</v>
      </c>
      <c r="T1142" s="60"/>
      <c r="Y1142" s="98"/>
    </row>
    <row r="1143" spans="4:25" x14ac:dyDescent="0.2">
      <c r="D1143" s="63"/>
      <c r="K1143">
        <v>3</v>
      </c>
      <c r="L1143" s="44">
        <v>5.7925000000000182</v>
      </c>
      <c r="M1143">
        <v>7.0442335413929413E-3</v>
      </c>
      <c r="N1143">
        <v>7.4600833035994878</v>
      </c>
      <c r="O1143">
        <v>0</v>
      </c>
      <c r="P1143">
        <v>0</v>
      </c>
      <c r="Q1143">
        <v>2.9732025433656906E-7</v>
      </c>
      <c r="R1143">
        <v>-4.9236239667141878E-7</v>
      </c>
      <c r="T1143" s="60"/>
      <c r="Y1143" s="98"/>
    </row>
    <row r="1144" spans="4:25" x14ac:dyDescent="0.2">
      <c r="D1144" s="63"/>
      <c r="K1144">
        <v>3</v>
      </c>
      <c r="L1144" s="44">
        <v>5.8100000000000183</v>
      </c>
      <c r="M1144">
        <v>7.0442335413929413E-3</v>
      </c>
      <c r="N1144">
        <v>7.4602065776864626</v>
      </c>
      <c r="O1144">
        <v>0</v>
      </c>
      <c r="P1144">
        <v>0</v>
      </c>
      <c r="Q1144">
        <v>2.8876631442409847E-7</v>
      </c>
      <c r="R1144">
        <v>-4.852307165413384E-7</v>
      </c>
      <c r="T1144" s="60"/>
      <c r="Y1144" s="98"/>
    </row>
    <row r="1145" spans="4:25" x14ac:dyDescent="0.2">
      <c r="D1145" s="63"/>
      <c r="K1145">
        <v>3</v>
      </c>
      <c r="L1145" s="44">
        <v>5.8275000000000183</v>
      </c>
      <c r="M1145">
        <v>7.0442335413929413E-3</v>
      </c>
      <c r="N1145">
        <v>7.4603298517734373</v>
      </c>
      <c r="O1145">
        <v>0</v>
      </c>
      <c r="P1145">
        <v>0</v>
      </c>
      <c r="Q1145">
        <v>2.8033717994506004E-7</v>
      </c>
      <c r="R1145">
        <v>-4.7809891856484023E-7</v>
      </c>
      <c r="T1145" s="60"/>
      <c r="Y1145" s="98"/>
    </row>
    <row r="1146" spans="4:25" x14ac:dyDescent="0.2">
      <c r="D1146" s="63"/>
      <c r="K1146">
        <v>3</v>
      </c>
      <c r="L1146" s="44">
        <v>5.8450000000000184</v>
      </c>
      <c r="M1146">
        <v>7.0442335413929413E-3</v>
      </c>
      <c r="N1146">
        <v>7.4604531258604112</v>
      </c>
      <c r="O1146">
        <v>0</v>
      </c>
      <c r="P1146">
        <v>0</v>
      </c>
      <c r="Q1146">
        <v>2.7203285296176637E-7</v>
      </c>
      <c r="R1146">
        <v>-4.7096700274192454E-7</v>
      </c>
      <c r="T1146" s="60"/>
      <c r="Y1146" s="98"/>
    </row>
    <row r="1147" spans="4:25" x14ac:dyDescent="0.2">
      <c r="D1147" s="63"/>
      <c r="K1147">
        <v>3</v>
      </c>
      <c r="L1147" s="44">
        <v>5.8625000000000185</v>
      </c>
      <c r="M1147">
        <v>7.0442335413929413E-3</v>
      </c>
      <c r="N1147">
        <v>7.460576399947386</v>
      </c>
      <c r="O1147">
        <v>0</v>
      </c>
      <c r="P1147">
        <v>0</v>
      </c>
      <c r="Q1147">
        <v>2.638533355365301E-7</v>
      </c>
      <c r="R1147">
        <v>-4.6383496907259106E-7</v>
      </c>
      <c r="T1147" s="60"/>
      <c r="Y1147" s="98"/>
    </row>
    <row r="1148" spans="4:25" x14ac:dyDescent="0.2">
      <c r="D1148" s="63"/>
      <c r="K1148">
        <v>3</v>
      </c>
      <c r="L1148" s="44">
        <v>5.8800000000000185</v>
      </c>
      <c r="M1148">
        <v>7.0442335413929413E-3</v>
      </c>
      <c r="N1148">
        <v>7.4606996740343607</v>
      </c>
      <c r="O1148">
        <v>0</v>
      </c>
      <c r="P1148">
        <v>0</v>
      </c>
      <c r="Q1148">
        <v>2.5579862973166299E-7</v>
      </c>
      <c r="R1148">
        <v>-4.5670281755683989E-7</v>
      </c>
      <c r="T1148" s="60"/>
      <c r="Y1148" s="98"/>
    </row>
    <row r="1149" spans="4:25" x14ac:dyDescent="0.2">
      <c r="D1149" s="63"/>
      <c r="K1149">
        <v>3</v>
      </c>
      <c r="L1149" s="44">
        <v>5.8975000000000186</v>
      </c>
      <c r="M1149">
        <v>7.0442335413929413E-3</v>
      </c>
      <c r="N1149">
        <v>7.4608229481213346</v>
      </c>
      <c r="O1149">
        <v>0</v>
      </c>
      <c r="P1149">
        <v>0</v>
      </c>
      <c r="Q1149">
        <v>2.4786873760947851E-7</v>
      </c>
      <c r="R1149">
        <v>-4.4957054819467109E-7</v>
      </c>
      <c r="T1149" s="60"/>
      <c r="Y1149" s="98"/>
    </row>
    <row r="1150" spans="4:25" x14ac:dyDescent="0.2">
      <c r="D1150" s="63"/>
      <c r="K1150">
        <v>3</v>
      </c>
      <c r="L1150" s="44">
        <v>5.9150000000000187</v>
      </c>
      <c r="M1150">
        <v>7.0442335413929413E-3</v>
      </c>
      <c r="N1150">
        <v>7.4609462222083085</v>
      </c>
      <c r="O1150">
        <v>0</v>
      </c>
      <c r="P1150">
        <v>0</v>
      </c>
      <c r="Q1150">
        <v>2.4006366123228675E-7</v>
      </c>
      <c r="R1150">
        <v>-4.4243816098608455E-7</v>
      </c>
      <c r="T1150" s="60"/>
      <c r="Y1150" s="98"/>
    </row>
    <row r="1151" spans="4:25" x14ac:dyDescent="0.2">
      <c r="D1151" s="63"/>
      <c r="K1151">
        <v>3</v>
      </c>
      <c r="L1151" s="44">
        <v>5.9325000000000188</v>
      </c>
      <c r="M1151">
        <v>7.0442335413929413E-3</v>
      </c>
      <c r="N1151">
        <v>7.4610694962952833</v>
      </c>
      <c r="O1151">
        <v>0</v>
      </c>
      <c r="P1151">
        <v>0</v>
      </c>
      <c r="Q1151">
        <v>2.3238340266240287E-7</v>
      </c>
      <c r="R1151">
        <v>-4.3530565593108028E-7</v>
      </c>
      <c r="T1151" s="60"/>
      <c r="Y1151" s="98"/>
    </row>
    <row r="1152" spans="4:25" x14ac:dyDescent="0.2">
      <c r="D1152" s="63"/>
      <c r="K1152">
        <v>3</v>
      </c>
      <c r="L1152" s="44">
        <v>5.9500000000000188</v>
      </c>
      <c r="M1152">
        <v>7.0442335413929413E-3</v>
      </c>
      <c r="N1152">
        <v>7.461192770382258</v>
      </c>
      <c r="O1152">
        <v>0</v>
      </c>
      <c r="P1152">
        <v>0</v>
      </c>
      <c r="Q1152">
        <v>2.2482796396213695E-7</v>
      </c>
      <c r="R1152">
        <v>-4.2817303302965843E-7</v>
      </c>
      <c r="T1152" s="60"/>
      <c r="Y1152" s="98"/>
    </row>
    <row r="1153" spans="4:25" x14ac:dyDescent="0.2">
      <c r="D1153" s="63"/>
      <c r="K1153">
        <v>3</v>
      </c>
      <c r="L1153" s="44">
        <v>5.9675000000000189</v>
      </c>
      <c r="M1153">
        <v>7.0442335413929413E-3</v>
      </c>
      <c r="N1153">
        <v>7.4613160444692319</v>
      </c>
      <c r="O1153">
        <v>0</v>
      </c>
      <c r="P1153">
        <v>0</v>
      </c>
      <c r="Q1153">
        <v>2.1739734719380245E-7</v>
      </c>
      <c r="R1153">
        <v>-4.2104029228181884E-7</v>
      </c>
      <c r="T1153" s="60"/>
      <c r="Y1153" s="98"/>
    </row>
    <row r="1154" spans="4:25" x14ac:dyDescent="0.2">
      <c r="D1154" s="63"/>
      <c r="K1154">
        <v>3</v>
      </c>
      <c r="L1154" s="44">
        <v>5.985000000000019</v>
      </c>
      <c r="M1154">
        <v>7.0442335413929413E-3</v>
      </c>
      <c r="N1154">
        <v>7.4614393185562058</v>
      </c>
      <c r="O1154">
        <v>0</v>
      </c>
      <c r="P1154">
        <v>0</v>
      </c>
      <c r="Q1154">
        <v>2.1009155441971115E-7</v>
      </c>
      <c r="R1154">
        <v>-4.1390743368756162E-7</v>
      </c>
      <c r="T1154" s="60"/>
      <c r="Y1154" s="98"/>
    </row>
    <row r="1155" spans="4:25" x14ac:dyDescent="0.2">
      <c r="D1155" s="63"/>
      <c r="K1155">
        <v>3</v>
      </c>
      <c r="L1155" s="44">
        <v>6.002500000000019</v>
      </c>
      <c r="M1155">
        <v>7.0442335413929413E-3</v>
      </c>
      <c r="N1155">
        <v>7.4615625926431806</v>
      </c>
      <c r="O1155">
        <v>0</v>
      </c>
      <c r="P1155">
        <v>0</v>
      </c>
      <c r="Q1155">
        <v>2.0291058770217567E-7</v>
      </c>
      <c r="R1155">
        <v>-4.0677445724688671E-7</v>
      </c>
      <c r="T1155" s="60"/>
      <c r="Y1155" s="98"/>
    </row>
    <row r="1156" spans="4:25" x14ac:dyDescent="0.2">
      <c r="D1156" s="63"/>
      <c r="K1156">
        <v>3</v>
      </c>
      <c r="L1156" s="44">
        <v>6.0200000000000191</v>
      </c>
      <c r="M1156">
        <v>7.0442335413929413E-3</v>
      </c>
      <c r="N1156">
        <v>7.4616858667301553</v>
      </c>
      <c r="O1156">
        <v>0</v>
      </c>
      <c r="P1156">
        <v>0</v>
      </c>
      <c r="Q1156">
        <v>1.9585444910350779E-7</v>
      </c>
      <c r="R1156">
        <v>-3.9964136295979406E-7</v>
      </c>
      <c r="T1156" s="60"/>
      <c r="Y1156" s="98"/>
    </row>
    <row r="1157" spans="4:25" x14ac:dyDescent="0.2">
      <c r="D1157" s="63"/>
      <c r="K1157">
        <v>3</v>
      </c>
      <c r="L1157" s="44">
        <v>6.0375000000000192</v>
      </c>
      <c r="M1157">
        <v>7.0442335413929413E-3</v>
      </c>
      <c r="N1157">
        <v>7.4618091408171292</v>
      </c>
      <c r="O1157">
        <v>0</v>
      </c>
      <c r="P1157">
        <v>0</v>
      </c>
      <c r="Q1157">
        <v>1.8892314068602097E-7</v>
      </c>
      <c r="R1157">
        <v>-3.9250815082628379E-7</v>
      </c>
      <c r="T1157" s="60"/>
      <c r="Y1157" s="98"/>
    </row>
    <row r="1158" spans="4:25" x14ac:dyDescent="0.2">
      <c r="D1158" s="63"/>
      <c r="K1158">
        <v>3</v>
      </c>
      <c r="L1158" s="44">
        <v>6.0550000000000193</v>
      </c>
      <c r="M1158">
        <v>7.0442335413929413E-3</v>
      </c>
      <c r="N1158">
        <v>7.461932414904104</v>
      </c>
      <c r="O1158">
        <v>0</v>
      </c>
      <c r="P1158">
        <v>0</v>
      </c>
      <c r="Q1158">
        <v>1.8211666451202529E-7</v>
      </c>
      <c r="R1158">
        <v>-3.8537482084635588E-7</v>
      </c>
      <c r="T1158" s="60"/>
      <c r="Y1158" s="98"/>
    </row>
    <row r="1159" spans="4:25" x14ac:dyDescent="0.2">
      <c r="D1159" s="63"/>
      <c r="K1159">
        <v>3</v>
      </c>
      <c r="L1159" s="44">
        <v>6.0725000000000193</v>
      </c>
      <c r="M1159">
        <v>7.0442335413929413E-3</v>
      </c>
      <c r="N1159">
        <v>7.4620556889910787</v>
      </c>
      <c r="O1159">
        <v>0</v>
      </c>
      <c r="P1159">
        <v>0</v>
      </c>
      <c r="Q1159">
        <v>1.7543502264383507E-7</v>
      </c>
      <c r="R1159">
        <v>-3.7824137302001018E-7</v>
      </c>
      <c r="T1159" s="60"/>
      <c r="Y1159" s="98"/>
    </row>
    <row r="1160" spans="4:25" x14ac:dyDescent="0.2">
      <c r="D1160" s="63"/>
      <c r="K1160">
        <v>3</v>
      </c>
      <c r="L1160" s="44">
        <v>6.0900000000000194</v>
      </c>
      <c r="M1160">
        <v>7.0442335413929413E-3</v>
      </c>
      <c r="N1160">
        <v>7.4621789630780526</v>
      </c>
      <c r="O1160">
        <v>0</v>
      </c>
      <c r="P1160">
        <v>0</v>
      </c>
      <c r="Q1160">
        <v>1.6887821714376209E-7</v>
      </c>
      <c r="R1160">
        <v>-3.7110780734724685E-7</v>
      </c>
      <c r="T1160" s="60"/>
      <c r="Y1160" s="98"/>
    </row>
    <row r="1161" spans="4:25" x14ac:dyDescent="0.2">
      <c r="D1161" s="63"/>
      <c r="K1161">
        <v>3</v>
      </c>
      <c r="L1161" s="44">
        <v>6.1075000000000195</v>
      </c>
      <c r="M1161">
        <v>7.0442335413929413E-3</v>
      </c>
      <c r="N1161">
        <v>7.4623022371650265</v>
      </c>
      <c r="O1161">
        <v>0</v>
      </c>
      <c r="P1161">
        <v>0</v>
      </c>
      <c r="Q1161">
        <v>1.6244625007411811E-7</v>
      </c>
      <c r="R1161">
        <v>-3.6397412382806589E-7</v>
      </c>
      <c r="T1161" s="60"/>
      <c r="Y1161" s="98"/>
    </row>
    <row r="1162" spans="4:25" x14ac:dyDescent="0.2">
      <c r="D1162" s="63"/>
      <c r="K1162">
        <v>3</v>
      </c>
      <c r="L1162" s="44">
        <v>6.1250000000000195</v>
      </c>
      <c r="M1162">
        <v>7.0442335413929413E-3</v>
      </c>
      <c r="N1162">
        <v>7.4624255112520013</v>
      </c>
      <c r="O1162">
        <v>0</v>
      </c>
      <c r="P1162">
        <v>0</v>
      </c>
      <c r="Q1162">
        <v>1.5613912349721746E-7</v>
      </c>
      <c r="R1162">
        <v>-3.5684032246246714E-7</v>
      </c>
      <c r="T1162" s="60"/>
      <c r="Y1162" s="98"/>
    </row>
    <row r="1163" spans="4:25" x14ac:dyDescent="0.2">
      <c r="D1163" s="63"/>
      <c r="K1163">
        <v>3</v>
      </c>
      <c r="L1163" s="44">
        <v>6.1425000000000196</v>
      </c>
      <c r="M1163">
        <v>7.0442335413929413E-3</v>
      </c>
      <c r="N1163">
        <v>7.462548785338976</v>
      </c>
      <c r="O1163">
        <v>0</v>
      </c>
      <c r="P1163">
        <v>0</v>
      </c>
      <c r="Q1163">
        <v>1.4995683947536936E-7</v>
      </c>
      <c r="R1163">
        <v>-3.4970640325045086E-7</v>
      </c>
      <c r="T1163" s="60"/>
      <c r="Y1163" s="98"/>
    </row>
    <row r="1164" spans="4:25" x14ac:dyDescent="0.2">
      <c r="D1164" s="63"/>
      <c r="K1164">
        <v>3</v>
      </c>
      <c r="L1164" s="44">
        <v>6.1600000000000197</v>
      </c>
      <c r="M1164">
        <v>7.0442335413929413E-3</v>
      </c>
      <c r="N1164">
        <v>7.4626720594259499</v>
      </c>
      <c r="O1164">
        <v>0</v>
      </c>
      <c r="P1164">
        <v>0</v>
      </c>
      <c r="Q1164">
        <v>1.4389940007088899E-7</v>
      </c>
      <c r="R1164">
        <v>-3.4257236619201674E-7</v>
      </c>
      <c r="T1164" s="60"/>
      <c r="Y1164" s="98"/>
    </row>
    <row r="1165" spans="4:25" x14ac:dyDescent="0.2">
      <c r="D1165" s="63"/>
      <c r="K1165">
        <v>3</v>
      </c>
      <c r="L1165" s="44">
        <v>6.1775000000000198</v>
      </c>
      <c r="M1165">
        <v>7.0442335413929413E-3</v>
      </c>
      <c r="N1165">
        <v>7.4627953335129247</v>
      </c>
      <c r="O1165">
        <v>0</v>
      </c>
      <c r="P1165">
        <v>0</v>
      </c>
      <c r="Q1165">
        <v>1.3796680734608641E-7</v>
      </c>
      <c r="R1165">
        <v>-3.3543821128716504E-7</v>
      </c>
      <c r="T1165" s="60"/>
      <c r="Y1165" s="98"/>
    </row>
    <row r="1166" spans="4:25" x14ac:dyDescent="0.2">
      <c r="D1166" s="63"/>
      <c r="K1166">
        <v>3</v>
      </c>
      <c r="L1166" s="44">
        <v>6.1950000000000198</v>
      </c>
      <c r="M1166">
        <v>7.0442335413929413E-3</v>
      </c>
      <c r="N1166">
        <v>7.4629186075998994</v>
      </c>
      <c r="O1166">
        <v>0</v>
      </c>
      <c r="P1166">
        <v>0</v>
      </c>
      <c r="Q1166">
        <v>1.321590633632751E-7</v>
      </c>
      <c r="R1166">
        <v>-3.283039385358956E-7</v>
      </c>
      <c r="T1166" s="60"/>
      <c r="Y1166" s="98"/>
    </row>
    <row r="1167" spans="4:25" x14ac:dyDescent="0.2">
      <c r="D1167" s="63"/>
      <c r="K1167">
        <v>3</v>
      </c>
      <c r="L1167" s="44">
        <v>6.2125000000000199</v>
      </c>
      <c r="M1167">
        <v>7.0442335413929413E-3</v>
      </c>
      <c r="N1167">
        <v>7.4630418816868733</v>
      </c>
      <c r="O1167">
        <v>0</v>
      </c>
      <c r="P1167">
        <v>0</v>
      </c>
      <c r="Q1167">
        <v>1.2647617018476767E-7</v>
      </c>
      <c r="R1167">
        <v>-3.2116954793820875E-7</v>
      </c>
      <c r="T1167" s="60"/>
      <c r="Y1167" s="98"/>
    </row>
    <row r="1168" spans="4:25" x14ac:dyDescent="0.2">
      <c r="D1168" s="63"/>
      <c r="K1168">
        <v>3</v>
      </c>
      <c r="L1168" s="44">
        <v>6.23000000000002</v>
      </c>
      <c r="M1168">
        <v>7.0442335413929413E-3</v>
      </c>
      <c r="N1168">
        <v>7.4631651557738472</v>
      </c>
      <c r="O1168">
        <v>0</v>
      </c>
      <c r="P1168">
        <v>0</v>
      </c>
      <c r="Q1168">
        <v>1.2091812987287506E-7</v>
      </c>
      <c r="R1168">
        <v>-3.1403503949410389E-7</v>
      </c>
      <c r="T1168" s="60"/>
      <c r="Y1168" s="98"/>
    </row>
    <row r="1169" spans="4:25" x14ac:dyDescent="0.2">
      <c r="D1169" s="63"/>
      <c r="K1169">
        <v>3</v>
      </c>
      <c r="L1169" s="44">
        <v>6.24750000000002</v>
      </c>
      <c r="M1169">
        <v>7.0442335413929413E-3</v>
      </c>
      <c r="N1169">
        <v>7.463288429860822</v>
      </c>
      <c r="O1169">
        <v>0</v>
      </c>
      <c r="P1169">
        <v>0</v>
      </c>
      <c r="Q1169">
        <v>1.1548494448991074E-7</v>
      </c>
      <c r="R1169">
        <v>-3.069004132035814E-7</v>
      </c>
      <c r="T1169" s="60"/>
      <c r="Y1169" s="98"/>
    </row>
    <row r="1170" spans="4:25" x14ac:dyDescent="0.2">
      <c r="D1170" s="63"/>
      <c r="K1170">
        <v>3</v>
      </c>
      <c r="L1170" s="44">
        <v>6.2650000000000201</v>
      </c>
      <c r="M1170">
        <v>7.0442335413929413E-3</v>
      </c>
      <c r="N1170">
        <v>7.4634117039477967</v>
      </c>
      <c r="O1170">
        <v>0</v>
      </c>
      <c r="P1170">
        <v>0</v>
      </c>
      <c r="Q1170">
        <v>1.1017661609818732E-7</v>
      </c>
      <c r="R1170">
        <v>-2.9976566906664127E-7</v>
      </c>
      <c r="T1170" s="60"/>
      <c r="Y1170" s="98"/>
    </row>
    <row r="1171" spans="4:25" x14ac:dyDescent="0.2">
      <c r="D1171" s="63"/>
      <c r="K1171">
        <v>3</v>
      </c>
      <c r="L1171" s="44">
        <v>6.2825000000000202</v>
      </c>
      <c r="M1171">
        <v>7.0442335413929413E-3</v>
      </c>
      <c r="N1171">
        <v>7.4635349780347706</v>
      </c>
      <c r="O1171">
        <v>0</v>
      </c>
      <c r="P1171">
        <v>0</v>
      </c>
      <c r="Q1171">
        <v>1.0499314676001574E-7</v>
      </c>
      <c r="R1171">
        <v>-2.9263080708328352E-7</v>
      </c>
      <c r="T1171" s="60"/>
      <c r="Y1171" s="98"/>
    </row>
    <row r="1172" spans="4:25" x14ac:dyDescent="0.2">
      <c r="D1172" s="63"/>
      <c r="K1172">
        <v>3</v>
      </c>
      <c r="L1172" s="44">
        <v>6.3000000000000203</v>
      </c>
      <c r="M1172">
        <v>7.0442335413929413E-3</v>
      </c>
      <c r="N1172">
        <v>7.4636582521217454</v>
      </c>
      <c r="O1172">
        <v>0</v>
      </c>
      <c r="P1172">
        <v>0</v>
      </c>
      <c r="Q1172">
        <v>9.9934538537710299E-8</v>
      </c>
      <c r="R1172">
        <v>-2.8549582725350797E-7</v>
      </c>
      <c r="T1172" s="60"/>
      <c r="Y1172" s="98"/>
    </row>
    <row r="1173" spans="4:25" x14ac:dyDescent="0.2">
      <c r="D1173" s="63"/>
      <c r="K1173">
        <v>3</v>
      </c>
      <c r="L1173" s="44">
        <v>6.3175000000000203</v>
      </c>
      <c r="M1173">
        <v>7.0442335413929413E-3</v>
      </c>
      <c r="N1173">
        <v>7.4637815262087202</v>
      </c>
      <c r="O1173">
        <v>0</v>
      </c>
      <c r="P1173">
        <v>0</v>
      </c>
      <c r="Q1173">
        <v>9.5000793493581089E-8</v>
      </c>
      <c r="R1173">
        <v>-2.783607295773148E-7</v>
      </c>
      <c r="T1173" s="60"/>
      <c r="Y1173" s="98"/>
    </row>
    <row r="1174" spans="4:25" x14ac:dyDescent="0.2">
      <c r="D1174" s="63"/>
      <c r="K1174">
        <v>3</v>
      </c>
      <c r="L1174" s="44">
        <v>6.3350000000000204</v>
      </c>
      <c r="M1174">
        <v>7.0442335413929413E-3</v>
      </c>
      <c r="N1174">
        <v>7.463904800295694</v>
      </c>
      <c r="O1174">
        <v>0</v>
      </c>
      <c r="P1174">
        <v>0</v>
      </c>
      <c r="Q1174">
        <v>9.0191913689940728E-8</v>
      </c>
      <c r="R1174">
        <v>-2.7122551405470399E-7</v>
      </c>
      <c r="T1174" s="60"/>
      <c r="Y1174" s="98"/>
    </row>
    <row r="1175" spans="4:25" x14ac:dyDescent="0.2">
      <c r="D1175" s="63"/>
      <c r="K1175">
        <v>3</v>
      </c>
      <c r="L1175" s="44">
        <v>6.3525000000000205</v>
      </c>
      <c r="M1175">
        <v>7.0442335413929413E-3</v>
      </c>
      <c r="N1175">
        <v>7.4640280743826679</v>
      </c>
      <c r="O1175">
        <v>0</v>
      </c>
      <c r="P1175">
        <v>0</v>
      </c>
      <c r="Q1175">
        <v>8.5507901189103532E-8</v>
      </c>
      <c r="R1175">
        <v>-2.6409018068567555E-7</v>
      </c>
      <c r="T1175" s="60"/>
      <c r="Y1175" s="98"/>
    </row>
    <row r="1176" spans="4:25" x14ac:dyDescent="0.2">
      <c r="D1176" s="63"/>
      <c r="K1176">
        <v>3</v>
      </c>
      <c r="L1176" s="44">
        <v>6.3700000000000205</v>
      </c>
      <c r="M1176">
        <v>7.0442335413929413E-3</v>
      </c>
      <c r="N1176">
        <v>7.4641513484696427</v>
      </c>
      <c r="O1176">
        <v>0</v>
      </c>
      <c r="P1176">
        <v>0</v>
      </c>
      <c r="Q1176">
        <v>8.0948758053379581E-8</v>
      </c>
      <c r="R1176">
        <v>-2.5695472947022932E-7</v>
      </c>
      <c r="T1176" s="60"/>
      <c r="Y1176" s="98"/>
    </row>
    <row r="1177" spans="4:25" x14ac:dyDescent="0.2">
      <c r="D1177" s="63"/>
      <c r="K1177">
        <v>3</v>
      </c>
      <c r="L1177" s="44">
        <v>6.3875000000000206</v>
      </c>
      <c r="M1177">
        <v>7.0442335413929413E-3</v>
      </c>
      <c r="N1177">
        <v>7.4642746225566174</v>
      </c>
      <c r="O1177">
        <v>0</v>
      </c>
      <c r="P1177">
        <v>0</v>
      </c>
      <c r="Q1177">
        <v>7.651448634508319E-8</v>
      </c>
      <c r="R1177">
        <v>-2.4981916040836546E-7</v>
      </c>
      <c r="T1177" s="60"/>
      <c r="Y1177" s="98"/>
    </row>
    <row r="1178" spans="4:25" x14ac:dyDescent="0.2">
      <c r="D1178" s="63"/>
      <c r="K1178">
        <v>3</v>
      </c>
      <c r="L1178" s="44">
        <v>6.4050000000000207</v>
      </c>
      <c r="M1178">
        <v>7.0442335413929413E-3</v>
      </c>
      <c r="N1178">
        <v>7.4643978966435913</v>
      </c>
      <c r="O1178">
        <v>0</v>
      </c>
      <c r="P1178">
        <v>0</v>
      </c>
      <c r="Q1178">
        <v>7.220508812652444E-8</v>
      </c>
      <c r="R1178">
        <v>-2.426834735000838E-7</v>
      </c>
      <c r="T1178" s="60"/>
      <c r="Y1178" s="98"/>
    </row>
    <row r="1179" spans="4:25" x14ac:dyDescent="0.2">
      <c r="D1179" s="63"/>
      <c r="K1179">
        <v>3</v>
      </c>
      <c r="L1179" s="44">
        <v>6.4225000000000207</v>
      </c>
      <c r="M1179">
        <v>7.0442335413929413E-3</v>
      </c>
      <c r="N1179">
        <v>7.4645211707305652</v>
      </c>
      <c r="O1179">
        <v>0</v>
      </c>
      <c r="P1179">
        <v>0</v>
      </c>
      <c r="Q1179">
        <v>6.8020565460016799E-8</v>
      </c>
      <c r="R1179">
        <v>-2.3554766874538447E-7</v>
      </c>
      <c r="T1179" s="60"/>
      <c r="Y1179" s="98"/>
    </row>
    <row r="1180" spans="4:25" x14ac:dyDescent="0.2">
      <c r="D1180" s="63"/>
      <c r="K1180">
        <v>3</v>
      </c>
      <c r="L1180" s="44">
        <v>6.4400000000000208</v>
      </c>
      <c r="M1180">
        <v>7.0442335413929413E-3</v>
      </c>
      <c r="N1180">
        <v>7.46464444481754</v>
      </c>
      <c r="O1180">
        <v>0</v>
      </c>
      <c r="P1180">
        <v>0</v>
      </c>
      <c r="Q1180">
        <v>6.3960920407873734E-8</v>
      </c>
      <c r="R1180">
        <v>-2.2841174614426755E-7</v>
      </c>
      <c r="T1180" s="60"/>
      <c r="Y1180" s="98"/>
    </row>
    <row r="1181" spans="4:25" x14ac:dyDescent="0.2">
      <c r="D1181" s="63"/>
      <c r="K1181">
        <v>3</v>
      </c>
      <c r="L1181" s="44">
        <v>6.4575000000000209</v>
      </c>
      <c r="M1181">
        <v>7.0442335413929413E-3</v>
      </c>
      <c r="N1181">
        <v>7.4647677189045147</v>
      </c>
      <c r="O1181">
        <v>0</v>
      </c>
      <c r="P1181">
        <v>0</v>
      </c>
      <c r="Q1181">
        <v>6.0026155032405327E-8</v>
      </c>
      <c r="R1181">
        <v>-2.21275705696733E-7</v>
      </c>
      <c r="T1181" s="60"/>
      <c r="Y1181" s="98"/>
    </row>
    <row r="1182" spans="4:25" x14ac:dyDescent="0.2">
      <c r="D1182" s="63"/>
      <c r="K1182">
        <v>3</v>
      </c>
      <c r="L1182" s="44">
        <v>6.475000000000021</v>
      </c>
      <c r="M1182">
        <v>7.0442335413929413E-3</v>
      </c>
      <c r="N1182">
        <v>7.4648909929914886</v>
      </c>
      <c r="O1182">
        <v>0</v>
      </c>
      <c r="P1182">
        <v>0</v>
      </c>
      <c r="Q1182">
        <v>5.6216271395925046E-8</v>
      </c>
      <c r="R1182">
        <v>-2.1413954740278064E-7</v>
      </c>
      <c r="T1182" s="60"/>
      <c r="Y1182" s="98"/>
    </row>
    <row r="1183" spans="4:25" x14ac:dyDescent="0.2">
      <c r="D1183" s="63"/>
      <c r="K1183">
        <v>3</v>
      </c>
      <c r="L1183" s="44">
        <v>6.492500000000021</v>
      </c>
      <c r="M1183">
        <v>7.0442335413929413E-3</v>
      </c>
      <c r="N1183">
        <v>7.4650142670784634</v>
      </c>
      <c r="O1183">
        <v>0</v>
      </c>
      <c r="P1183">
        <v>0</v>
      </c>
      <c r="Q1183">
        <v>5.2531271560745512E-8</v>
      </c>
      <c r="R1183">
        <v>-2.0700327126241085E-7</v>
      </c>
      <c r="T1183" s="60"/>
      <c r="Y1183" s="98"/>
    </row>
    <row r="1184" spans="4:25" x14ac:dyDescent="0.2">
      <c r="D1184" s="63"/>
      <c r="K1184">
        <v>3</v>
      </c>
      <c r="L1184" s="44">
        <v>6.5100000000000211</v>
      </c>
      <c r="M1184">
        <v>7.0442335413929413E-3</v>
      </c>
      <c r="N1184">
        <v>7.4651375411654382</v>
      </c>
      <c r="O1184">
        <v>0</v>
      </c>
      <c r="P1184">
        <v>0</v>
      </c>
      <c r="Q1184">
        <v>4.8971157589177651E-8</v>
      </c>
      <c r="R1184">
        <v>-1.9986687727562307E-7</v>
      </c>
      <c r="T1184" s="60"/>
      <c r="Y1184" s="98"/>
    </row>
    <row r="1185" spans="4:25" x14ac:dyDescent="0.2">
      <c r="D1185" s="63"/>
      <c r="K1185">
        <v>3</v>
      </c>
      <c r="L1185" s="44">
        <v>6.5275000000000212</v>
      </c>
      <c r="M1185">
        <v>7.0442335413929413E-3</v>
      </c>
      <c r="N1185">
        <v>7.465260815252412</v>
      </c>
      <c r="O1185">
        <v>0</v>
      </c>
      <c r="P1185">
        <v>0</v>
      </c>
      <c r="Q1185">
        <v>4.5535931543536628E-8</v>
      </c>
      <c r="R1185">
        <v>-1.9273036544241784E-7</v>
      </c>
      <c r="T1185" s="60"/>
      <c r="Y1185" s="98"/>
    </row>
    <row r="1186" spans="4:25" x14ac:dyDescent="0.2">
      <c r="D1186" s="63"/>
      <c r="K1186">
        <v>3</v>
      </c>
      <c r="L1186" s="44">
        <v>6.5450000000000212</v>
      </c>
      <c r="M1186">
        <v>7.0442335413929413E-3</v>
      </c>
      <c r="N1186">
        <v>7.4653840893393859</v>
      </c>
      <c r="O1186">
        <v>0</v>
      </c>
      <c r="P1186">
        <v>0</v>
      </c>
      <c r="Q1186">
        <v>4.2225595486130827E-8</v>
      </c>
      <c r="R1186">
        <v>-1.8559373576279479E-7</v>
      </c>
      <c r="T1186" s="60"/>
      <c r="Y1186" s="98"/>
    </row>
    <row r="1187" spans="4:25" x14ac:dyDescent="0.2">
      <c r="D1187" s="63"/>
      <c r="K1187">
        <v>3</v>
      </c>
      <c r="L1187" s="44">
        <v>6.5625000000000213</v>
      </c>
      <c r="M1187">
        <v>7.0442335413929413E-3</v>
      </c>
      <c r="N1187">
        <v>7.4655073634263607</v>
      </c>
      <c r="O1187">
        <v>0</v>
      </c>
      <c r="P1187">
        <v>0</v>
      </c>
      <c r="Q1187">
        <v>3.9040151479275411E-8</v>
      </c>
      <c r="R1187">
        <v>-1.7845698823675413E-7</v>
      </c>
      <c r="T1187" s="60"/>
      <c r="Y1187" s="98"/>
    </row>
    <row r="1188" spans="4:25" x14ac:dyDescent="0.2">
      <c r="D1188" s="63"/>
      <c r="K1188">
        <v>3</v>
      </c>
      <c r="L1188" s="44">
        <v>6.5800000000000214</v>
      </c>
      <c r="M1188">
        <v>7.0442335413929413E-3</v>
      </c>
      <c r="N1188">
        <v>7.4656306375133354</v>
      </c>
      <c r="O1188">
        <v>0</v>
      </c>
      <c r="P1188">
        <v>0</v>
      </c>
      <c r="Q1188">
        <v>3.5979601585281308E-8</v>
      </c>
      <c r="R1188">
        <v>-1.7132012286429566E-7</v>
      </c>
      <c r="T1188" s="60"/>
      <c r="Y1188" s="98"/>
    </row>
    <row r="1189" spans="4:25" x14ac:dyDescent="0.2">
      <c r="D1189" s="63"/>
      <c r="K1189">
        <v>3</v>
      </c>
      <c r="L1189" s="44">
        <v>6.5975000000000215</v>
      </c>
      <c r="M1189">
        <v>7.0442335413929413E-3</v>
      </c>
      <c r="N1189">
        <v>7.4657539116003093</v>
      </c>
      <c r="O1189">
        <v>0</v>
      </c>
      <c r="P1189">
        <v>0</v>
      </c>
      <c r="Q1189">
        <v>3.3043947866461985E-8</v>
      </c>
      <c r="R1189">
        <v>-1.6418313964541977E-7</v>
      </c>
      <c r="T1189" s="60"/>
      <c r="Y1189" s="98"/>
    </row>
    <row r="1190" spans="4:25" x14ac:dyDescent="0.2">
      <c r="D1190" s="63"/>
      <c r="K1190">
        <v>3</v>
      </c>
      <c r="L1190" s="44">
        <v>6.6150000000000215</v>
      </c>
      <c r="M1190">
        <v>7.0442335413929413E-3</v>
      </c>
      <c r="N1190">
        <v>7.4658771856872841</v>
      </c>
      <c r="O1190">
        <v>0</v>
      </c>
      <c r="P1190">
        <v>0</v>
      </c>
      <c r="Q1190">
        <v>3.0233192385130064E-8</v>
      </c>
      <c r="R1190">
        <v>-1.5704603858012585E-7</v>
      </c>
      <c r="T1190" s="60"/>
      <c r="Y1190" s="98"/>
    </row>
    <row r="1191" spans="4:25" x14ac:dyDescent="0.2">
      <c r="D1191" s="63"/>
      <c r="K1191">
        <v>3</v>
      </c>
      <c r="L1191" s="44">
        <v>6.6325000000000216</v>
      </c>
      <c r="M1191">
        <v>7.0442335413929413E-3</v>
      </c>
      <c r="N1191">
        <v>7.4660004597742589</v>
      </c>
      <c r="O1191">
        <v>0</v>
      </c>
      <c r="P1191">
        <v>0</v>
      </c>
      <c r="Q1191">
        <v>2.7547337203595625E-8</v>
      </c>
      <c r="R1191">
        <v>-1.499088196684145E-7</v>
      </c>
      <c r="T1191" s="60"/>
      <c r="Y1191" s="98"/>
    </row>
    <row r="1192" spans="4:25" x14ac:dyDescent="0.2">
      <c r="D1192" s="63"/>
      <c r="K1192">
        <v>3</v>
      </c>
      <c r="L1192" s="44">
        <v>6.6500000000000217</v>
      </c>
      <c r="M1192">
        <v>7.0442335413929413E-3</v>
      </c>
      <c r="N1192">
        <v>7.4661237338612327</v>
      </c>
      <c r="O1192">
        <v>0</v>
      </c>
      <c r="P1192">
        <v>0</v>
      </c>
      <c r="Q1192">
        <v>2.4986384384172137E-8</v>
      </c>
      <c r="R1192">
        <v>-1.4277148291028535E-7</v>
      </c>
      <c r="T1192" s="60"/>
      <c r="Y1192" s="98"/>
    </row>
    <row r="1193" spans="4:25" x14ac:dyDescent="0.2">
      <c r="D1193" s="63"/>
      <c r="K1193">
        <v>3</v>
      </c>
      <c r="L1193" s="44">
        <v>6.6675000000000217</v>
      </c>
      <c r="M1193">
        <v>7.0442335413929413E-3</v>
      </c>
      <c r="N1193">
        <v>7.4662470079482066</v>
      </c>
      <c r="O1193">
        <v>0</v>
      </c>
      <c r="P1193">
        <v>0</v>
      </c>
      <c r="Q1193">
        <v>2.2550335989173067E-8</v>
      </c>
      <c r="R1193">
        <v>-1.3563402830573858E-7</v>
      </c>
      <c r="T1193" s="60"/>
      <c r="Y1193" s="98"/>
    </row>
    <row r="1194" spans="4:25" x14ac:dyDescent="0.2">
      <c r="D1194" s="63"/>
      <c r="K1194">
        <v>3</v>
      </c>
      <c r="L1194" s="44">
        <v>6.6850000000000218</v>
      </c>
      <c r="M1194">
        <v>7.0442335413929413E-3</v>
      </c>
      <c r="N1194">
        <v>7.4663702820351814</v>
      </c>
      <c r="O1194">
        <v>0</v>
      </c>
      <c r="P1194">
        <v>0</v>
      </c>
      <c r="Q1194">
        <v>2.0239194080909344E-8</v>
      </c>
      <c r="R1194">
        <v>-1.2849645585477419E-7</v>
      </c>
      <c r="T1194" s="60"/>
      <c r="Y1194" s="98"/>
    </row>
    <row r="1195" spans="4:25" x14ac:dyDescent="0.2">
      <c r="D1195" s="63"/>
      <c r="K1195">
        <v>3</v>
      </c>
      <c r="L1195" s="44">
        <v>6.7025000000000219</v>
      </c>
      <c r="M1195">
        <v>7.0442335413929413E-3</v>
      </c>
      <c r="N1195">
        <v>7.4664935561221561</v>
      </c>
      <c r="O1195">
        <v>0</v>
      </c>
      <c r="P1195">
        <v>0</v>
      </c>
      <c r="Q1195">
        <v>1.8052960721692741E-8</v>
      </c>
      <c r="R1195">
        <v>-1.2135876555739216E-7</v>
      </c>
      <c r="T1195" s="60"/>
      <c r="Y1195" s="98"/>
    </row>
    <row r="1196" spans="4:25" x14ac:dyDescent="0.2">
      <c r="D1196" s="63"/>
      <c r="K1196">
        <v>3</v>
      </c>
      <c r="L1196" s="44">
        <v>6.720000000000022</v>
      </c>
      <c r="M1196">
        <v>7.0442335413929413E-3</v>
      </c>
      <c r="N1196">
        <v>7.46661683020913</v>
      </c>
      <c r="O1196">
        <v>0</v>
      </c>
      <c r="P1196">
        <v>0</v>
      </c>
      <c r="Q1196">
        <v>1.5991637973837573E-8</v>
      </c>
      <c r="R1196">
        <v>-1.1422095741359233E-7</v>
      </c>
      <c r="T1196" s="60"/>
      <c r="Y1196" s="98"/>
    </row>
    <row r="1197" spans="4:25" x14ac:dyDescent="0.2">
      <c r="D1197" s="63"/>
      <c r="K1197">
        <v>3</v>
      </c>
      <c r="L1197" s="44">
        <v>6.737500000000022</v>
      </c>
      <c r="M1197">
        <v>7.0442335413929413E-3</v>
      </c>
      <c r="N1197">
        <v>7.4667401042961048</v>
      </c>
      <c r="O1197">
        <v>0</v>
      </c>
      <c r="P1197">
        <v>0</v>
      </c>
      <c r="Q1197">
        <v>1.4055227899653922E-8</v>
      </c>
      <c r="R1197">
        <v>-1.0708303142337489E-7</v>
      </c>
      <c r="T1197" s="60"/>
      <c r="Y1197" s="98"/>
    </row>
    <row r="1198" spans="4:25" x14ac:dyDescent="0.2">
      <c r="D1198" s="63"/>
      <c r="K1198">
        <v>3</v>
      </c>
      <c r="L1198" s="44">
        <v>6.7550000000000221</v>
      </c>
      <c r="M1198">
        <v>7.0442335413929413E-3</v>
      </c>
      <c r="N1198">
        <v>7.4668633783830796</v>
      </c>
      <c r="O1198">
        <v>0</v>
      </c>
      <c r="P1198">
        <v>0</v>
      </c>
      <c r="Q1198">
        <v>1.2243732561456101E-8</v>
      </c>
      <c r="R1198">
        <v>-9.9944987586739622E-8</v>
      </c>
      <c r="T1198" s="60"/>
      <c r="Y1198" s="98"/>
    </row>
    <row r="1199" spans="4:25" x14ac:dyDescent="0.2">
      <c r="D1199" s="63"/>
      <c r="K1199">
        <v>3</v>
      </c>
      <c r="L1199" s="44">
        <v>6.7725000000000222</v>
      </c>
      <c r="M1199">
        <v>7.0442335413929413E-3</v>
      </c>
      <c r="N1199">
        <v>7.4669866524700534</v>
      </c>
      <c r="O1199">
        <v>0</v>
      </c>
      <c r="P1199">
        <v>0</v>
      </c>
      <c r="Q1199">
        <v>1.0557154021555039E-8</v>
      </c>
      <c r="R1199">
        <v>-9.2806825903686725E-8</v>
      </c>
      <c r="T1199" s="60"/>
      <c r="Y1199" s="98"/>
    </row>
    <row r="1200" spans="4:25" x14ac:dyDescent="0.2">
      <c r="D1200" s="63"/>
      <c r="K1200">
        <v>3</v>
      </c>
      <c r="L1200" s="44">
        <v>6.7900000000000222</v>
      </c>
      <c r="M1200">
        <v>7.0442335413929413E-3</v>
      </c>
      <c r="N1200">
        <v>7.4671099265570273</v>
      </c>
      <c r="O1200">
        <v>0</v>
      </c>
      <c r="P1200">
        <v>0</v>
      </c>
      <c r="Q1200">
        <v>8.9954943422642037E-9</v>
      </c>
      <c r="R1200">
        <v>-8.566854637421621E-8</v>
      </c>
      <c r="T1200" s="60"/>
      <c r="Y1200" s="98"/>
    </row>
    <row r="1201" spans="4:25" x14ac:dyDescent="0.2">
      <c r="D1201" s="63"/>
      <c r="K1201">
        <v>3</v>
      </c>
      <c r="L1201" s="44">
        <v>6.8075000000000223</v>
      </c>
      <c r="M1201">
        <v>7.0442335413929413E-3</v>
      </c>
      <c r="N1201">
        <v>7.4672332006440021</v>
      </c>
      <c r="O1201">
        <v>0</v>
      </c>
      <c r="P1201">
        <v>0</v>
      </c>
      <c r="Q1201">
        <v>7.5587555858953694E-9</v>
      </c>
      <c r="R1201">
        <v>-7.8530148998328076E-8</v>
      </c>
      <c r="T1201" s="60"/>
      <c r="Y1201" s="98"/>
    </row>
    <row r="1202" spans="4:25" x14ac:dyDescent="0.2">
      <c r="D1202" s="63"/>
      <c r="K1202">
        <v>3</v>
      </c>
      <c r="L1202" s="44">
        <v>6.8250000000000224</v>
      </c>
      <c r="M1202">
        <v>7.0442335413929413E-3</v>
      </c>
      <c r="N1202">
        <v>7.4673564747309769</v>
      </c>
      <c r="O1202">
        <v>0</v>
      </c>
      <c r="P1202">
        <v>0</v>
      </c>
      <c r="Q1202">
        <v>6.2469398147603104E-9</v>
      </c>
      <c r="R1202">
        <v>-7.1391633776022126E-8</v>
      </c>
      <c r="T1202" s="60"/>
      <c r="Y1202" s="98"/>
    </row>
    <row r="1203" spans="4:25" x14ac:dyDescent="0.2">
      <c r="D1203" s="63"/>
      <c r="K1203">
        <v>3</v>
      </c>
      <c r="L1203" s="44">
        <v>6.8425000000000225</v>
      </c>
      <c r="M1203">
        <v>7.0442335413929413E-3</v>
      </c>
      <c r="N1203">
        <v>7.4674797488179507</v>
      </c>
      <c r="O1203">
        <v>0</v>
      </c>
      <c r="P1203">
        <v>0</v>
      </c>
      <c r="Q1203">
        <v>5.060049091172495E-9</v>
      </c>
      <c r="R1203">
        <v>-6.4253000707298557E-8</v>
      </c>
      <c r="T1203" s="60"/>
      <c r="Y1203" s="98"/>
    </row>
    <row r="1204" spans="4:25" x14ac:dyDescent="0.2">
      <c r="D1204" s="63"/>
      <c r="K1204">
        <v>3</v>
      </c>
      <c r="L1204" s="44">
        <v>6.8600000000000225</v>
      </c>
      <c r="M1204">
        <v>7.0442335413929413E-3</v>
      </c>
      <c r="N1204">
        <v>7.4676030229049246</v>
      </c>
      <c r="O1204">
        <v>0</v>
      </c>
      <c r="P1204">
        <v>0</v>
      </c>
      <c r="Q1204">
        <v>3.9980854774428505E-9</v>
      </c>
      <c r="R1204">
        <v>-5.711424979215737E-8</v>
      </c>
      <c r="T1204" s="60"/>
      <c r="Y1204" s="98"/>
    </row>
    <row r="1205" spans="4:25" x14ac:dyDescent="0.2">
      <c r="D1205" s="63"/>
      <c r="K1205">
        <v>3</v>
      </c>
      <c r="L1205" s="44">
        <v>6.8775000000000226</v>
      </c>
      <c r="M1205">
        <v>7.0442335413929413E-3</v>
      </c>
      <c r="N1205">
        <v>7.4677262969919003</v>
      </c>
      <c r="O1205">
        <v>0</v>
      </c>
      <c r="P1205">
        <v>0</v>
      </c>
      <c r="Q1205">
        <v>3.061051035883998E-9</v>
      </c>
      <c r="R1205">
        <v>-4.9975381030598365E-8</v>
      </c>
      <c r="T1205" s="60"/>
      <c r="Y1205" s="98"/>
    </row>
    <row r="1206" spans="4:25" x14ac:dyDescent="0.2">
      <c r="D1206" s="63"/>
      <c r="K1206">
        <v>3</v>
      </c>
      <c r="L1206" s="44">
        <v>6.8950000000000227</v>
      </c>
      <c r="M1206">
        <v>7.0442335413929413E-3</v>
      </c>
      <c r="N1206">
        <v>7.4678495710788741</v>
      </c>
      <c r="O1206">
        <v>0</v>
      </c>
      <c r="P1206">
        <v>0</v>
      </c>
      <c r="Q1206">
        <v>2.2489478288094061E-9</v>
      </c>
      <c r="R1206">
        <v>-4.2836394422621736E-8</v>
      </c>
      <c r="T1206" s="60"/>
      <c r="Y1206" s="98"/>
    </row>
    <row r="1207" spans="4:25" x14ac:dyDescent="0.2">
      <c r="D1207" s="63"/>
      <c r="K1207">
        <v>3</v>
      </c>
      <c r="L1207" s="44">
        <v>6.9125000000000227</v>
      </c>
      <c r="M1207">
        <v>7.0442335413929413E-3</v>
      </c>
      <c r="N1207">
        <v>7.467972845165848</v>
      </c>
      <c r="O1207">
        <v>0</v>
      </c>
      <c r="P1207">
        <v>0</v>
      </c>
      <c r="Q1207">
        <v>1.5617779185300018E-9</v>
      </c>
      <c r="R1207">
        <v>-3.5697289968227488E-8</v>
      </c>
      <c r="T1207" s="60"/>
      <c r="Y1207" s="98"/>
    </row>
    <row r="1208" spans="4:25" x14ac:dyDescent="0.2">
      <c r="D1208" s="63"/>
      <c r="K1208">
        <v>3</v>
      </c>
      <c r="L1208" s="44">
        <v>6.9300000000000228</v>
      </c>
      <c r="M1208">
        <v>7.0442335413929413E-3</v>
      </c>
      <c r="N1208">
        <v>7.4680961192528228</v>
      </c>
      <c r="O1208">
        <v>0</v>
      </c>
      <c r="P1208">
        <v>0</v>
      </c>
      <c r="Q1208">
        <v>9.9954336735840653E-10</v>
      </c>
      <c r="R1208">
        <v>-2.8558067667415612E-8</v>
      </c>
      <c r="T1208" s="60"/>
      <c r="Y1208" s="98"/>
    </row>
    <row r="1209" spans="4:25" x14ac:dyDescent="0.2">
      <c r="D1209" s="63"/>
      <c r="K1209">
        <v>3</v>
      </c>
      <c r="L1209" s="44">
        <v>6.9475000000000229</v>
      </c>
      <c r="M1209">
        <v>7.0442335413929413E-3</v>
      </c>
      <c r="N1209">
        <v>7.4682193933397976</v>
      </c>
      <c r="O1209">
        <v>0</v>
      </c>
      <c r="P1209">
        <v>0</v>
      </c>
      <c r="Q1209">
        <v>5.6224623760808856E-10</v>
      </c>
      <c r="R1209">
        <v>-2.1418727520185926E-8</v>
      </c>
      <c r="T1209" s="60"/>
      <c r="Y1209" s="98"/>
    </row>
    <row r="1210" spans="4:25" x14ac:dyDescent="0.2">
      <c r="D1210" s="63"/>
      <c r="K1210">
        <v>3</v>
      </c>
      <c r="L1210" s="44">
        <v>6.965000000000023</v>
      </c>
      <c r="M1210">
        <v>7.0442335413929413E-3</v>
      </c>
      <c r="N1210">
        <v>7.4683426674267714</v>
      </c>
      <c r="O1210">
        <v>0</v>
      </c>
      <c r="P1210">
        <v>0</v>
      </c>
      <c r="Q1210">
        <v>2.4988859158912808E-10</v>
      </c>
      <c r="R1210">
        <v>-1.4279269526538617E-8</v>
      </c>
      <c r="T1210" s="60"/>
      <c r="Y1210" s="98"/>
    </row>
    <row r="1211" spans="4:25" x14ac:dyDescent="0.2">
      <c r="D1211" s="63"/>
      <c r="K1211">
        <v>3</v>
      </c>
      <c r="L1211" s="44">
        <v>6.982500000000023</v>
      </c>
      <c r="M1211">
        <v>7.0442335413929413E-3</v>
      </c>
      <c r="N1211">
        <v>7.4684659415137453</v>
      </c>
      <c r="O1211">
        <v>0</v>
      </c>
      <c r="P1211">
        <v>0</v>
      </c>
      <c r="Q1211">
        <v>6.2472491616687512E-11</v>
      </c>
      <c r="R1211">
        <v>-7.139693686473494E-9</v>
      </c>
      <c r="T1211" s="60"/>
      <c r="Y1211" s="98"/>
    </row>
    <row r="1212" spans="4:25" x14ac:dyDescent="0.2">
      <c r="D1212" s="63"/>
      <c r="K1212">
        <v>3</v>
      </c>
      <c r="L1212" s="44">
        <v>7.0000000000000231</v>
      </c>
      <c r="M1212">
        <v>7.0442335413929413E-3</v>
      </c>
      <c r="N1212">
        <v>7.4685892156007201</v>
      </c>
      <c r="O1212">
        <v>0</v>
      </c>
      <c r="P1212">
        <v>0</v>
      </c>
      <c r="Q1212">
        <v>0</v>
      </c>
      <c r="R1212">
        <v>-2.5789911505673554E-22</v>
      </c>
      <c r="T1212" s="60"/>
      <c r="Y1212" s="98"/>
    </row>
    <row r="1213" spans="4:25" x14ac:dyDescent="0.2">
      <c r="D1213" s="63"/>
      <c r="L1213" s="44"/>
      <c r="T1213" s="60"/>
      <c r="Y1213" s="98"/>
    </row>
    <row r="1214" spans="4:25" x14ac:dyDescent="0.2">
      <c r="D1214" s="63"/>
      <c r="L1214" s="44"/>
      <c r="T1214" s="60"/>
      <c r="Y1214" s="98"/>
    </row>
    <row r="1215" spans="4:25" x14ac:dyDescent="0.2">
      <c r="D1215" s="63"/>
      <c r="L1215" s="44"/>
      <c r="T1215" s="60"/>
      <c r="Y1215" s="98"/>
    </row>
    <row r="1216" spans="4:25" x14ac:dyDescent="0.2">
      <c r="D1216" s="63"/>
      <c r="L1216" s="44"/>
      <c r="T1216" s="60"/>
      <c r="Y1216" s="98"/>
    </row>
    <row r="1217" spans="4:25" x14ac:dyDescent="0.2">
      <c r="D1217" s="63"/>
      <c r="L1217" s="44"/>
      <c r="T1217" s="60"/>
      <c r="Y1217" s="98"/>
    </row>
    <row r="1218" spans="4:25" x14ac:dyDescent="0.2">
      <c r="D1218" s="63"/>
      <c r="L1218" s="44"/>
      <c r="T1218" s="60"/>
      <c r="Y1218" s="98"/>
    </row>
    <row r="1219" spans="4:25" x14ac:dyDescent="0.2">
      <c r="D1219" s="63"/>
      <c r="L1219" s="44"/>
      <c r="T1219" s="60"/>
      <c r="Y1219" s="98"/>
    </row>
    <row r="1220" spans="4:25" x14ac:dyDescent="0.2">
      <c r="I1220" s="60"/>
      <c r="L1220" s="44"/>
      <c r="Y1220" s="98"/>
    </row>
    <row r="1221" spans="4:25" x14ac:dyDescent="0.2">
      <c r="I1221" s="60"/>
      <c r="L1221" s="44"/>
      <c r="Y1221" s="98"/>
    </row>
    <row r="1222" spans="4:25" x14ac:dyDescent="0.2">
      <c r="I1222" s="60"/>
      <c r="L1222" s="44"/>
    </row>
    <row r="1223" spans="4:25" x14ac:dyDescent="0.2">
      <c r="I1223" s="60"/>
      <c r="L1223" s="44"/>
    </row>
    <row r="1224" spans="4:25" x14ac:dyDescent="0.2">
      <c r="I1224" s="60"/>
      <c r="L1224" s="44"/>
    </row>
    <row r="1225" spans="4:25" x14ac:dyDescent="0.2">
      <c r="I1225" s="60"/>
      <c r="L1225" s="44"/>
    </row>
    <row r="1226" spans="4:25" x14ac:dyDescent="0.2">
      <c r="I1226" s="60"/>
      <c r="L1226" s="44"/>
    </row>
    <row r="1227" spans="4:25" x14ac:dyDescent="0.2">
      <c r="I1227" s="60"/>
      <c r="L1227" s="44"/>
    </row>
    <row r="1228" spans="4:25" x14ac:dyDescent="0.2">
      <c r="I1228" s="60"/>
      <c r="L1228" s="44"/>
    </row>
    <row r="1229" spans="4:25" x14ac:dyDescent="0.2">
      <c r="I1229" s="60"/>
      <c r="L1229" s="44"/>
    </row>
    <row r="1230" spans="4:25" x14ac:dyDescent="0.2">
      <c r="I1230" s="60"/>
      <c r="L1230" s="44"/>
    </row>
    <row r="1231" spans="4:25" x14ac:dyDescent="0.2">
      <c r="I1231" s="60"/>
      <c r="L1231" s="44"/>
    </row>
    <row r="1232" spans="4:25" x14ac:dyDescent="0.2">
      <c r="I1232" s="60"/>
      <c r="L1232" s="44"/>
    </row>
    <row r="1233" spans="9:12" x14ac:dyDescent="0.2">
      <c r="I1233" s="60"/>
      <c r="L1233" s="44"/>
    </row>
    <row r="1234" spans="9:12" x14ac:dyDescent="0.2">
      <c r="I1234" s="60"/>
      <c r="L1234" s="44"/>
    </row>
    <row r="1235" spans="9:12" x14ac:dyDescent="0.2">
      <c r="I1235" s="60"/>
      <c r="L1235" s="44"/>
    </row>
    <row r="1236" spans="9:12" x14ac:dyDescent="0.2">
      <c r="I1236" s="60"/>
      <c r="L1236" s="44"/>
    </row>
    <row r="1237" spans="9:12" x14ac:dyDescent="0.2">
      <c r="I1237" s="60"/>
      <c r="L1237" s="44"/>
    </row>
    <row r="1238" spans="9:12" x14ac:dyDescent="0.2">
      <c r="I1238" s="60"/>
      <c r="L1238" s="44"/>
    </row>
    <row r="1239" spans="9:12" x14ac:dyDescent="0.2">
      <c r="I1239" s="60"/>
      <c r="L1239" s="44"/>
    </row>
    <row r="1240" spans="9:12" x14ac:dyDescent="0.2">
      <c r="I1240" s="60"/>
      <c r="L1240" s="44"/>
    </row>
    <row r="1241" spans="9:12" x14ac:dyDescent="0.2">
      <c r="I1241" s="60"/>
      <c r="L1241" s="44"/>
    </row>
    <row r="1242" spans="9:12" x14ac:dyDescent="0.2">
      <c r="I1242" s="60"/>
      <c r="L1242" s="44"/>
    </row>
    <row r="1243" spans="9:12" x14ac:dyDescent="0.2">
      <c r="I1243" s="60"/>
      <c r="L1243" s="44"/>
    </row>
    <row r="1244" spans="9:12" x14ac:dyDescent="0.2">
      <c r="I1244" s="60"/>
      <c r="L1244" s="44"/>
    </row>
    <row r="1245" spans="9:12" x14ac:dyDescent="0.2">
      <c r="I1245" s="60"/>
      <c r="L1245" s="44"/>
    </row>
    <row r="1246" spans="9:12" x14ac:dyDescent="0.2">
      <c r="I1246" s="60"/>
      <c r="L1246" s="44"/>
    </row>
    <row r="1247" spans="9:12" x14ac:dyDescent="0.2">
      <c r="I1247" s="60"/>
      <c r="L1247" s="44"/>
    </row>
    <row r="1248" spans="9:12" x14ac:dyDescent="0.2">
      <c r="I1248" s="60"/>
      <c r="L1248" s="44"/>
    </row>
    <row r="1249" spans="9:12" x14ac:dyDescent="0.2">
      <c r="I1249" s="60"/>
      <c r="L1249" s="44"/>
    </row>
    <row r="1250" spans="9:12" x14ac:dyDescent="0.2">
      <c r="I1250" s="60"/>
      <c r="L1250" s="44"/>
    </row>
    <row r="1251" spans="9:12" x14ac:dyDescent="0.2">
      <c r="I1251" s="60"/>
      <c r="L1251" s="44"/>
    </row>
    <row r="1252" spans="9:12" x14ac:dyDescent="0.2">
      <c r="I1252" s="60"/>
      <c r="L1252" s="44"/>
    </row>
    <row r="1253" spans="9:12" x14ac:dyDescent="0.2">
      <c r="I1253" s="60"/>
      <c r="L1253" s="44"/>
    </row>
    <row r="1254" spans="9:12" x14ac:dyDescent="0.2">
      <c r="I1254" s="60"/>
      <c r="L1254" s="44"/>
    </row>
    <row r="1255" spans="9:12" x14ac:dyDescent="0.2">
      <c r="I1255" s="60"/>
      <c r="L1255" s="44"/>
    </row>
    <row r="1256" spans="9:12" x14ac:dyDescent="0.2">
      <c r="I1256" s="60"/>
      <c r="L1256" s="44"/>
    </row>
    <row r="1257" spans="9:12" x14ac:dyDescent="0.2">
      <c r="I1257" s="60"/>
      <c r="L1257" s="44"/>
    </row>
    <row r="1258" spans="9:12" x14ac:dyDescent="0.2">
      <c r="I1258" s="60"/>
      <c r="L1258" s="44"/>
    </row>
    <row r="1259" spans="9:12" x14ac:dyDescent="0.2">
      <c r="I1259" s="60"/>
      <c r="L1259" s="44"/>
    </row>
    <row r="1260" spans="9:12" x14ac:dyDescent="0.2">
      <c r="I1260" s="60"/>
      <c r="L1260" s="44"/>
    </row>
    <row r="1261" spans="9:12" x14ac:dyDescent="0.2">
      <c r="I1261" s="60"/>
      <c r="L1261" s="44"/>
    </row>
    <row r="1262" spans="9:12" x14ac:dyDescent="0.2">
      <c r="I1262" s="60"/>
      <c r="L1262" s="44"/>
    </row>
    <row r="1263" spans="9:12" x14ac:dyDescent="0.2">
      <c r="I1263" s="60"/>
      <c r="L1263" s="44"/>
    </row>
    <row r="1264" spans="9:12" x14ac:dyDescent="0.2">
      <c r="I1264" s="60"/>
      <c r="L1264" s="44"/>
    </row>
    <row r="1265" spans="9:12" x14ac:dyDescent="0.2">
      <c r="I1265" s="60"/>
      <c r="L1265" s="44"/>
    </row>
    <row r="1266" spans="9:12" x14ac:dyDescent="0.2">
      <c r="I1266" s="60"/>
      <c r="L1266" s="44"/>
    </row>
    <row r="1267" spans="9:12" x14ac:dyDescent="0.2">
      <c r="I1267" s="60"/>
      <c r="L1267" s="44"/>
    </row>
    <row r="1268" spans="9:12" x14ac:dyDescent="0.2">
      <c r="I1268" s="60"/>
      <c r="L1268" s="44"/>
    </row>
    <row r="1269" spans="9:12" x14ac:dyDescent="0.2">
      <c r="I1269" s="60"/>
      <c r="L1269" s="44"/>
    </row>
    <row r="1270" spans="9:12" x14ac:dyDescent="0.2">
      <c r="I1270" s="60"/>
      <c r="L1270" s="44"/>
    </row>
    <row r="1271" spans="9:12" x14ac:dyDescent="0.2">
      <c r="I1271" s="60"/>
      <c r="L1271" s="44"/>
    </row>
    <row r="1272" spans="9:12" x14ac:dyDescent="0.2">
      <c r="I1272" s="60"/>
      <c r="L1272" s="44"/>
    </row>
    <row r="1273" spans="9:12" x14ac:dyDescent="0.2">
      <c r="I1273" s="60"/>
      <c r="L1273" s="44"/>
    </row>
    <row r="1274" spans="9:12" x14ac:dyDescent="0.2">
      <c r="I1274" s="60"/>
      <c r="L1274" s="44"/>
    </row>
    <row r="1275" spans="9:12" x14ac:dyDescent="0.2">
      <c r="I1275" s="60"/>
      <c r="L1275" s="44"/>
    </row>
    <row r="1276" spans="9:12" x14ac:dyDescent="0.2">
      <c r="I1276" s="60"/>
      <c r="L1276" s="44"/>
    </row>
    <row r="1277" spans="9:12" x14ac:dyDescent="0.2">
      <c r="I1277" s="60"/>
      <c r="L1277" s="44"/>
    </row>
    <row r="1278" spans="9:12" x14ac:dyDescent="0.2">
      <c r="I1278" s="60"/>
      <c r="L1278" s="44"/>
    </row>
    <row r="1279" spans="9:12" x14ac:dyDescent="0.2">
      <c r="I1279" s="60"/>
      <c r="L1279" s="44"/>
    </row>
    <row r="1280" spans="9:12" x14ac:dyDescent="0.2">
      <c r="I1280" s="60"/>
      <c r="L1280" s="44"/>
    </row>
    <row r="1281" spans="9:12" x14ac:dyDescent="0.2">
      <c r="I1281" s="60"/>
      <c r="L1281" s="44"/>
    </row>
    <row r="1282" spans="9:12" x14ac:dyDescent="0.2">
      <c r="I1282" s="60"/>
      <c r="L1282" s="44"/>
    </row>
    <row r="1283" spans="9:12" x14ac:dyDescent="0.2">
      <c r="I1283" s="60"/>
      <c r="L1283" s="44"/>
    </row>
    <row r="1284" spans="9:12" x14ac:dyDescent="0.2">
      <c r="I1284" s="60"/>
      <c r="L1284" s="44"/>
    </row>
    <row r="1285" spans="9:12" x14ac:dyDescent="0.2">
      <c r="I1285" s="60"/>
      <c r="L1285" s="44"/>
    </row>
    <row r="1286" spans="9:12" x14ac:dyDescent="0.2">
      <c r="I1286" s="60"/>
      <c r="L1286" s="44"/>
    </row>
    <row r="1287" spans="9:12" x14ac:dyDescent="0.2">
      <c r="I1287" s="60"/>
      <c r="L1287" s="44"/>
    </row>
    <row r="1288" spans="9:12" x14ac:dyDescent="0.2">
      <c r="I1288" s="60"/>
      <c r="L1288" s="44"/>
    </row>
    <row r="1289" spans="9:12" x14ac:dyDescent="0.2">
      <c r="I1289" s="60"/>
      <c r="L1289" s="44"/>
    </row>
    <row r="1290" spans="9:12" x14ac:dyDescent="0.2">
      <c r="I1290" s="60"/>
      <c r="L1290" s="44"/>
    </row>
    <row r="1291" spans="9:12" x14ac:dyDescent="0.2">
      <c r="I1291" s="60"/>
      <c r="L1291" s="44"/>
    </row>
    <row r="1292" spans="9:12" x14ac:dyDescent="0.2">
      <c r="I1292" s="60"/>
      <c r="L1292" s="44"/>
    </row>
    <row r="1293" spans="9:12" x14ac:dyDescent="0.2">
      <c r="I1293" s="60"/>
      <c r="L1293" s="44"/>
    </row>
    <row r="1294" spans="9:12" x14ac:dyDescent="0.2">
      <c r="I1294" s="60"/>
      <c r="L1294" s="44"/>
    </row>
    <row r="1295" spans="9:12" x14ac:dyDescent="0.2">
      <c r="I1295" s="60"/>
      <c r="L1295" s="44"/>
    </row>
    <row r="1296" spans="9:12" x14ac:dyDescent="0.2">
      <c r="I1296" s="60"/>
      <c r="L1296" s="44"/>
    </row>
    <row r="1297" spans="9:12" x14ac:dyDescent="0.2">
      <c r="I1297" s="60"/>
      <c r="L1297" s="44"/>
    </row>
    <row r="1298" spans="9:12" x14ac:dyDescent="0.2">
      <c r="I1298" s="60"/>
      <c r="L1298" s="44"/>
    </row>
    <row r="1299" spans="9:12" x14ac:dyDescent="0.2">
      <c r="I1299" s="60"/>
      <c r="L1299" s="44"/>
    </row>
    <row r="1300" spans="9:12" x14ac:dyDescent="0.2">
      <c r="I1300" s="60"/>
      <c r="L1300" s="44"/>
    </row>
    <row r="1301" spans="9:12" x14ac:dyDescent="0.2">
      <c r="I1301" s="60"/>
      <c r="L1301" s="44"/>
    </row>
    <row r="1302" spans="9:12" x14ac:dyDescent="0.2">
      <c r="I1302" s="60"/>
      <c r="L1302" s="44"/>
    </row>
    <row r="1303" spans="9:12" x14ac:dyDescent="0.2">
      <c r="I1303" s="60"/>
      <c r="L1303" s="44"/>
    </row>
    <row r="1304" spans="9:12" x14ac:dyDescent="0.2">
      <c r="I1304" s="60"/>
      <c r="L1304" s="44"/>
    </row>
    <row r="1305" spans="9:12" x14ac:dyDescent="0.2">
      <c r="I1305" s="60"/>
      <c r="L1305" s="44"/>
    </row>
    <row r="1306" spans="9:12" x14ac:dyDescent="0.2">
      <c r="I1306" s="60"/>
      <c r="L1306" s="44"/>
    </row>
    <row r="1307" spans="9:12" x14ac:dyDescent="0.2">
      <c r="I1307" s="60"/>
      <c r="L1307" s="44"/>
    </row>
    <row r="1308" spans="9:12" x14ac:dyDescent="0.2">
      <c r="I1308" s="60"/>
      <c r="L1308" s="44"/>
    </row>
    <row r="1309" spans="9:12" x14ac:dyDescent="0.2">
      <c r="I1309" s="60"/>
      <c r="L1309" s="44"/>
    </row>
    <row r="1310" spans="9:12" x14ac:dyDescent="0.2">
      <c r="I1310" s="60"/>
      <c r="L1310" s="44"/>
    </row>
    <row r="1311" spans="9:12" x14ac:dyDescent="0.2">
      <c r="I1311" s="60"/>
      <c r="L1311" s="44"/>
    </row>
    <row r="1312" spans="9:12" x14ac:dyDescent="0.2">
      <c r="I1312" s="60"/>
      <c r="L1312" s="44"/>
    </row>
    <row r="1313" spans="9:12" x14ac:dyDescent="0.2">
      <c r="I1313" s="60"/>
      <c r="L1313" s="44"/>
    </row>
    <row r="1314" spans="9:12" x14ac:dyDescent="0.2">
      <c r="I1314" s="60"/>
      <c r="L1314" s="44"/>
    </row>
    <row r="1315" spans="9:12" x14ac:dyDescent="0.2">
      <c r="I1315" s="60"/>
      <c r="L1315" s="44"/>
    </row>
    <row r="1316" spans="9:12" x14ac:dyDescent="0.2">
      <c r="I1316" s="60"/>
      <c r="L1316" s="44"/>
    </row>
    <row r="1317" spans="9:12" x14ac:dyDescent="0.2">
      <c r="I1317" s="60"/>
      <c r="L1317" s="44"/>
    </row>
    <row r="1318" spans="9:12" x14ac:dyDescent="0.2">
      <c r="I1318" s="60"/>
      <c r="L1318" s="44"/>
    </row>
    <row r="1319" spans="9:12" x14ac:dyDescent="0.2">
      <c r="I1319" s="60"/>
      <c r="L1319" s="44"/>
    </row>
    <row r="1320" spans="9:12" x14ac:dyDescent="0.2">
      <c r="I1320" s="60"/>
      <c r="L1320" s="44"/>
    </row>
    <row r="1321" spans="9:12" x14ac:dyDescent="0.2">
      <c r="I1321" s="60"/>
      <c r="L1321" s="44"/>
    </row>
    <row r="1322" spans="9:12" x14ac:dyDescent="0.2">
      <c r="I1322" s="60"/>
      <c r="L1322" s="44"/>
    </row>
    <row r="1323" spans="9:12" x14ac:dyDescent="0.2">
      <c r="I1323" s="60"/>
      <c r="L1323" s="44"/>
    </row>
    <row r="1324" spans="9:12" x14ac:dyDescent="0.2">
      <c r="I1324" s="60"/>
      <c r="L1324" s="44"/>
    </row>
    <row r="1325" spans="9:12" x14ac:dyDescent="0.2">
      <c r="I1325" s="60"/>
      <c r="L1325" s="44"/>
    </row>
    <row r="1326" spans="9:12" x14ac:dyDescent="0.2">
      <c r="I1326" s="60"/>
      <c r="L1326" s="44"/>
    </row>
    <row r="1327" spans="9:12" x14ac:dyDescent="0.2">
      <c r="I1327" s="60"/>
      <c r="L1327" s="44"/>
    </row>
    <row r="1328" spans="9:12" x14ac:dyDescent="0.2">
      <c r="I1328" s="60"/>
      <c r="L1328" s="44"/>
    </row>
    <row r="1329" spans="9:12" x14ac:dyDescent="0.2">
      <c r="I1329" s="60"/>
      <c r="L1329" s="44"/>
    </row>
    <row r="1330" spans="9:12" x14ac:dyDescent="0.2">
      <c r="I1330" s="60"/>
      <c r="L1330" s="44"/>
    </row>
    <row r="1331" spans="9:12" x14ac:dyDescent="0.2">
      <c r="I1331" s="60"/>
      <c r="L1331" s="44"/>
    </row>
    <row r="1332" spans="9:12" x14ac:dyDescent="0.2">
      <c r="I1332" s="60"/>
      <c r="L1332" s="44"/>
    </row>
    <row r="1333" spans="9:12" x14ac:dyDescent="0.2">
      <c r="I1333" s="60"/>
      <c r="L1333" s="44"/>
    </row>
    <row r="1334" spans="9:12" x14ac:dyDescent="0.2">
      <c r="I1334" s="60"/>
      <c r="L1334" s="44"/>
    </row>
    <row r="1335" spans="9:12" x14ac:dyDescent="0.2">
      <c r="I1335" s="60"/>
      <c r="L1335" s="44"/>
    </row>
    <row r="1336" spans="9:12" x14ac:dyDescent="0.2">
      <c r="I1336" s="60"/>
      <c r="L1336" s="44"/>
    </row>
    <row r="1337" spans="9:12" x14ac:dyDescent="0.2">
      <c r="I1337" s="60"/>
      <c r="L1337" s="44"/>
    </row>
    <row r="1338" spans="9:12" x14ac:dyDescent="0.2">
      <c r="I1338" s="60"/>
      <c r="L1338" s="44"/>
    </row>
    <row r="1339" spans="9:12" x14ac:dyDescent="0.2">
      <c r="I1339" s="60"/>
      <c r="L1339" s="44"/>
    </row>
    <row r="1340" spans="9:12" x14ac:dyDescent="0.2">
      <c r="I1340" s="60"/>
      <c r="L1340" s="44"/>
    </row>
    <row r="1341" spans="9:12" x14ac:dyDescent="0.2">
      <c r="I1341" s="60"/>
      <c r="L1341" s="44"/>
    </row>
    <row r="1342" spans="9:12" x14ac:dyDescent="0.2">
      <c r="I1342" s="60"/>
      <c r="L1342" s="44"/>
    </row>
    <row r="1343" spans="9:12" x14ac:dyDescent="0.2">
      <c r="I1343" s="60"/>
      <c r="L1343" s="44"/>
    </row>
    <row r="1344" spans="9:12" x14ac:dyDescent="0.2">
      <c r="I1344" s="60"/>
      <c r="L1344" s="44"/>
    </row>
    <row r="1345" spans="9:12" x14ac:dyDescent="0.2">
      <c r="I1345" s="60"/>
      <c r="L1345" s="44"/>
    </row>
    <row r="1346" spans="9:12" x14ac:dyDescent="0.2">
      <c r="I1346" s="60"/>
      <c r="L1346" s="44"/>
    </row>
    <row r="1347" spans="9:12" x14ac:dyDescent="0.2">
      <c r="I1347" s="60"/>
      <c r="L1347" s="44"/>
    </row>
    <row r="1348" spans="9:12" x14ac:dyDescent="0.2">
      <c r="I1348" s="60"/>
      <c r="L1348" s="44"/>
    </row>
    <row r="1349" spans="9:12" x14ac:dyDescent="0.2">
      <c r="I1349" s="60"/>
      <c r="L1349" s="44"/>
    </row>
    <row r="1350" spans="9:12" x14ac:dyDescent="0.2">
      <c r="I1350" s="60"/>
      <c r="L1350" s="44"/>
    </row>
    <row r="1351" spans="9:12" x14ac:dyDescent="0.2">
      <c r="I1351" s="60"/>
      <c r="L1351" s="44"/>
    </row>
    <row r="1352" spans="9:12" x14ac:dyDescent="0.2">
      <c r="I1352" s="60"/>
      <c r="L1352" s="44"/>
    </row>
    <row r="1353" spans="9:12" x14ac:dyDescent="0.2">
      <c r="I1353" s="60"/>
      <c r="L1353" s="44"/>
    </row>
    <row r="1354" spans="9:12" x14ac:dyDescent="0.2">
      <c r="I1354" s="60"/>
      <c r="L1354" s="44"/>
    </row>
    <row r="1355" spans="9:12" x14ac:dyDescent="0.2">
      <c r="I1355" s="60"/>
      <c r="L1355" s="44"/>
    </row>
    <row r="1356" spans="9:12" x14ac:dyDescent="0.2">
      <c r="I1356" s="60"/>
      <c r="L1356" s="44"/>
    </row>
    <row r="1357" spans="9:12" x14ac:dyDescent="0.2">
      <c r="I1357" s="60"/>
      <c r="L1357" s="44"/>
    </row>
    <row r="1358" spans="9:12" x14ac:dyDescent="0.2">
      <c r="I1358" s="60"/>
      <c r="L1358" s="44"/>
    </row>
    <row r="1359" spans="9:12" x14ac:dyDescent="0.2">
      <c r="I1359" s="60"/>
      <c r="L1359" s="44"/>
    </row>
    <row r="1360" spans="9:12" x14ac:dyDescent="0.2">
      <c r="I1360" s="60"/>
      <c r="L1360" s="44"/>
    </row>
    <row r="1361" spans="9:12" x14ac:dyDescent="0.2">
      <c r="I1361" s="60"/>
      <c r="L1361" s="44"/>
    </row>
    <row r="1362" spans="9:12" x14ac:dyDescent="0.2">
      <c r="I1362" s="60"/>
      <c r="L1362" s="44"/>
    </row>
    <row r="1363" spans="9:12" x14ac:dyDescent="0.2">
      <c r="I1363" s="60"/>
      <c r="L1363" s="44"/>
    </row>
    <row r="1364" spans="9:12" x14ac:dyDescent="0.2">
      <c r="I1364" s="60"/>
      <c r="L1364" s="44"/>
    </row>
    <row r="1365" spans="9:12" x14ac:dyDescent="0.2">
      <c r="I1365" s="60"/>
      <c r="L1365" s="44"/>
    </row>
    <row r="1366" spans="9:12" x14ac:dyDescent="0.2">
      <c r="I1366" s="60"/>
      <c r="L1366" s="44"/>
    </row>
    <row r="1367" spans="9:12" x14ac:dyDescent="0.2">
      <c r="I1367" s="60"/>
      <c r="L1367" s="44"/>
    </row>
    <row r="1368" spans="9:12" x14ac:dyDescent="0.2">
      <c r="I1368" s="60"/>
      <c r="L1368" s="44"/>
    </row>
    <row r="1369" spans="9:12" x14ac:dyDescent="0.2">
      <c r="I1369" s="60"/>
      <c r="L1369" s="44"/>
    </row>
    <row r="1370" spans="9:12" x14ac:dyDescent="0.2">
      <c r="I1370" s="60"/>
      <c r="L1370" s="44"/>
    </row>
    <row r="1371" spans="9:12" x14ac:dyDescent="0.2">
      <c r="I1371" s="60"/>
      <c r="L1371" s="44"/>
    </row>
    <row r="1372" spans="9:12" x14ac:dyDescent="0.2">
      <c r="I1372" s="60"/>
      <c r="L1372" s="44"/>
    </row>
    <row r="1373" spans="9:12" x14ac:dyDescent="0.2">
      <c r="I1373" s="60"/>
      <c r="L1373" s="44"/>
    </row>
    <row r="1374" spans="9:12" x14ac:dyDescent="0.2">
      <c r="I1374" s="60"/>
      <c r="L1374" s="44"/>
    </row>
    <row r="1375" spans="9:12" x14ac:dyDescent="0.2">
      <c r="I1375" s="60"/>
      <c r="L1375" s="44"/>
    </row>
    <row r="1376" spans="9:12" x14ac:dyDescent="0.2">
      <c r="I1376" s="60"/>
      <c r="L1376" s="44"/>
    </row>
    <row r="1377" spans="9:12" x14ac:dyDescent="0.2">
      <c r="I1377" s="60"/>
      <c r="L1377" s="44"/>
    </row>
    <row r="1378" spans="9:12" x14ac:dyDescent="0.2">
      <c r="I1378" s="60"/>
      <c r="L1378" s="44"/>
    </row>
    <row r="1379" spans="9:12" x14ac:dyDescent="0.2">
      <c r="I1379" s="60"/>
      <c r="L1379" s="44"/>
    </row>
    <row r="1380" spans="9:12" x14ac:dyDescent="0.2">
      <c r="I1380" s="60"/>
      <c r="L1380" s="44"/>
    </row>
    <row r="1381" spans="9:12" x14ac:dyDescent="0.2">
      <c r="I1381" s="60"/>
      <c r="L1381" s="44"/>
    </row>
    <row r="1382" spans="9:12" x14ac:dyDescent="0.2">
      <c r="I1382" s="60"/>
      <c r="L1382" s="44"/>
    </row>
    <row r="1383" spans="9:12" x14ac:dyDescent="0.2">
      <c r="I1383" s="60"/>
      <c r="L1383" s="44"/>
    </row>
    <row r="1384" spans="9:12" x14ac:dyDescent="0.2">
      <c r="I1384" s="60"/>
      <c r="L1384" s="44"/>
    </row>
    <row r="1385" spans="9:12" x14ac:dyDescent="0.2">
      <c r="I1385" s="60"/>
      <c r="L1385" s="44"/>
    </row>
    <row r="1386" spans="9:12" x14ac:dyDescent="0.2">
      <c r="I1386" s="60"/>
      <c r="L1386" s="44"/>
    </row>
    <row r="1387" spans="9:12" x14ac:dyDescent="0.2">
      <c r="I1387" s="60"/>
      <c r="L1387" s="44"/>
    </row>
    <row r="1388" spans="9:12" x14ac:dyDescent="0.2">
      <c r="I1388" s="60"/>
      <c r="L1388" s="44"/>
    </row>
    <row r="1389" spans="9:12" x14ac:dyDescent="0.2">
      <c r="I1389" s="60"/>
      <c r="L1389" s="44"/>
    </row>
    <row r="1390" spans="9:12" x14ac:dyDescent="0.2">
      <c r="I1390" s="60"/>
      <c r="L1390" s="44"/>
    </row>
    <row r="1391" spans="9:12" x14ac:dyDescent="0.2">
      <c r="I1391" s="60"/>
      <c r="L1391" s="44"/>
    </row>
    <row r="1392" spans="9:12" x14ac:dyDescent="0.2">
      <c r="I1392" s="60"/>
      <c r="L1392" s="44"/>
    </row>
    <row r="1393" spans="9:12" x14ac:dyDescent="0.2">
      <c r="I1393" s="60"/>
      <c r="L1393" s="44"/>
    </row>
    <row r="1394" spans="9:12" x14ac:dyDescent="0.2">
      <c r="I1394" s="60"/>
      <c r="L1394" s="44"/>
    </row>
    <row r="1395" spans="9:12" x14ac:dyDescent="0.2">
      <c r="I1395" s="60"/>
      <c r="L1395" s="44"/>
    </row>
    <row r="1396" spans="9:12" x14ac:dyDescent="0.2">
      <c r="I1396" s="60"/>
      <c r="L1396" s="44"/>
    </row>
    <row r="1397" spans="9:12" x14ac:dyDescent="0.2">
      <c r="I1397" s="60"/>
      <c r="L1397" s="44"/>
    </row>
    <row r="1398" spans="9:12" x14ac:dyDescent="0.2">
      <c r="I1398" s="60"/>
      <c r="L1398" s="44"/>
    </row>
    <row r="1399" spans="9:12" x14ac:dyDescent="0.2">
      <c r="I1399" s="60"/>
      <c r="L1399" s="44"/>
    </row>
    <row r="1400" spans="9:12" x14ac:dyDescent="0.2">
      <c r="I1400" s="60"/>
      <c r="L1400" s="44"/>
    </row>
    <row r="1401" spans="9:12" x14ac:dyDescent="0.2">
      <c r="I1401" s="60"/>
      <c r="L1401" s="44"/>
    </row>
    <row r="1402" spans="9:12" x14ac:dyDescent="0.2">
      <c r="I1402" s="60"/>
      <c r="L1402" s="44"/>
    </row>
    <row r="1403" spans="9:12" x14ac:dyDescent="0.2">
      <c r="I1403" s="60"/>
      <c r="L1403" s="44"/>
    </row>
    <row r="1404" spans="9:12" x14ac:dyDescent="0.2">
      <c r="I1404" s="60"/>
      <c r="L1404" s="44"/>
    </row>
    <row r="1405" spans="9:12" x14ac:dyDescent="0.2">
      <c r="I1405" s="60"/>
      <c r="L1405" s="44"/>
    </row>
    <row r="1406" spans="9:12" x14ac:dyDescent="0.2">
      <c r="I1406" s="60"/>
      <c r="L1406" s="44"/>
    </row>
    <row r="1407" spans="9:12" x14ac:dyDescent="0.2">
      <c r="I1407" s="60"/>
      <c r="L1407" s="44"/>
    </row>
    <row r="1408" spans="9:12" x14ac:dyDescent="0.2">
      <c r="I1408" s="60"/>
      <c r="L1408" s="44"/>
    </row>
    <row r="1409" spans="9:12" x14ac:dyDescent="0.2">
      <c r="I1409" s="60"/>
      <c r="L1409" s="44"/>
    </row>
    <row r="1410" spans="9:12" x14ac:dyDescent="0.2">
      <c r="I1410" s="60"/>
      <c r="L1410" s="44"/>
    </row>
    <row r="1411" spans="9:12" x14ac:dyDescent="0.2">
      <c r="I1411" s="60"/>
      <c r="L1411" s="44"/>
    </row>
    <row r="1412" spans="9:12" x14ac:dyDescent="0.2">
      <c r="I1412" s="60"/>
      <c r="L1412" s="44"/>
    </row>
    <row r="1413" spans="9:12" x14ac:dyDescent="0.2">
      <c r="I1413" s="60"/>
      <c r="L1413" s="44"/>
    </row>
    <row r="1414" spans="9:12" x14ac:dyDescent="0.2">
      <c r="I1414" s="60"/>
      <c r="L1414" s="44"/>
    </row>
    <row r="1415" spans="9:12" x14ac:dyDescent="0.2">
      <c r="I1415" s="60"/>
      <c r="L1415" s="44"/>
    </row>
    <row r="1416" spans="9:12" x14ac:dyDescent="0.2">
      <c r="I1416" s="60"/>
      <c r="L1416" s="44"/>
    </row>
    <row r="1417" spans="9:12" x14ac:dyDescent="0.2">
      <c r="I1417" s="60"/>
      <c r="L1417" s="44"/>
    </row>
    <row r="1418" spans="9:12" x14ac:dyDescent="0.2">
      <c r="I1418" s="60"/>
      <c r="L1418" s="44"/>
    </row>
    <row r="1419" spans="9:12" x14ac:dyDescent="0.2">
      <c r="I1419" s="60"/>
      <c r="L1419" s="44"/>
    </row>
    <row r="1420" spans="9:12" x14ac:dyDescent="0.2">
      <c r="I1420" s="60"/>
      <c r="L1420" s="44"/>
    </row>
    <row r="1421" spans="9:12" x14ac:dyDescent="0.2">
      <c r="I1421" s="60"/>
      <c r="L1421" s="44"/>
    </row>
    <row r="1422" spans="9:12" x14ac:dyDescent="0.2">
      <c r="I1422" s="60"/>
      <c r="L1422" s="44"/>
    </row>
    <row r="1423" spans="9:12" x14ac:dyDescent="0.2">
      <c r="I1423" s="60"/>
      <c r="L1423" s="44"/>
    </row>
    <row r="1424" spans="9:12" x14ac:dyDescent="0.2">
      <c r="I1424" s="60"/>
      <c r="L1424" s="44"/>
    </row>
    <row r="1425" spans="9:12" x14ac:dyDescent="0.2">
      <c r="I1425" s="60"/>
      <c r="L1425" s="44"/>
    </row>
    <row r="1426" spans="9:12" x14ac:dyDescent="0.2">
      <c r="I1426" s="60"/>
      <c r="L1426" s="44"/>
    </row>
    <row r="1427" spans="9:12" x14ac:dyDescent="0.2">
      <c r="I1427" s="60"/>
      <c r="L1427" s="44"/>
    </row>
    <row r="1428" spans="9:12" x14ac:dyDescent="0.2">
      <c r="I1428" s="60"/>
      <c r="L1428" s="44"/>
    </row>
    <row r="1429" spans="9:12" x14ac:dyDescent="0.2">
      <c r="I1429" s="60"/>
      <c r="L1429" s="44"/>
    </row>
    <row r="1430" spans="9:12" x14ac:dyDescent="0.2">
      <c r="I1430" s="60"/>
      <c r="L1430" s="44"/>
    </row>
    <row r="1431" spans="9:12" x14ac:dyDescent="0.2">
      <c r="I1431" s="60"/>
      <c r="L1431" s="44"/>
    </row>
    <row r="1432" spans="9:12" x14ac:dyDescent="0.2">
      <c r="I1432" s="60"/>
      <c r="L1432" s="44"/>
    </row>
    <row r="1433" spans="9:12" x14ac:dyDescent="0.2">
      <c r="I1433" s="60"/>
      <c r="L1433" s="44"/>
    </row>
    <row r="1434" spans="9:12" x14ac:dyDescent="0.2">
      <c r="I1434" s="60"/>
      <c r="L1434" s="44"/>
    </row>
    <row r="1435" spans="9:12" x14ac:dyDescent="0.2">
      <c r="I1435" s="60"/>
      <c r="L1435" s="44"/>
    </row>
    <row r="1436" spans="9:12" x14ac:dyDescent="0.2">
      <c r="I1436" s="60"/>
      <c r="L1436" s="44"/>
    </row>
    <row r="1437" spans="9:12" x14ac:dyDescent="0.2">
      <c r="I1437" s="60"/>
      <c r="L1437" s="44"/>
    </row>
    <row r="1438" spans="9:12" x14ac:dyDescent="0.2">
      <c r="I1438" s="60"/>
      <c r="L1438" s="44"/>
    </row>
    <row r="1439" spans="9:12" x14ac:dyDescent="0.2">
      <c r="I1439" s="60"/>
      <c r="L1439" s="44"/>
    </row>
    <row r="1440" spans="9:12" x14ac:dyDescent="0.2">
      <c r="I1440" s="60"/>
      <c r="L1440" s="44"/>
    </row>
    <row r="1441" spans="9:12" x14ac:dyDescent="0.2">
      <c r="I1441" s="60"/>
      <c r="L1441" s="44"/>
    </row>
    <row r="1442" spans="9:12" x14ac:dyDescent="0.2">
      <c r="I1442" s="60"/>
      <c r="L1442" s="44"/>
    </row>
    <row r="1443" spans="9:12" x14ac:dyDescent="0.2">
      <c r="I1443" s="60"/>
      <c r="L1443" s="44"/>
    </row>
    <row r="1444" spans="9:12" x14ac:dyDescent="0.2">
      <c r="I1444" s="60"/>
      <c r="L1444" s="44"/>
    </row>
    <row r="1445" spans="9:12" x14ac:dyDescent="0.2">
      <c r="I1445" s="60"/>
      <c r="L1445" s="44"/>
    </row>
    <row r="1446" spans="9:12" x14ac:dyDescent="0.2">
      <c r="I1446" s="60"/>
      <c r="L1446" s="44"/>
    </row>
    <row r="1447" spans="9:12" x14ac:dyDescent="0.2">
      <c r="I1447" s="60"/>
      <c r="L1447" s="44"/>
    </row>
    <row r="1448" spans="9:12" x14ac:dyDescent="0.2">
      <c r="I1448" s="60"/>
      <c r="L1448" s="44"/>
    </row>
    <row r="1449" spans="9:12" x14ac:dyDescent="0.2">
      <c r="I1449" s="60"/>
      <c r="L1449" s="44"/>
    </row>
    <row r="1450" spans="9:12" x14ac:dyDescent="0.2">
      <c r="I1450" s="60"/>
      <c r="L1450" s="44"/>
    </row>
    <row r="1451" spans="9:12" x14ac:dyDescent="0.2">
      <c r="I1451" s="60"/>
      <c r="L1451" s="44"/>
    </row>
    <row r="1452" spans="9:12" x14ac:dyDescent="0.2">
      <c r="I1452" s="60"/>
      <c r="L1452" s="44"/>
    </row>
    <row r="1453" spans="9:12" x14ac:dyDescent="0.2">
      <c r="I1453" s="60"/>
      <c r="L1453" s="44"/>
    </row>
    <row r="1454" spans="9:12" x14ac:dyDescent="0.2">
      <c r="I1454" s="60"/>
      <c r="L1454" s="44"/>
    </row>
    <row r="1455" spans="9:12" x14ac:dyDescent="0.2">
      <c r="I1455" s="60"/>
      <c r="L1455" s="44"/>
    </row>
    <row r="1456" spans="9:12" x14ac:dyDescent="0.2">
      <c r="I1456" s="60"/>
      <c r="L1456" s="44"/>
    </row>
    <row r="1457" spans="9:12" x14ac:dyDescent="0.2">
      <c r="I1457" s="60"/>
      <c r="L1457" s="44"/>
    </row>
    <row r="1458" spans="9:12" x14ac:dyDescent="0.2">
      <c r="I1458" s="60"/>
      <c r="L1458" s="44"/>
    </row>
    <row r="1459" spans="9:12" x14ac:dyDescent="0.2">
      <c r="I1459" s="60"/>
      <c r="L1459" s="44"/>
    </row>
    <row r="1460" spans="9:12" x14ac:dyDescent="0.2">
      <c r="I1460" s="60"/>
      <c r="L1460" s="44"/>
    </row>
    <row r="1461" spans="9:12" x14ac:dyDescent="0.2">
      <c r="I1461" s="60"/>
      <c r="L1461" s="44"/>
    </row>
    <row r="1462" spans="9:12" x14ac:dyDescent="0.2">
      <c r="I1462" s="60"/>
      <c r="L1462" s="44"/>
    </row>
    <row r="1463" spans="9:12" x14ac:dyDescent="0.2">
      <c r="I1463" s="60"/>
      <c r="L1463" s="44"/>
    </row>
    <row r="1464" spans="9:12" x14ac:dyDescent="0.2">
      <c r="I1464" s="60"/>
      <c r="L1464" s="44"/>
    </row>
    <row r="1465" spans="9:12" x14ac:dyDescent="0.2">
      <c r="I1465" s="60"/>
      <c r="L1465" s="44"/>
    </row>
    <row r="1466" spans="9:12" x14ac:dyDescent="0.2">
      <c r="I1466" s="60"/>
      <c r="L1466" s="44"/>
    </row>
    <row r="1467" spans="9:12" x14ac:dyDescent="0.2">
      <c r="I1467" s="60"/>
      <c r="L1467" s="44"/>
    </row>
    <row r="1468" spans="9:12" x14ac:dyDescent="0.2">
      <c r="I1468" s="60"/>
      <c r="L1468" s="44"/>
    </row>
    <row r="1469" spans="9:12" x14ac:dyDescent="0.2">
      <c r="I1469" s="60"/>
      <c r="L1469" s="44"/>
    </row>
    <row r="1470" spans="9:12" x14ac:dyDescent="0.2">
      <c r="I1470" s="60"/>
      <c r="L1470" s="44"/>
    </row>
    <row r="1471" spans="9:12" x14ac:dyDescent="0.2">
      <c r="I1471" s="60"/>
      <c r="L1471" s="44"/>
    </row>
    <row r="1472" spans="9:12" x14ac:dyDescent="0.2">
      <c r="I1472" s="60"/>
      <c r="L1472" s="44"/>
    </row>
    <row r="1473" spans="9:12" x14ac:dyDescent="0.2">
      <c r="I1473" s="60"/>
      <c r="L1473" s="44"/>
    </row>
    <row r="1474" spans="9:12" x14ac:dyDescent="0.2">
      <c r="I1474" s="60"/>
      <c r="L1474" s="44"/>
    </row>
    <row r="1475" spans="9:12" x14ac:dyDescent="0.2">
      <c r="I1475" s="60"/>
      <c r="L1475" s="44"/>
    </row>
    <row r="1476" spans="9:12" x14ac:dyDescent="0.2">
      <c r="I1476" s="60"/>
      <c r="L1476" s="44"/>
    </row>
    <row r="1477" spans="9:12" x14ac:dyDescent="0.2">
      <c r="I1477" s="60"/>
      <c r="L1477" s="44"/>
    </row>
    <row r="1478" spans="9:12" x14ac:dyDescent="0.2">
      <c r="I1478" s="60"/>
      <c r="L1478" s="44"/>
    </row>
    <row r="1479" spans="9:12" x14ac:dyDescent="0.2">
      <c r="I1479" s="60"/>
      <c r="L1479" s="44"/>
    </row>
    <row r="1480" spans="9:12" x14ac:dyDescent="0.2">
      <c r="I1480" s="60"/>
      <c r="L1480" s="44"/>
    </row>
    <row r="1481" spans="9:12" x14ac:dyDescent="0.2">
      <c r="I1481" s="60"/>
      <c r="L1481" s="44"/>
    </row>
    <row r="1482" spans="9:12" x14ac:dyDescent="0.2">
      <c r="I1482" s="60"/>
      <c r="L1482" s="44"/>
    </row>
    <row r="1483" spans="9:12" x14ac:dyDescent="0.2">
      <c r="I1483" s="60"/>
      <c r="L1483" s="44"/>
    </row>
    <row r="1484" spans="9:12" x14ac:dyDescent="0.2">
      <c r="I1484" s="60"/>
      <c r="L1484" s="44"/>
    </row>
    <row r="1485" spans="9:12" x14ac:dyDescent="0.2">
      <c r="I1485" s="60"/>
      <c r="L1485" s="44"/>
    </row>
    <row r="1486" spans="9:12" x14ac:dyDescent="0.2">
      <c r="I1486" s="60"/>
      <c r="L1486" s="44"/>
    </row>
    <row r="1487" spans="9:12" x14ac:dyDescent="0.2">
      <c r="I1487" s="60"/>
      <c r="L1487" s="44"/>
    </row>
    <row r="1488" spans="9:12" x14ac:dyDescent="0.2">
      <c r="I1488" s="60"/>
      <c r="L1488" s="44"/>
    </row>
    <row r="1489" spans="9:12" x14ac:dyDescent="0.2">
      <c r="I1489" s="60"/>
      <c r="L1489" s="44"/>
    </row>
    <row r="1490" spans="9:12" x14ac:dyDescent="0.2">
      <c r="I1490" s="60"/>
      <c r="L1490" s="44"/>
    </row>
    <row r="1491" spans="9:12" x14ac:dyDescent="0.2">
      <c r="I1491" s="60"/>
      <c r="L1491" s="44"/>
    </row>
    <row r="1492" spans="9:12" x14ac:dyDescent="0.2">
      <c r="I1492" s="60"/>
      <c r="L1492" s="44"/>
    </row>
    <row r="1493" spans="9:12" x14ac:dyDescent="0.2">
      <c r="I1493" s="60"/>
      <c r="L1493" s="44"/>
    </row>
    <row r="1494" spans="9:12" x14ac:dyDescent="0.2">
      <c r="I1494" s="60"/>
      <c r="L1494" s="44"/>
    </row>
    <row r="1495" spans="9:12" x14ac:dyDescent="0.2">
      <c r="I1495" s="60"/>
      <c r="L1495" s="44"/>
    </row>
    <row r="1496" spans="9:12" x14ac:dyDescent="0.2">
      <c r="I1496" s="60"/>
      <c r="L1496" s="44"/>
    </row>
    <row r="1497" spans="9:12" x14ac:dyDescent="0.2">
      <c r="I1497" s="60"/>
      <c r="L1497" s="44"/>
    </row>
    <row r="1498" spans="9:12" x14ac:dyDescent="0.2">
      <c r="I1498" s="60"/>
      <c r="L1498" s="44"/>
    </row>
    <row r="1499" spans="9:12" x14ac:dyDescent="0.2">
      <c r="I1499" s="60"/>
      <c r="L1499" s="44"/>
    </row>
    <row r="1500" spans="9:12" x14ac:dyDescent="0.2">
      <c r="I1500" s="60"/>
      <c r="L1500" s="44"/>
    </row>
    <row r="1501" spans="9:12" x14ac:dyDescent="0.2">
      <c r="I1501" s="60"/>
      <c r="L1501" s="44"/>
    </row>
    <row r="1502" spans="9:12" x14ac:dyDescent="0.2">
      <c r="I1502" s="60"/>
      <c r="L1502" s="44"/>
    </row>
    <row r="1503" spans="9:12" x14ac:dyDescent="0.2">
      <c r="I1503" s="60"/>
      <c r="L1503" s="44"/>
    </row>
    <row r="1504" spans="9:12" x14ac:dyDescent="0.2">
      <c r="I1504" s="60"/>
      <c r="L1504" s="44"/>
    </row>
    <row r="1505" spans="9:12" x14ac:dyDescent="0.2">
      <c r="I1505" s="60"/>
      <c r="L1505" s="44"/>
    </row>
    <row r="1506" spans="9:12" x14ac:dyDescent="0.2">
      <c r="I1506" s="60"/>
      <c r="L1506" s="44"/>
    </row>
    <row r="1507" spans="9:12" x14ac:dyDescent="0.2">
      <c r="I1507" s="60"/>
      <c r="L1507" s="44"/>
    </row>
    <row r="1508" spans="9:12" x14ac:dyDescent="0.2">
      <c r="I1508" s="60"/>
      <c r="L1508" s="44"/>
    </row>
    <row r="1509" spans="9:12" x14ac:dyDescent="0.2">
      <c r="I1509" s="60"/>
      <c r="L1509" s="44"/>
    </row>
    <row r="1510" spans="9:12" x14ac:dyDescent="0.2">
      <c r="I1510" s="60"/>
      <c r="L1510" s="44"/>
    </row>
    <row r="1511" spans="9:12" x14ac:dyDescent="0.2">
      <c r="L1511" s="44"/>
    </row>
    <row r="1512" spans="9:12" x14ac:dyDescent="0.2">
      <c r="L1512" s="44"/>
    </row>
    <row r="1513" spans="9:12" x14ac:dyDescent="0.2">
      <c r="L1513" s="44"/>
    </row>
    <row r="1514" spans="9:12" x14ac:dyDescent="0.2">
      <c r="L1514" s="44"/>
    </row>
    <row r="1515" spans="9:12" x14ac:dyDescent="0.2">
      <c r="L1515" s="44"/>
    </row>
    <row r="1516" spans="9:12" x14ac:dyDescent="0.2">
      <c r="L1516" s="44"/>
    </row>
    <row r="1517" spans="9:12" x14ac:dyDescent="0.2">
      <c r="L1517" s="44"/>
    </row>
    <row r="1518" spans="9:12" x14ac:dyDescent="0.2">
      <c r="L1518" s="44"/>
    </row>
    <row r="1519" spans="9:12" x14ac:dyDescent="0.2">
      <c r="L1519" s="44"/>
    </row>
    <row r="1520" spans="9:12" x14ac:dyDescent="0.2">
      <c r="L1520" s="44"/>
    </row>
    <row r="1521" spans="12:12" x14ac:dyDescent="0.2">
      <c r="L1521" s="44"/>
    </row>
    <row r="1522" spans="12:12" x14ac:dyDescent="0.2">
      <c r="L1522" s="44"/>
    </row>
    <row r="1523" spans="12:12" x14ac:dyDescent="0.2">
      <c r="L1523" s="44"/>
    </row>
    <row r="1524" spans="12:12" x14ac:dyDescent="0.2">
      <c r="L1524" s="44"/>
    </row>
    <row r="1525" spans="12:12" x14ac:dyDescent="0.2">
      <c r="L1525" s="44"/>
    </row>
    <row r="1526" spans="12:12" x14ac:dyDescent="0.2">
      <c r="L1526" s="44"/>
    </row>
    <row r="1527" spans="12:12" x14ac:dyDescent="0.2">
      <c r="L1527" s="44"/>
    </row>
    <row r="1528" spans="12:12" x14ac:dyDescent="0.2">
      <c r="L1528" s="44"/>
    </row>
    <row r="1529" spans="12:12" x14ac:dyDescent="0.2">
      <c r="L1529" s="44"/>
    </row>
    <row r="1530" spans="12:12" x14ac:dyDescent="0.2">
      <c r="L1530" s="44"/>
    </row>
    <row r="1531" spans="12:12" x14ac:dyDescent="0.2">
      <c r="L1531" s="44"/>
    </row>
    <row r="1532" spans="12:12" x14ac:dyDescent="0.2">
      <c r="L1532" s="44"/>
    </row>
    <row r="1533" spans="12:12" x14ac:dyDescent="0.2">
      <c r="L1533" s="44"/>
    </row>
    <row r="1534" spans="12:12" x14ac:dyDescent="0.2">
      <c r="L1534" s="44"/>
    </row>
    <row r="1535" spans="12:12" x14ac:dyDescent="0.2">
      <c r="L1535" s="44"/>
    </row>
    <row r="1536" spans="12:12" x14ac:dyDescent="0.2">
      <c r="L1536" s="44"/>
    </row>
    <row r="1537" spans="12:12" x14ac:dyDescent="0.2">
      <c r="L1537" s="44"/>
    </row>
    <row r="1538" spans="12:12" x14ac:dyDescent="0.2">
      <c r="L1538" s="44"/>
    </row>
    <row r="1539" spans="12:12" x14ac:dyDescent="0.2">
      <c r="L1539" s="44"/>
    </row>
    <row r="1540" spans="12:12" x14ac:dyDescent="0.2">
      <c r="L1540" s="44"/>
    </row>
    <row r="1541" spans="12:12" x14ac:dyDescent="0.2">
      <c r="L1541" s="44"/>
    </row>
    <row r="1542" spans="12:12" x14ac:dyDescent="0.2">
      <c r="L1542" s="44"/>
    </row>
    <row r="1543" spans="12:12" x14ac:dyDescent="0.2">
      <c r="L1543" s="44"/>
    </row>
    <row r="1544" spans="12:12" x14ac:dyDescent="0.2">
      <c r="L1544" s="44"/>
    </row>
    <row r="1545" spans="12:12" x14ac:dyDescent="0.2">
      <c r="L1545" s="44"/>
    </row>
    <row r="1546" spans="12:12" x14ac:dyDescent="0.2">
      <c r="L1546" s="44"/>
    </row>
    <row r="1547" spans="12:12" x14ac:dyDescent="0.2">
      <c r="L1547" s="44"/>
    </row>
    <row r="1548" spans="12:12" x14ac:dyDescent="0.2">
      <c r="L1548" s="44"/>
    </row>
    <row r="1549" spans="12:12" x14ac:dyDescent="0.2">
      <c r="L1549" s="44"/>
    </row>
    <row r="1550" spans="12:12" x14ac:dyDescent="0.2">
      <c r="L1550" s="44"/>
    </row>
    <row r="1551" spans="12:12" x14ac:dyDescent="0.2">
      <c r="L1551" s="44"/>
    </row>
    <row r="1552" spans="12:12" x14ac:dyDescent="0.2">
      <c r="L1552" s="44"/>
    </row>
    <row r="1553" spans="12:12" x14ac:dyDescent="0.2">
      <c r="L1553" s="44"/>
    </row>
    <row r="1554" spans="12:12" x14ac:dyDescent="0.2">
      <c r="L1554" s="44"/>
    </row>
    <row r="1555" spans="12:12" x14ac:dyDescent="0.2">
      <c r="L1555" s="44"/>
    </row>
    <row r="1556" spans="12:12" x14ac:dyDescent="0.2">
      <c r="L1556" s="44"/>
    </row>
    <row r="1557" spans="12:12" x14ac:dyDescent="0.2">
      <c r="L1557" s="44"/>
    </row>
    <row r="1558" spans="12:12" x14ac:dyDescent="0.2">
      <c r="L1558" s="44"/>
    </row>
    <row r="1559" spans="12:12" x14ac:dyDescent="0.2">
      <c r="L1559" s="44"/>
    </row>
    <row r="1560" spans="12:12" x14ac:dyDescent="0.2">
      <c r="L1560" s="44"/>
    </row>
    <row r="1561" spans="12:12" x14ac:dyDescent="0.2">
      <c r="L1561" s="44"/>
    </row>
    <row r="1562" spans="12:12" x14ac:dyDescent="0.2">
      <c r="L1562" s="44"/>
    </row>
    <row r="1563" spans="12:12" x14ac:dyDescent="0.2">
      <c r="L1563" s="44"/>
    </row>
    <row r="1564" spans="12:12" x14ac:dyDescent="0.2">
      <c r="L1564" s="44"/>
    </row>
    <row r="1565" spans="12:12" x14ac:dyDescent="0.2">
      <c r="L1565" s="44"/>
    </row>
    <row r="1566" spans="12:12" x14ac:dyDescent="0.2">
      <c r="L1566" s="44"/>
    </row>
    <row r="1567" spans="12:12" x14ac:dyDescent="0.2">
      <c r="L1567" s="44"/>
    </row>
    <row r="1568" spans="12:12" x14ac:dyDescent="0.2">
      <c r="L1568" s="44"/>
    </row>
    <row r="1569" spans="12:12" x14ac:dyDescent="0.2">
      <c r="L1569" s="44"/>
    </row>
    <row r="1570" spans="12:12" x14ac:dyDescent="0.2">
      <c r="L1570" s="44"/>
    </row>
    <row r="1571" spans="12:12" x14ac:dyDescent="0.2">
      <c r="L1571" s="44"/>
    </row>
    <row r="1572" spans="12:12" x14ac:dyDescent="0.2">
      <c r="L1572" s="44"/>
    </row>
    <row r="1573" spans="12:12" x14ac:dyDescent="0.2">
      <c r="L1573" s="44"/>
    </row>
    <row r="1574" spans="12:12" x14ac:dyDescent="0.2">
      <c r="L1574" s="44"/>
    </row>
    <row r="1575" spans="12:12" x14ac:dyDescent="0.2">
      <c r="L1575" s="44"/>
    </row>
    <row r="1576" spans="12:12" x14ac:dyDescent="0.2">
      <c r="L1576" s="44"/>
    </row>
    <row r="1577" spans="12:12" x14ac:dyDescent="0.2">
      <c r="L1577" s="44"/>
    </row>
    <row r="1578" spans="12:12" x14ac:dyDescent="0.2">
      <c r="L1578" s="44"/>
    </row>
    <row r="1579" spans="12:12" x14ac:dyDescent="0.2">
      <c r="L1579" s="44"/>
    </row>
    <row r="1580" spans="12:12" x14ac:dyDescent="0.2">
      <c r="L1580" s="44"/>
    </row>
    <row r="1581" spans="12:12" x14ac:dyDescent="0.2">
      <c r="L1581" s="44"/>
    </row>
    <row r="1582" spans="12:12" x14ac:dyDescent="0.2">
      <c r="L1582" s="44"/>
    </row>
    <row r="1583" spans="12:12" x14ac:dyDescent="0.2">
      <c r="L1583" s="44"/>
    </row>
    <row r="1584" spans="12:12" x14ac:dyDescent="0.2">
      <c r="L1584" s="44"/>
    </row>
    <row r="1585" spans="12:12" x14ac:dyDescent="0.2">
      <c r="L1585" s="44"/>
    </row>
    <row r="1586" spans="12:12" x14ac:dyDescent="0.2">
      <c r="L1586" s="44"/>
    </row>
    <row r="1587" spans="12:12" x14ac:dyDescent="0.2">
      <c r="L1587" s="44"/>
    </row>
    <row r="1588" spans="12:12" x14ac:dyDescent="0.2">
      <c r="L1588" s="44"/>
    </row>
    <row r="1589" spans="12:12" x14ac:dyDescent="0.2">
      <c r="L1589" s="44"/>
    </row>
    <row r="1590" spans="12:12" x14ac:dyDescent="0.2">
      <c r="L1590" s="44"/>
    </row>
    <row r="1591" spans="12:12" x14ac:dyDescent="0.2">
      <c r="L1591" s="44"/>
    </row>
    <row r="1592" spans="12:12" x14ac:dyDescent="0.2">
      <c r="L1592" s="44"/>
    </row>
    <row r="1593" spans="12:12" x14ac:dyDescent="0.2">
      <c r="L1593" s="44"/>
    </row>
    <row r="1594" spans="12:12" x14ac:dyDescent="0.2">
      <c r="L1594" s="44"/>
    </row>
    <row r="1595" spans="12:12" x14ac:dyDescent="0.2">
      <c r="L1595" s="44"/>
    </row>
    <row r="1596" spans="12:12" x14ac:dyDescent="0.2">
      <c r="L1596" s="44"/>
    </row>
    <row r="1597" spans="12:12" x14ac:dyDescent="0.2">
      <c r="L1597" s="44"/>
    </row>
    <row r="1598" spans="12:12" x14ac:dyDescent="0.2">
      <c r="L1598" s="44"/>
    </row>
    <row r="1599" spans="12:12" x14ac:dyDescent="0.2">
      <c r="L1599" s="44"/>
    </row>
    <row r="1600" spans="12:12" x14ac:dyDescent="0.2">
      <c r="L1600" s="44"/>
    </row>
    <row r="1601" spans="12:12" x14ac:dyDescent="0.2">
      <c r="L1601" s="44"/>
    </row>
    <row r="1602" spans="12:12" x14ac:dyDescent="0.2">
      <c r="L1602" s="44"/>
    </row>
    <row r="1603" spans="12:12" x14ac:dyDescent="0.2">
      <c r="L1603" s="44"/>
    </row>
    <row r="1604" spans="12:12" x14ac:dyDescent="0.2">
      <c r="L1604" s="44"/>
    </row>
    <row r="1605" spans="12:12" x14ac:dyDescent="0.2">
      <c r="L1605" s="44"/>
    </row>
    <row r="1606" spans="12:12" x14ac:dyDescent="0.2">
      <c r="L1606" s="44"/>
    </row>
    <row r="1607" spans="12:12" x14ac:dyDescent="0.2">
      <c r="L1607" s="44"/>
    </row>
    <row r="1608" spans="12:12" x14ac:dyDescent="0.2">
      <c r="L1608" s="44"/>
    </row>
    <row r="1609" spans="12:12" x14ac:dyDescent="0.2">
      <c r="L1609" s="44"/>
    </row>
    <row r="1610" spans="12:12" x14ac:dyDescent="0.2">
      <c r="L1610" s="44"/>
    </row>
    <row r="1611" spans="12:12" x14ac:dyDescent="0.2">
      <c r="L1611" s="44"/>
    </row>
    <row r="1612" spans="12:12" x14ac:dyDescent="0.2">
      <c r="L1612" s="44"/>
    </row>
    <row r="1613" spans="12:12" x14ac:dyDescent="0.2">
      <c r="L1613" s="44"/>
    </row>
    <row r="1614" spans="12:12" x14ac:dyDescent="0.2">
      <c r="L1614" s="44"/>
    </row>
    <row r="1615" spans="12:12" x14ac:dyDescent="0.2">
      <c r="L1615" s="44"/>
    </row>
    <row r="1616" spans="12:12" x14ac:dyDescent="0.2">
      <c r="L1616" s="44"/>
    </row>
    <row r="1617" spans="12:12" x14ac:dyDescent="0.2">
      <c r="L1617" s="44"/>
    </row>
    <row r="1618" spans="12:12" x14ac:dyDescent="0.2">
      <c r="L1618" s="44"/>
    </row>
    <row r="1619" spans="12:12" x14ac:dyDescent="0.2">
      <c r="L1619" s="44"/>
    </row>
    <row r="1620" spans="12:12" x14ac:dyDescent="0.2">
      <c r="L1620" s="44"/>
    </row>
    <row r="1621" spans="12:12" x14ac:dyDescent="0.2">
      <c r="L1621" s="44"/>
    </row>
    <row r="1622" spans="12:12" x14ac:dyDescent="0.2">
      <c r="L1622" s="44"/>
    </row>
    <row r="1623" spans="12:12" x14ac:dyDescent="0.2">
      <c r="L1623" s="44"/>
    </row>
    <row r="1624" spans="12:12" x14ac:dyDescent="0.2">
      <c r="L1624" s="44"/>
    </row>
    <row r="1625" spans="12:12" x14ac:dyDescent="0.2">
      <c r="L1625" s="44"/>
    </row>
    <row r="1626" spans="12:12" x14ac:dyDescent="0.2">
      <c r="L1626" s="44"/>
    </row>
    <row r="1627" spans="12:12" x14ac:dyDescent="0.2">
      <c r="L1627" s="44"/>
    </row>
    <row r="1628" spans="12:12" x14ac:dyDescent="0.2">
      <c r="L1628" s="44"/>
    </row>
    <row r="1629" spans="12:12" x14ac:dyDescent="0.2">
      <c r="L1629" s="44"/>
    </row>
    <row r="1630" spans="12:12" x14ac:dyDescent="0.2">
      <c r="L1630" s="44"/>
    </row>
    <row r="1631" spans="12:12" x14ac:dyDescent="0.2">
      <c r="L1631" s="44"/>
    </row>
    <row r="1632" spans="12:12" x14ac:dyDescent="0.2">
      <c r="L1632" s="44"/>
    </row>
    <row r="1633" spans="12:12" x14ac:dyDescent="0.2">
      <c r="L1633" s="44"/>
    </row>
    <row r="1634" spans="12:12" x14ac:dyDescent="0.2">
      <c r="L1634" s="44"/>
    </row>
    <row r="1635" spans="12:12" x14ac:dyDescent="0.2">
      <c r="L1635" s="44"/>
    </row>
    <row r="1636" spans="12:12" x14ac:dyDescent="0.2">
      <c r="L1636" s="44"/>
    </row>
    <row r="1637" spans="12:12" x14ac:dyDescent="0.2">
      <c r="L1637" s="44"/>
    </row>
    <row r="1638" spans="12:12" x14ac:dyDescent="0.2">
      <c r="L1638" s="44"/>
    </row>
    <row r="1639" spans="12:12" x14ac:dyDescent="0.2">
      <c r="L1639" s="44"/>
    </row>
    <row r="1640" spans="12:12" x14ac:dyDescent="0.2">
      <c r="L1640" s="44"/>
    </row>
    <row r="1641" spans="12:12" x14ac:dyDescent="0.2">
      <c r="L1641" s="44"/>
    </row>
    <row r="1642" spans="12:12" x14ac:dyDescent="0.2">
      <c r="L1642" s="44"/>
    </row>
    <row r="1643" spans="12:12" x14ac:dyDescent="0.2">
      <c r="L1643" s="44"/>
    </row>
    <row r="1644" spans="12:12" x14ac:dyDescent="0.2">
      <c r="L1644" s="44"/>
    </row>
    <row r="1645" spans="12:12" x14ac:dyDescent="0.2">
      <c r="L1645" s="44"/>
    </row>
    <row r="1646" spans="12:12" x14ac:dyDescent="0.2">
      <c r="L1646" s="44"/>
    </row>
    <row r="1647" spans="12:12" x14ac:dyDescent="0.2">
      <c r="L1647" s="44"/>
    </row>
    <row r="1648" spans="12:12" x14ac:dyDescent="0.2">
      <c r="L1648" s="44"/>
    </row>
    <row r="1649" spans="12:12" x14ac:dyDescent="0.2">
      <c r="L1649" s="44"/>
    </row>
    <row r="1650" spans="12:12" x14ac:dyDescent="0.2">
      <c r="L1650" s="44"/>
    </row>
    <row r="1651" spans="12:12" x14ac:dyDescent="0.2">
      <c r="L1651" s="44"/>
    </row>
    <row r="1652" spans="12:12" x14ac:dyDescent="0.2">
      <c r="L1652" s="44"/>
    </row>
    <row r="1653" spans="12:12" x14ac:dyDescent="0.2">
      <c r="L1653" s="44"/>
    </row>
    <row r="1654" spans="12:12" x14ac:dyDescent="0.2">
      <c r="L1654" s="44"/>
    </row>
    <row r="1655" spans="12:12" x14ac:dyDescent="0.2">
      <c r="L1655" s="44"/>
    </row>
    <row r="1656" spans="12:12" x14ac:dyDescent="0.2">
      <c r="L1656" s="44"/>
    </row>
    <row r="1657" spans="12:12" x14ac:dyDescent="0.2">
      <c r="L1657" s="44"/>
    </row>
    <row r="1658" spans="12:12" x14ac:dyDescent="0.2">
      <c r="L1658" s="44"/>
    </row>
    <row r="1659" spans="12:12" x14ac:dyDescent="0.2">
      <c r="L1659" s="44"/>
    </row>
    <row r="1660" spans="12:12" x14ac:dyDescent="0.2">
      <c r="L1660" s="44"/>
    </row>
    <row r="1661" spans="12:12" x14ac:dyDescent="0.2">
      <c r="L1661" s="44"/>
    </row>
    <row r="1662" spans="12:12" x14ac:dyDescent="0.2">
      <c r="L1662" s="44"/>
    </row>
    <row r="1663" spans="12:12" x14ac:dyDescent="0.2">
      <c r="L1663" s="44"/>
    </row>
    <row r="1664" spans="12:12" x14ac:dyDescent="0.2">
      <c r="L1664" s="44"/>
    </row>
    <row r="1665" spans="12:12" x14ac:dyDescent="0.2">
      <c r="L1665" s="44"/>
    </row>
    <row r="1666" spans="12:12" x14ac:dyDescent="0.2">
      <c r="L1666" s="44"/>
    </row>
    <row r="1667" spans="12:12" x14ac:dyDescent="0.2">
      <c r="L1667" s="44"/>
    </row>
    <row r="1668" spans="12:12" x14ac:dyDescent="0.2">
      <c r="L1668" s="44"/>
    </row>
    <row r="1669" spans="12:12" x14ac:dyDescent="0.2">
      <c r="L1669" s="44"/>
    </row>
    <row r="1670" spans="12:12" x14ac:dyDescent="0.2">
      <c r="L1670" s="44"/>
    </row>
    <row r="1671" spans="12:12" x14ac:dyDescent="0.2">
      <c r="L1671" s="44"/>
    </row>
    <row r="1672" spans="12:12" x14ac:dyDescent="0.2">
      <c r="L1672" s="44"/>
    </row>
    <row r="1673" spans="12:12" x14ac:dyDescent="0.2">
      <c r="L1673" s="44"/>
    </row>
    <row r="1674" spans="12:12" x14ac:dyDescent="0.2">
      <c r="L1674" s="44"/>
    </row>
    <row r="1675" spans="12:12" x14ac:dyDescent="0.2">
      <c r="L1675" s="44"/>
    </row>
    <row r="1676" spans="12:12" x14ac:dyDescent="0.2">
      <c r="L1676" s="44"/>
    </row>
    <row r="1677" spans="12:12" x14ac:dyDescent="0.2">
      <c r="L1677" s="44"/>
    </row>
    <row r="1678" spans="12:12" x14ac:dyDescent="0.2">
      <c r="L1678" s="44"/>
    </row>
    <row r="1679" spans="12:12" x14ac:dyDescent="0.2">
      <c r="L1679" s="44"/>
    </row>
    <row r="1680" spans="12:12" x14ac:dyDescent="0.2">
      <c r="L1680" s="44"/>
    </row>
    <row r="1681" spans="12:12" x14ac:dyDescent="0.2">
      <c r="L1681" s="44"/>
    </row>
    <row r="1682" spans="12:12" x14ac:dyDescent="0.2">
      <c r="L1682" s="44"/>
    </row>
    <row r="1683" spans="12:12" x14ac:dyDescent="0.2">
      <c r="L1683" s="44"/>
    </row>
    <row r="1684" spans="12:12" x14ac:dyDescent="0.2">
      <c r="L1684" s="44"/>
    </row>
    <row r="1685" spans="12:12" x14ac:dyDescent="0.2">
      <c r="L1685" s="44"/>
    </row>
    <row r="1686" spans="12:12" x14ac:dyDescent="0.2">
      <c r="L1686" s="44"/>
    </row>
    <row r="1687" spans="12:12" x14ac:dyDescent="0.2">
      <c r="L1687" s="44"/>
    </row>
    <row r="1688" spans="12:12" x14ac:dyDescent="0.2">
      <c r="L1688" s="44"/>
    </row>
    <row r="1689" spans="12:12" x14ac:dyDescent="0.2">
      <c r="L1689" s="44"/>
    </row>
    <row r="1690" spans="12:12" x14ac:dyDescent="0.2">
      <c r="L1690" s="44"/>
    </row>
    <row r="1691" spans="12:12" x14ac:dyDescent="0.2">
      <c r="L1691" s="44"/>
    </row>
    <row r="1692" spans="12:12" x14ac:dyDescent="0.2">
      <c r="L1692" s="44"/>
    </row>
    <row r="1693" spans="12:12" x14ac:dyDescent="0.2">
      <c r="L1693" s="44"/>
    </row>
    <row r="1694" spans="12:12" x14ac:dyDescent="0.2">
      <c r="L1694" s="44"/>
    </row>
    <row r="1695" spans="12:12" x14ac:dyDescent="0.2">
      <c r="L1695" s="44"/>
    </row>
    <row r="1696" spans="12:12" x14ac:dyDescent="0.2">
      <c r="L1696" s="44"/>
    </row>
    <row r="1697" spans="12:12" x14ac:dyDescent="0.2">
      <c r="L1697" s="44"/>
    </row>
    <row r="1698" spans="12:12" x14ac:dyDescent="0.2">
      <c r="L1698" s="44"/>
    </row>
    <row r="1699" spans="12:12" x14ac:dyDescent="0.2">
      <c r="L1699" s="44"/>
    </row>
    <row r="1700" spans="12:12" x14ac:dyDescent="0.2">
      <c r="L1700" s="44"/>
    </row>
    <row r="1701" spans="12:12" x14ac:dyDescent="0.2">
      <c r="L1701" s="44"/>
    </row>
    <row r="1702" spans="12:12" x14ac:dyDescent="0.2">
      <c r="L1702" s="44"/>
    </row>
    <row r="1703" spans="12:12" x14ac:dyDescent="0.2">
      <c r="L1703" s="44"/>
    </row>
    <row r="1704" spans="12:12" x14ac:dyDescent="0.2">
      <c r="L1704" s="44"/>
    </row>
    <row r="1705" spans="12:12" x14ac:dyDescent="0.2">
      <c r="L1705" s="44"/>
    </row>
    <row r="1706" spans="12:12" x14ac:dyDescent="0.2">
      <c r="L1706" s="44"/>
    </row>
    <row r="1707" spans="12:12" x14ac:dyDescent="0.2">
      <c r="L1707" s="44"/>
    </row>
    <row r="1708" spans="12:12" x14ac:dyDescent="0.2">
      <c r="L1708" s="44"/>
    </row>
    <row r="1709" spans="12:12" x14ac:dyDescent="0.2">
      <c r="L1709" s="44"/>
    </row>
    <row r="1710" spans="12:12" x14ac:dyDescent="0.2">
      <c r="L1710" s="44"/>
    </row>
    <row r="1711" spans="12:12" x14ac:dyDescent="0.2">
      <c r="L1711" s="44"/>
    </row>
    <row r="1712" spans="12:12" x14ac:dyDescent="0.2">
      <c r="L1712" s="44"/>
    </row>
    <row r="1713" spans="12:12" x14ac:dyDescent="0.2">
      <c r="L1713" s="44"/>
    </row>
    <row r="1714" spans="12:12" x14ac:dyDescent="0.2">
      <c r="L1714" s="44"/>
    </row>
    <row r="1715" spans="12:12" x14ac:dyDescent="0.2">
      <c r="L1715" s="44"/>
    </row>
    <row r="1716" spans="12:12" x14ac:dyDescent="0.2">
      <c r="L1716" s="44"/>
    </row>
    <row r="1717" spans="12:12" x14ac:dyDescent="0.2">
      <c r="L1717" s="44"/>
    </row>
    <row r="1718" spans="12:12" x14ac:dyDescent="0.2">
      <c r="L1718" s="44"/>
    </row>
    <row r="1719" spans="12:12" x14ac:dyDescent="0.2">
      <c r="L1719" s="44"/>
    </row>
    <row r="1720" spans="12:12" x14ac:dyDescent="0.2">
      <c r="L1720" s="44"/>
    </row>
    <row r="1721" spans="12:12" x14ac:dyDescent="0.2">
      <c r="L1721" s="44"/>
    </row>
    <row r="1722" spans="12:12" x14ac:dyDescent="0.2">
      <c r="L1722" s="44"/>
    </row>
    <row r="1723" spans="12:12" x14ac:dyDescent="0.2">
      <c r="L1723" s="44"/>
    </row>
    <row r="1724" spans="12:12" x14ac:dyDescent="0.2">
      <c r="L1724" s="44"/>
    </row>
    <row r="1725" spans="12:12" x14ac:dyDescent="0.2">
      <c r="L1725" s="44"/>
    </row>
    <row r="1726" spans="12:12" x14ac:dyDescent="0.2">
      <c r="L1726" s="44"/>
    </row>
    <row r="1727" spans="12:12" x14ac:dyDescent="0.2">
      <c r="L1727" s="44"/>
    </row>
    <row r="1728" spans="12:12" x14ac:dyDescent="0.2">
      <c r="L1728" s="44"/>
    </row>
    <row r="1729" spans="12:12" x14ac:dyDescent="0.2">
      <c r="L1729" s="44"/>
    </row>
    <row r="1730" spans="12:12" x14ac:dyDescent="0.2">
      <c r="L1730" s="44"/>
    </row>
    <row r="1731" spans="12:12" x14ac:dyDescent="0.2">
      <c r="L1731" s="44"/>
    </row>
    <row r="1732" spans="12:12" x14ac:dyDescent="0.2">
      <c r="L1732" s="44"/>
    </row>
    <row r="1733" spans="12:12" x14ac:dyDescent="0.2">
      <c r="L1733" s="44"/>
    </row>
    <row r="1734" spans="12:12" x14ac:dyDescent="0.2">
      <c r="L1734" s="44"/>
    </row>
    <row r="1735" spans="12:12" x14ac:dyDescent="0.2">
      <c r="L1735" s="44"/>
    </row>
    <row r="1736" spans="12:12" x14ac:dyDescent="0.2">
      <c r="L1736" s="44"/>
    </row>
    <row r="1737" spans="12:12" x14ac:dyDescent="0.2">
      <c r="L1737" s="44"/>
    </row>
    <row r="1738" spans="12:12" x14ac:dyDescent="0.2">
      <c r="L1738" s="44"/>
    </row>
    <row r="1739" spans="12:12" x14ac:dyDescent="0.2">
      <c r="L1739" s="44"/>
    </row>
    <row r="1740" spans="12:12" x14ac:dyDescent="0.2">
      <c r="L1740" s="44"/>
    </row>
    <row r="1741" spans="12:12" x14ac:dyDescent="0.2">
      <c r="L1741" s="44"/>
    </row>
    <row r="1742" spans="12:12" x14ac:dyDescent="0.2">
      <c r="L1742" s="44"/>
    </row>
    <row r="1743" spans="12:12" x14ac:dyDescent="0.2">
      <c r="L1743" s="44"/>
    </row>
    <row r="1744" spans="12:12" x14ac:dyDescent="0.2">
      <c r="L1744" s="44"/>
    </row>
    <row r="1745" spans="12:12" x14ac:dyDescent="0.2">
      <c r="L1745" s="44"/>
    </row>
    <row r="1746" spans="12:12" x14ac:dyDescent="0.2">
      <c r="L1746" s="44"/>
    </row>
    <row r="1747" spans="12:12" x14ac:dyDescent="0.2">
      <c r="L1747" s="44"/>
    </row>
    <row r="1748" spans="12:12" x14ac:dyDescent="0.2">
      <c r="L1748" s="44"/>
    </row>
    <row r="1749" spans="12:12" x14ac:dyDescent="0.2">
      <c r="L1749" s="44"/>
    </row>
    <row r="1750" spans="12:12" x14ac:dyDescent="0.2">
      <c r="L1750" s="44"/>
    </row>
    <row r="1751" spans="12:12" x14ac:dyDescent="0.2">
      <c r="L1751" s="44"/>
    </row>
    <row r="1752" spans="12:12" x14ac:dyDescent="0.2">
      <c r="L1752" s="44"/>
    </row>
    <row r="1753" spans="12:12" x14ac:dyDescent="0.2">
      <c r="L1753" s="44"/>
    </row>
    <row r="1754" spans="12:12" x14ac:dyDescent="0.2">
      <c r="L1754" s="44"/>
    </row>
    <row r="1755" spans="12:12" x14ac:dyDescent="0.2">
      <c r="L1755" s="44"/>
    </row>
    <row r="1756" spans="12:12" x14ac:dyDescent="0.2">
      <c r="L1756" s="44"/>
    </row>
    <row r="1757" spans="12:12" x14ac:dyDescent="0.2">
      <c r="L1757" s="44"/>
    </row>
    <row r="1758" spans="12:12" x14ac:dyDescent="0.2">
      <c r="L1758" s="44"/>
    </row>
    <row r="1759" spans="12:12" x14ac:dyDescent="0.2">
      <c r="L1759" s="44"/>
    </row>
    <row r="1760" spans="12:12" x14ac:dyDescent="0.2">
      <c r="L1760" s="44"/>
    </row>
    <row r="1761" spans="12:12" x14ac:dyDescent="0.2">
      <c r="L1761" s="44"/>
    </row>
    <row r="1762" spans="12:12" x14ac:dyDescent="0.2">
      <c r="L1762" s="44"/>
    </row>
    <row r="1763" spans="12:12" x14ac:dyDescent="0.2">
      <c r="L1763" s="44"/>
    </row>
    <row r="1764" spans="12:12" x14ac:dyDescent="0.2">
      <c r="L1764" s="44"/>
    </row>
    <row r="1765" spans="12:12" x14ac:dyDescent="0.2">
      <c r="L1765" s="44"/>
    </row>
    <row r="1766" spans="12:12" x14ac:dyDescent="0.2">
      <c r="L1766" s="44"/>
    </row>
    <row r="1767" spans="12:12" x14ac:dyDescent="0.2">
      <c r="L1767" s="44"/>
    </row>
    <row r="1768" spans="12:12" x14ac:dyDescent="0.2">
      <c r="L1768" s="44"/>
    </row>
    <row r="1769" spans="12:12" x14ac:dyDescent="0.2">
      <c r="L1769" s="44"/>
    </row>
    <row r="1770" spans="12:12" x14ac:dyDescent="0.2">
      <c r="L1770" s="44"/>
    </row>
    <row r="1771" spans="12:12" x14ac:dyDescent="0.2">
      <c r="L1771" s="44"/>
    </row>
    <row r="1772" spans="12:12" x14ac:dyDescent="0.2">
      <c r="L1772" s="44"/>
    </row>
    <row r="1773" spans="12:12" x14ac:dyDescent="0.2">
      <c r="L1773" s="44"/>
    </row>
    <row r="1774" spans="12:12" x14ac:dyDescent="0.2">
      <c r="L1774" s="44"/>
    </row>
    <row r="1775" spans="12:12" x14ac:dyDescent="0.2">
      <c r="L1775" s="44"/>
    </row>
    <row r="1776" spans="12:12" x14ac:dyDescent="0.2">
      <c r="L1776" s="44"/>
    </row>
    <row r="1777" spans="12:12" x14ac:dyDescent="0.2">
      <c r="L1777" s="44"/>
    </row>
    <row r="1778" spans="12:12" x14ac:dyDescent="0.2">
      <c r="L1778" s="44"/>
    </row>
    <row r="1779" spans="12:12" x14ac:dyDescent="0.2">
      <c r="L1779" s="44"/>
    </row>
    <row r="1780" spans="12:12" x14ac:dyDescent="0.2">
      <c r="L1780" s="44"/>
    </row>
    <row r="1781" spans="12:12" x14ac:dyDescent="0.2">
      <c r="L1781" s="44"/>
    </row>
    <row r="1782" spans="12:12" x14ac:dyDescent="0.2">
      <c r="L1782" s="44"/>
    </row>
    <row r="1783" spans="12:12" x14ac:dyDescent="0.2">
      <c r="L1783" s="44"/>
    </row>
    <row r="1784" spans="12:12" x14ac:dyDescent="0.2">
      <c r="L1784" s="44"/>
    </row>
    <row r="1785" spans="12:12" x14ac:dyDescent="0.2">
      <c r="L1785" s="44"/>
    </row>
    <row r="1786" spans="12:12" x14ac:dyDescent="0.2">
      <c r="L1786" s="44"/>
    </row>
    <row r="1787" spans="12:12" x14ac:dyDescent="0.2">
      <c r="L1787" s="44"/>
    </row>
    <row r="1788" spans="12:12" x14ac:dyDescent="0.2">
      <c r="L1788" s="44"/>
    </row>
    <row r="1789" spans="12:12" x14ac:dyDescent="0.2">
      <c r="L1789" s="44"/>
    </row>
    <row r="1790" spans="12:12" x14ac:dyDescent="0.2">
      <c r="L1790" s="44"/>
    </row>
    <row r="1791" spans="12:12" x14ac:dyDescent="0.2">
      <c r="L1791" s="44"/>
    </row>
    <row r="1792" spans="12:12" x14ac:dyDescent="0.2">
      <c r="L1792" s="44"/>
    </row>
    <row r="1793" spans="12:12" x14ac:dyDescent="0.2">
      <c r="L1793" s="44"/>
    </row>
    <row r="1794" spans="12:12" x14ac:dyDescent="0.2">
      <c r="L1794" s="44"/>
    </row>
    <row r="1795" spans="12:12" x14ac:dyDescent="0.2">
      <c r="L1795" s="44"/>
    </row>
    <row r="1796" spans="12:12" x14ac:dyDescent="0.2">
      <c r="L1796" s="44"/>
    </row>
    <row r="1797" spans="12:12" x14ac:dyDescent="0.2">
      <c r="L1797" s="44"/>
    </row>
    <row r="1798" spans="12:12" x14ac:dyDescent="0.2">
      <c r="L1798" s="44"/>
    </row>
    <row r="1799" spans="12:12" x14ac:dyDescent="0.2">
      <c r="L1799" s="44"/>
    </row>
    <row r="1800" spans="12:12" x14ac:dyDescent="0.2">
      <c r="L1800" s="44"/>
    </row>
    <row r="1801" spans="12:12" x14ac:dyDescent="0.2">
      <c r="L1801" s="44"/>
    </row>
    <row r="1802" spans="12:12" x14ac:dyDescent="0.2">
      <c r="L1802" s="44"/>
    </row>
    <row r="1803" spans="12:12" x14ac:dyDescent="0.2">
      <c r="L1803" s="44"/>
    </row>
    <row r="1804" spans="12:12" x14ac:dyDescent="0.2">
      <c r="L1804" s="44"/>
    </row>
    <row r="1805" spans="12:12" x14ac:dyDescent="0.2">
      <c r="L1805" s="44"/>
    </row>
    <row r="1806" spans="12:12" x14ac:dyDescent="0.2">
      <c r="L1806" s="44"/>
    </row>
    <row r="1807" spans="12:12" x14ac:dyDescent="0.2">
      <c r="L1807" s="44"/>
    </row>
    <row r="1808" spans="12:12" x14ac:dyDescent="0.2">
      <c r="L1808" s="44"/>
    </row>
    <row r="1809" spans="12:12" x14ac:dyDescent="0.2">
      <c r="L1809" s="44"/>
    </row>
    <row r="1810" spans="12:12" x14ac:dyDescent="0.2">
      <c r="L1810" s="44"/>
    </row>
    <row r="1811" spans="12:12" x14ac:dyDescent="0.2">
      <c r="L1811" s="44"/>
    </row>
    <row r="1812" spans="12:12" x14ac:dyDescent="0.2">
      <c r="L1812" s="44"/>
    </row>
    <row r="1813" spans="12:12" x14ac:dyDescent="0.2">
      <c r="L1813" s="44"/>
    </row>
    <row r="1814" spans="12:12" x14ac:dyDescent="0.2">
      <c r="L1814" s="44"/>
    </row>
    <row r="1815" spans="12:12" x14ac:dyDescent="0.2">
      <c r="L1815" s="44"/>
    </row>
    <row r="1816" spans="12:12" x14ac:dyDescent="0.2">
      <c r="L1816" s="44"/>
    </row>
    <row r="1817" spans="12:12" x14ac:dyDescent="0.2">
      <c r="L1817" s="44"/>
    </row>
    <row r="1818" spans="12:12" x14ac:dyDescent="0.2">
      <c r="L1818" s="44"/>
    </row>
    <row r="1819" spans="12:12" x14ac:dyDescent="0.2">
      <c r="L1819" s="44"/>
    </row>
    <row r="1820" spans="12:12" x14ac:dyDescent="0.2">
      <c r="L1820" s="44"/>
    </row>
    <row r="1821" spans="12:12" x14ac:dyDescent="0.2">
      <c r="L1821" s="44"/>
    </row>
    <row r="1822" spans="12:12" x14ac:dyDescent="0.2">
      <c r="L1822" s="44"/>
    </row>
    <row r="1823" spans="12:12" x14ac:dyDescent="0.2">
      <c r="L1823" s="44"/>
    </row>
    <row r="1824" spans="12:12" x14ac:dyDescent="0.2">
      <c r="L1824" s="44"/>
    </row>
    <row r="1825" spans="12:12" x14ac:dyDescent="0.2">
      <c r="L1825" s="44"/>
    </row>
    <row r="1826" spans="12:12" x14ac:dyDescent="0.2">
      <c r="L1826" s="44"/>
    </row>
    <row r="1827" spans="12:12" x14ac:dyDescent="0.2">
      <c r="L1827" s="44"/>
    </row>
    <row r="1828" spans="12:12" x14ac:dyDescent="0.2">
      <c r="L1828" s="44"/>
    </row>
    <row r="1829" spans="12:12" x14ac:dyDescent="0.2">
      <c r="L1829" s="44"/>
    </row>
    <row r="1830" spans="12:12" x14ac:dyDescent="0.2">
      <c r="L1830" s="44"/>
    </row>
    <row r="1831" spans="12:12" x14ac:dyDescent="0.2">
      <c r="L1831" s="44"/>
    </row>
    <row r="1832" spans="12:12" x14ac:dyDescent="0.2">
      <c r="L1832" s="44"/>
    </row>
    <row r="1833" spans="12:12" x14ac:dyDescent="0.2">
      <c r="L1833" s="44"/>
    </row>
    <row r="1834" spans="12:12" x14ac:dyDescent="0.2">
      <c r="L1834" s="44"/>
    </row>
    <row r="1835" spans="12:12" x14ac:dyDescent="0.2">
      <c r="L1835" s="44"/>
    </row>
    <row r="1836" spans="12:12" x14ac:dyDescent="0.2">
      <c r="L1836" s="44"/>
    </row>
    <row r="1837" spans="12:12" x14ac:dyDescent="0.2">
      <c r="L1837" s="44"/>
    </row>
    <row r="1838" spans="12:12" x14ac:dyDescent="0.2">
      <c r="L1838" s="44"/>
    </row>
    <row r="1839" spans="12:12" x14ac:dyDescent="0.2">
      <c r="L1839" s="44"/>
    </row>
    <row r="1840" spans="12:12" x14ac:dyDescent="0.2">
      <c r="L1840" s="44"/>
    </row>
    <row r="1841" spans="12:12" x14ac:dyDescent="0.2">
      <c r="L1841" s="44"/>
    </row>
    <row r="1842" spans="12:12" x14ac:dyDescent="0.2">
      <c r="L1842" s="44"/>
    </row>
    <row r="1843" spans="12:12" x14ac:dyDescent="0.2">
      <c r="L1843" s="44"/>
    </row>
    <row r="1844" spans="12:12" x14ac:dyDescent="0.2">
      <c r="L1844" s="44"/>
    </row>
    <row r="1845" spans="12:12" x14ac:dyDescent="0.2">
      <c r="L1845" s="44"/>
    </row>
    <row r="1846" spans="12:12" x14ac:dyDescent="0.2">
      <c r="L1846" s="44"/>
    </row>
    <row r="1847" spans="12:12" x14ac:dyDescent="0.2">
      <c r="L1847" s="44"/>
    </row>
    <row r="1848" spans="12:12" x14ac:dyDescent="0.2">
      <c r="L1848" s="44"/>
    </row>
    <row r="1849" spans="12:12" x14ac:dyDescent="0.2">
      <c r="L1849" s="44"/>
    </row>
    <row r="1850" spans="12:12" x14ac:dyDescent="0.2">
      <c r="L1850" s="44"/>
    </row>
    <row r="1851" spans="12:12" x14ac:dyDescent="0.2">
      <c r="L1851" s="44"/>
    </row>
    <row r="1852" spans="12:12" x14ac:dyDescent="0.2">
      <c r="L1852" s="44"/>
    </row>
    <row r="1853" spans="12:12" x14ac:dyDescent="0.2">
      <c r="L1853" s="44"/>
    </row>
    <row r="1854" spans="12:12" x14ac:dyDescent="0.2">
      <c r="L1854" s="44"/>
    </row>
    <row r="1855" spans="12:12" x14ac:dyDescent="0.2">
      <c r="L1855" s="44"/>
    </row>
    <row r="1856" spans="12:12" x14ac:dyDescent="0.2">
      <c r="L1856" s="44"/>
    </row>
    <row r="1857" spans="12:12" x14ac:dyDescent="0.2">
      <c r="L1857" s="44"/>
    </row>
    <row r="1858" spans="12:12" x14ac:dyDescent="0.2">
      <c r="L1858" s="44"/>
    </row>
    <row r="1859" spans="12:12" x14ac:dyDescent="0.2">
      <c r="L1859" s="44"/>
    </row>
    <row r="1860" spans="12:12" x14ac:dyDescent="0.2">
      <c r="L1860" s="44"/>
    </row>
    <row r="1861" spans="12:12" x14ac:dyDescent="0.2">
      <c r="L1861" s="44"/>
    </row>
    <row r="1862" spans="12:12" x14ac:dyDescent="0.2">
      <c r="L1862" s="44"/>
    </row>
    <row r="1863" spans="12:12" x14ac:dyDescent="0.2">
      <c r="L1863" s="44"/>
    </row>
    <row r="1864" spans="12:12" x14ac:dyDescent="0.2">
      <c r="L1864" s="44"/>
    </row>
    <row r="1865" spans="12:12" x14ac:dyDescent="0.2">
      <c r="L1865" s="44"/>
    </row>
    <row r="1866" spans="12:12" x14ac:dyDescent="0.2">
      <c r="L1866" s="44"/>
    </row>
    <row r="1867" spans="12:12" x14ac:dyDescent="0.2">
      <c r="L1867" s="44"/>
    </row>
    <row r="1868" spans="12:12" x14ac:dyDescent="0.2">
      <c r="L1868" s="44"/>
    </row>
    <row r="1869" spans="12:12" x14ac:dyDescent="0.2">
      <c r="L1869" s="44"/>
    </row>
    <row r="1870" spans="12:12" x14ac:dyDescent="0.2">
      <c r="L1870" s="44"/>
    </row>
    <row r="1871" spans="12:12" x14ac:dyDescent="0.2">
      <c r="L1871" s="44"/>
    </row>
    <row r="1872" spans="12:12" x14ac:dyDescent="0.2">
      <c r="L1872" s="44"/>
    </row>
    <row r="1873" spans="12:12" x14ac:dyDescent="0.2">
      <c r="L1873" s="44"/>
    </row>
    <row r="1874" spans="12:12" x14ac:dyDescent="0.2">
      <c r="L1874" s="44"/>
    </row>
    <row r="1875" spans="12:12" x14ac:dyDescent="0.2">
      <c r="L1875" s="44"/>
    </row>
    <row r="1876" spans="12:12" x14ac:dyDescent="0.2">
      <c r="L1876" s="44"/>
    </row>
    <row r="1877" spans="12:12" x14ac:dyDescent="0.2">
      <c r="L1877" s="44"/>
    </row>
    <row r="1878" spans="12:12" x14ac:dyDescent="0.2">
      <c r="L1878" s="44"/>
    </row>
    <row r="1879" spans="12:12" x14ac:dyDescent="0.2">
      <c r="L1879" s="44"/>
    </row>
    <row r="1880" spans="12:12" x14ac:dyDescent="0.2">
      <c r="L1880" s="44"/>
    </row>
    <row r="1881" spans="12:12" x14ac:dyDescent="0.2">
      <c r="L1881" s="44"/>
    </row>
    <row r="1882" spans="12:12" x14ac:dyDescent="0.2">
      <c r="L1882" s="44"/>
    </row>
    <row r="1883" spans="12:12" x14ac:dyDescent="0.2">
      <c r="L1883" s="44"/>
    </row>
    <row r="1884" spans="12:12" x14ac:dyDescent="0.2">
      <c r="L1884" s="44"/>
    </row>
    <row r="1885" spans="12:12" x14ac:dyDescent="0.2">
      <c r="L1885" s="44"/>
    </row>
    <row r="1886" spans="12:12" x14ac:dyDescent="0.2">
      <c r="L1886" s="44"/>
    </row>
    <row r="1887" spans="12:12" x14ac:dyDescent="0.2">
      <c r="L1887" s="44"/>
    </row>
    <row r="1888" spans="12:12" x14ac:dyDescent="0.2">
      <c r="L1888" s="44"/>
    </row>
    <row r="1889" spans="12:12" x14ac:dyDescent="0.2">
      <c r="L1889" s="44"/>
    </row>
    <row r="1890" spans="12:12" x14ac:dyDescent="0.2">
      <c r="L1890" s="44"/>
    </row>
    <row r="1891" spans="12:12" x14ac:dyDescent="0.2">
      <c r="L1891" s="44"/>
    </row>
    <row r="1892" spans="12:12" x14ac:dyDescent="0.2">
      <c r="L1892" s="44"/>
    </row>
    <row r="1893" spans="12:12" x14ac:dyDescent="0.2">
      <c r="L1893" s="44"/>
    </row>
    <row r="1894" spans="12:12" x14ac:dyDescent="0.2">
      <c r="L1894" s="44"/>
    </row>
    <row r="1895" spans="12:12" x14ac:dyDescent="0.2">
      <c r="L1895" s="44"/>
    </row>
    <row r="1896" spans="12:12" x14ac:dyDescent="0.2">
      <c r="L1896" s="44"/>
    </row>
    <row r="1897" spans="12:12" x14ac:dyDescent="0.2">
      <c r="L1897" s="44"/>
    </row>
    <row r="1898" spans="12:12" x14ac:dyDescent="0.2">
      <c r="L1898" s="44"/>
    </row>
    <row r="1899" spans="12:12" x14ac:dyDescent="0.2">
      <c r="L1899" s="44"/>
    </row>
    <row r="1900" spans="12:12" x14ac:dyDescent="0.2">
      <c r="L1900" s="44"/>
    </row>
    <row r="1901" spans="12:12" x14ac:dyDescent="0.2">
      <c r="L1901" s="44"/>
    </row>
    <row r="1902" spans="12:12" x14ac:dyDescent="0.2">
      <c r="L1902" s="44"/>
    </row>
    <row r="1903" spans="12:12" x14ac:dyDescent="0.2">
      <c r="L1903" s="44"/>
    </row>
    <row r="1904" spans="12:12" x14ac:dyDescent="0.2">
      <c r="L1904" s="44"/>
    </row>
    <row r="1905" spans="12:12" x14ac:dyDescent="0.2">
      <c r="L1905" s="44"/>
    </row>
    <row r="1906" spans="12:12" x14ac:dyDescent="0.2">
      <c r="L1906" s="44"/>
    </row>
    <row r="1907" spans="12:12" x14ac:dyDescent="0.2">
      <c r="L1907" s="44"/>
    </row>
    <row r="1908" spans="12:12" x14ac:dyDescent="0.2">
      <c r="L1908" s="44"/>
    </row>
    <row r="1909" spans="12:12" x14ac:dyDescent="0.2">
      <c r="L1909" s="44"/>
    </row>
    <row r="1910" spans="12:12" x14ac:dyDescent="0.2">
      <c r="L1910" s="44"/>
    </row>
    <row r="1911" spans="12:12" x14ac:dyDescent="0.2">
      <c r="L1911" s="44"/>
    </row>
    <row r="1912" spans="12:12" x14ac:dyDescent="0.2">
      <c r="L1912" s="44"/>
    </row>
    <row r="1913" spans="12:12" x14ac:dyDescent="0.2">
      <c r="L1913" s="44"/>
    </row>
    <row r="1914" spans="12:12" x14ac:dyDescent="0.2">
      <c r="L1914" s="44"/>
    </row>
    <row r="1915" spans="12:12" x14ac:dyDescent="0.2">
      <c r="L1915" s="44"/>
    </row>
    <row r="1916" spans="12:12" x14ac:dyDescent="0.2">
      <c r="L1916" s="44"/>
    </row>
    <row r="1917" spans="12:12" x14ac:dyDescent="0.2">
      <c r="L1917" s="44"/>
    </row>
    <row r="1918" spans="12:12" x14ac:dyDescent="0.2">
      <c r="L1918" s="44"/>
    </row>
    <row r="1919" spans="12:12" x14ac:dyDescent="0.2">
      <c r="L1919" s="44"/>
    </row>
    <row r="1920" spans="12:12" x14ac:dyDescent="0.2">
      <c r="L1920" s="44"/>
    </row>
    <row r="1921" spans="12:12" x14ac:dyDescent="0.2">
      <c r="L1921" s="44"/>
    </row>
    <row r="1922" spans="12:12" x14ac:dyDescent="0.2">
      <c r="L1922" s="44"/>
    </row>
    <row r="1923" spans="12:12" x14ac:dyDescent="0.2">
      <c r="L1923" s="44"/>
    </row>
    <row r="1924" spans="12:12" x14ac:dyDescent="0.2">
      <c r="L1924" s="44"/>
    </row>
    <row r="1925" spans="12:12" x14ac:dyDescent="0.2">
      <c r="L1925" s="44"/>
    </row>
    <row r="1926" spans="12:12" x14ac:dyDescent="0.2">
      <c r="L1926" s="44"/>
    </row>
    <row r="1927" spans="12:12" x14ac:dyDescent="0.2">
      <c r="L1927" s="44"/>
    </row>
    <row r="1928" spans="12:12" x14ac:dyDescent="0.2">
      <c r="L1928" s="44"/>
    </row>
    <row r="1929" spans="12:12" x14ac:dyDescent="0.2">
      <c r="L1929" s="44"/>
    </row>
    <row r="1930" spans="12:12" x14ac:dyDescent="0.2">
      <c r="L1930" s="44"/>
    </row>
    <row r="1931" spans="12:12" x14ac:dyDescent="0.2">
      <c r="L1931" s="44"/>
    </row>
    <row r="1932" spans="12:12" x14ac:dyDescent="0.2">
      <c r="L1932" s="44"/>
    </row>
    <row r="1933" spans="12:12" x14ac:dyDescent="0.2">
      <c r="L1933" s="44"/>
    </row>
    <row r="1934" spans="12:12" x14ac:dyDescent="0.2">
      <c r="L1934" s="44"/>
    </row>
    <row r="1935" spans="12:12" x14ac:dyDescent="0.2">
      <c r="L1935" s="44"/>
    </row>
    <row r="1936" spans="12:12" x14ac:dyDescent="0.2">
      <c r="L1936" s="44"/>
    </row>
    <row r="1937" spans="12:12" x14ac:dyDescent="0.2">
      <c r="L1937" s="44"/>
    </row>
    <row r="1938" spans="12:12" x14ac:dyDescent="0.2">
      <c r="L1938" s="44"/>
    </row>
    <row r="1939" spans="12:12" x14ac:dyDescent="0.2">
      <c r="L1939" s="44"/>
    </row>
    <row r="1940" spans="12:12" x14ac:dyDescent="0.2">
      <c r="L1940" s="44"/>
    </row>
    <row r="1941" spans="12:12" x14ac:dyDescent="0.2">
      <c r="L1941" s="44"/>
    </row>
    <row r="1942" spans="12:12" x14ac:dyDescent="0.2">
      <c r="L1942" s="44"/>
    </row>
    <row r="1943" spans="12:12" x14ac:dyDescent="0.2">
      <c r="L1943" s="44"/>
    </row>
    <row r="1944" spans="12:12" x14ac:dyDescent="0.2">
      <c r="L1944" s="44"/>
    </row>
    <row r="1945" spans="12:12" x14ac:dyDescent="0.2">
      <c r="L1945" s="44"/>
    </row>
    <row r="1946" spans="12:12" x14ac:dyDescent="0.2">
      <c r="L1946" s="44"/>
    </row>
    <row r="1947" spans="12:12" x14ac:dyDescent="0.2">
      <c r="L1947" s="44"/>
    </row>
    <row r="1948" spans="12:12" x14ac:dyDescent="0.2">
      <c r="L1948" s="44"/>
    </row>
    <row r="1949" spans="12:12" x14ac:dyDescent="0.2">
      <c r="L1949" s="44"/>
    </row>
    <row r="1950" spans="12:12" x14ac:dyDescent="0.2">
      <c r="L1950" s="44"/>
    </row>
    <row r="1951" spans="12:12" x14ac:dyDescent="0.2">
      <c r="L1951" s="44"/>
    </row>
    <row r="1952" spans="12:12" x14ac:dyDescent="0.2">
      <c r="L1952" s="44"/>
    </row>
    <row r="1953" spans="12:12" x14ac:dyDescent="0.2">
      <c r="L1953" s="44"/>
    </row>
    <row r="1954" spans="12:12" x14ac:dyDescent="0.2">
      <c r="L1954" s="44"/>
    </row>
    <row r="1955" spans="12:12" x14ac:dyDescent="0.2">
      <c r="L1955" s="44"/>
    </row>
    <row r="1956" spans="12:12" x14ac:dyDescent="0.2">
      <c r="L1956" s="44"/>
    </row>
    <row r="1957" spans="12:12" x14ac:dyDescent="0.2">
      <c r="L1957" s="44"/>
    </row>
    <row r="1958" spans="12:12" x14ac:dyDescent="0.2">
      <c r="L1958" s="44"/>
    </row>
    <row r="1959" spans="12:12" x14ac:dyDescent="0.2">
      <c r="L1959" s="44"/>
    </row>
    <row r="1960" spans="12:12" x14ac:dyDescent="0.2">
      <c r="L1960" s="44"/>
    </row>
    <row r="1961" spans="12:12" x14ac:dyDescent="0.2">
      <c r="L1961" s="44"/>
    </row>
    <row r="1962" spans="12:12" x14ac:dyDescent="0.2">
      <c r="L1962" s="44"/>
    </row>
    <row r="1963" spans="12:12" x14ac:dyDescent="0.2">
      <c r="L1963" s="44"/>
    </row>
    <row r="1964" spans="12:12" x14ac:dyDescent="0.2">
      <c r="L1964" s="44"/>
    </row>
    <row r="1965" spans="12:12" x14ac:dyDescent="0.2">
      <c r="L1965" s="44"/>
    </row>
    <row r="1966" spans="12:12" x14ac:dyDescent="0.2">
      <c r="L1966" s="44"/>
    </row>
    <row r="1967" spans="12:12" x14ac:dyDescent="0.2">
      <c r="L1967" s="44"/>
    </row>
    <row r="1968" spans="12:12" x14ac:dyDescent="0.2">
      <c r="L1968" s="44"/>
    </row>
    <row r="1969" spans="12:12" x14ac:dyDescent="0.2">
      <c r="L1969" s="44"/>
    </row>
    <row r="1970" spans="12:12" x14ac:dyDescent="0.2">
      <c r="L1970" s="44"/>
    </row>
    <row r="1971" spans="12:12" x14ac:dyDescent="0.2">
      <c r="L1971" s="44"/>
    </row>
    <row r="1972" spans="12:12" x14ac:dyDescent="0.2">
      <c r="L1972" s="44"/>
    </row>
    <row r="1973" spans="12:12" x14ac:dyDescent="0.2">
      <c r="L1973" s="44"/>
    </row>
    <row r="1974" spans="12:12" x14ac:dyDescent="0.2">
      <c r="L1974" s="44"/>
    </row>
    <row r="1975" spans="12:12" x14ac:dyDescent="0.2">
      <c r="L1975" s="44"/>
    </row>
    <row r="1976" spans="12:12" x14ac:dyDescent="0.2">
      <c r="L1976" s="44"/>
    </row>
    <row r="1977" spans="12:12" x14ac:dyDescent="0.2">
      <c r="L1977" s="44"/>
    </row>
    <row r="1978" spans="12:12" x14ac:dyDescent="0.2">
      <c r="L1978" s="44"/>
    </row>
    <row r="1979" spans="12:12" x14ac:dyDescent="0.2">
      <c r="L1979" s="44"/>
    </row>
    <row r="1980" spans="12:12" x14ac:dyDescent="0.2">
      <c r="L1980" s="44"/>
    </row>
    <row r="1981" spans="12:12" x14ac:dyDescent="0.2">
      <c r="L1981" s="44"/>
    </row>
    <row r="1982" spans="12:12" x14ac:dyDescent="0.2">
      <c r="L1982" s="44"/>
    </row>
    <row r="1983" spans="12:12" x14ac:dyDescent="0.2">
      <c r="L1983" s="44"/>
    </row>
    <row r="1984" spans="12:12" x14ac:dyDescent="0.2">
      <c r="L1984" s="44"/>
    </row>
    <row r="1985" spans="12:12" x14ac:dyDescent="0.2">
      <c r="L1985" s="44"/>
    </row>
    <row r="1986" spans="12:12" x14ac:dyDescent="0.2">
      <c r="L1986" s="44"/>
    </row>
    <row r="1987" spans="12:12" x14ac:dyDescent="0.2">
      <c r="L1987" s="44"/>
    </row>
    <row r="1988" spans="12:12" x14ac:dyDescent="0.2">
      <c r="L1988" s="44"/>
    </row>
    <row r="1989" spans="12:12" x14ac:dyDescent="0.2">
      <c r="L1989" s="44"/>
    </row>
    <row r="1990" spans="12:12" x14ac:dyDescent="0.2">
      <c r="L1990" s="44"/>
    </row>
    <row r="1991" spans="12:12" x14ac:dyDescent="0.2">
      <c r="L1991" s="44"/>
    </row>
    <row r="1992" spans="12:12" x14ac:dyDescent="0.2">
      <c r="L1992" s="44"/>
    </row>
    <row r="1993" spans="12:12" x14ac:dyDescent="0.2">
      <c r="L1993" s="44"/>
    </row>
    <row r="1994" spans="12:12" x14ac:dyDescent="0.2">
      <c r="L1994" s="44"/>
    </row>
    <row r="1995" spans="12:12" x14ac:dyDescent="0.2">
      <c r="L1995" s="44"/>
    </row>
    <row r="1996" spans="12:12" x14ac:dyDescent="0.2">
      <c r="L1996" s="44"/>
    </row>
    <row r="1997" spans="12:12" x14ac:dyDescent="0.2">
      <c r="L1997" s="44"/>
    </row>
    <row r="1998" spans="12:12" x14ac:dyDescent="0.2">
      <c r="L1998" s="44"/>
    </row>
    <row r="1999" spans="12:12" x14ac:dyDescent="0.2">
      <c r="L1999" s="44"/>
    </row>
    <row r="2000" spans="12:12" x14ac:dyDescent="0.2">
      <c r="L2000" s="44"/>
    </row>
    <row r="2001" spans="12:12" x14ac:dyDescent="0.2">
      <c r="L2001" s="44"/>
    </row>
    <row r="2002" spans="12:12" x14ac:dyDescent="0.2">
      <c r="L2002" s="44"/>
    </row>
    <row r="2003" spans="12:12" x14ac:dyDescent="0.2">
      <c r="L2003" s="44"/>
    </row>
    <row r="2004" spans="12:12" x14ac:dyDescent="0.2">
      <c r="L2004" s="44"/>
    </row>
    <row r="2005" spans="12:12" x14ac:dyDescent="0.2">
      <c r="L2005" s="44"/>
    </row>
    <row r="2006" spans="12:12" x14ac:dyDescent="0.2">
      <c r="L2006" s="44"/>
    </row>
    <row r="2007" spans="12:12" x14ac:dyDescent="0.2">
      <c r="L2007" s="44"/>
    </row>
    <row r="2008" spans="12:12" x14ac:dyDescent="0.2">
      <c r="L2008" s="44"/>
    </row>
    <row r="2009" spans="12:12" x14ac:dyDescent="0.2">
      <c r="L2009" s="44"/>
    </row>
    <row r="2010" spans="12:12" x14ac:dyDescent="0.2">
      <c r="L2010" s="44"/>
    </row>
    <row r="2011" spans="12:12" x14ac:dyDescent="0.2">
      <c r="L2011" s="44"/>
    </row>
    <row r="2012" spans="12:12" x14ac:dyDescent="0.2">
      <c r="L2012" s="44"/>
    </row>
    <row r="2013" spans="12:12" x14ac:dyDescent="0.2">
      <c r="L2013" s="44"/>
    </row>
    <row r="2014" spans="12:12" x14ac:dyDescent="0.2">
      <c r="L2014" s="44"/>
    </row>
    <row r="2015" spans="12:12" x14ac:dyDescent="0.2">
      <c r="L2015" s="44"/>
    </row>
    <row r="2016" spans="12:12" x14ac:dyDescent="0.2">
      <c r="L2016" s="44"/>
    </row>
    <row r="2017" spans="12:12" x14ac:dyDescent="0.2">
      <c r="L2017" s="44"/>
    </row>
    <row r="2018" spans="12:12" x14ac:dyDescent="0.2">
      <c r="L2018" s="44"/>
    </row>
    <row r="2019" spans="12:12" x14ac:dyDescent="0.2">
      <c r="L2019" s="44"/>
    </row>
    <row r="2020" spans="12:12" x14ac:dyDescent="0.2">
      <c r="L2020" s="44"/>
    </row>
    <row r="2021" spans="12:12" x14ac:dyDescent="0.2">
      <c r="L2021" s="44"/>
    </row>
    <row r="2022" spans="12:12" x14ac:dyDescent="0.2">
      <c r="L2022" s="44"/>
    </row>
    <row r="2023" spans="12:12" x14ac:dyDescent="0.2">
      <c r="L2023" s="44"/>
    </row>
    <row r="2024" spans="12:12" x14ac:dyDescent="0.2">
      <c r="L2024" s="44"/>
    </row>
    <row r="2025" spans="12:12" x14ac:dyDescent="0.2">
      <c r="L2025" s="44"/>
    </row>
    <row r="2026" spans="12:12" x14ac:dyDescent="0.2">
      <c r="L2026" s="44"/>
    </row>
    <row r="2027" spans="12:12" x14ac:dyDescent="0.2">
      <c r="L2027" s="44"/>
    </row>
    <row r="2028" spans="12:12" x14ac:dyDescent="0.2">
      <c r="L2028" s="44"/>
    </row>
    <row r="2029" spans="12:12" x14ac:dyDescent="0.2">
      <c r="L2029" s="44"/>
    </row>
    <row r="2030" spans="12:12" x14ac:dyDescent="0.2">
      <c r="L2030" s="44"/>
    </row>
    <row r="2031" spans="12:12" x14ac:dyDescent="0.2">
      <c r="L2031" s="44"/>
    </row>
    <row r="2032" spans="12:12" x14ac:dyDescent="0.2">
      <c r="L2032" s="44"/>
    </row>
    <row r="2033" spans="12:12" x14ac:dyDescent="0.2">
      <c r="L2033" s="44"/>
    </row>
    <row r="2034" spans="12:12" x14ac:dyDescent="0.2">
      <c r="L2034" s="44"/>
    </row>
    <row r="2035" spans="12:12" x14ac:dyDescent="0.2">
      <c r="L2035" s="44"/>
    </row>
    <row r="2036" spans="12:12" x14ac:dyDescent="0.2">
      <c r="L2036" s="44"/>
    </row>
    <row r="2037" spans="12:12" x14ac:dyDescent="0.2">
      <c r="L2037" s="44"/>
    </row>
    <row r="2038" spans="12:12" x14ac:dyDescent="0.2">
      <c r="L2038" s="44"/>
    </row>
    <row r="2039" spans="12:12" x14ac:dyDescent="0.2">
      <c r="L2039" s="44"/>
    </row>
    <row r="2040" spans="12:12" x14ac:dyDescent="0.2">
      <c r="L2040" s="44"/>
    </row>
    <row r="2041" spans="12:12" x14ac:dyDescent="0.2">
      <c r="L2041" s="44"/>
    </row>
    <row r="2042" spans="12:12" x14ac:dyDescent="0.2">
      <c r="L2042" s="44"/>
    </row>
    <row r="2043" spans="12:12" x14ac:dyDescent="0.2">
      <c r="L2043" s="44"/>
    </row>
    <row r="2044" spans="12:12" x14ac:dyDescent="0.2">
      <c r="L2044" s="44"/>
    </row>
    <row r="2045" spans="12:12" x14ac:dyDescent="0.2">
      <c r="L2045" s="44"/>
    </row>
    <row r="2046" spans="12:12" x14ac:dyDescent="0.2">
      <c r="L2046" s="44"/>
    </row>
    <row r="2047" spans="12:12" x14ac:dyDescent="0.2">
      <c r="L2047" s="44"/>
    </row>
    <row r="2048" spans="12:12" x14ac:dyDescent="0.2">
      <c r="L2048" s="44"/>
    </row>
    <row r="2049" spans="12:12" x14ac:dyDescent="0.2">
      <c r="L2049" s="44"/>
    </row>
    <row r="2050" spans="12:12" x14ac:dyDescent="0.2">
      <c r="L2050" s="44"/>
    </row>
    <row r="2051" spans="12:12" x14ac:dyDescent="0.2">
      <c r="L2051" s="44"/>
    </row>
    <row r="2052" spans="12:12" x14ac:dyDescent="0.2">
      <c r="L2052" s="44"/>
    </row>
    <row r="2053" spans="12:12" x14ac:dyDescent="0.2">
      <c r="L2053" s="44"/>
    </row>
    <row r="2054" spans="12:12" x14ac:dyDescent="0.2">
      <c r="L2054" s="44"/>
    </row>
    <row r="2055" spans="12:12" x14ac:dyDescent="0.2">
      <c r="L2055" s="44"/>
    </row>
    <row r="2056" spans="12:12" x14ac:dyDescent="0.2">
      <c r="L2056" s="44"/>
    </row>
    <row r="2057" spans="12:12" x14ac:dyDescent="0.2">
      <c r="L2057" s="44"/>
    </row>
    <row r="2058" spans="12:12" x14ac:dyDescent="0.2">
      <c r="L2058" s="44"/>
    </row>
    <row r="2059" spans="12:12" x14ac:dyDescent="0.2">
      <c r="L2059" s="44"/>
    </row>
    <row r="2060" spans="12:12" x14ac:dyDescent="0.2">
      <c r="L2060" s="44"/>
    </row>
    <row r="2061" spans="12:12" x14ac:dyDescent="0.2">
      <c r="L2061" s="44"/>
    </row>
    <row r="2062" spans="12:12" x14ac:dyDescent="0.2">
      <c r="L2062" s="44"/>
    </row>
    <row r="2063" spans="12:12" x14ac:dyDescent="0.2">
      <c r="L2063" s="44"/>
    </row>
    <row r="2064" spans="12:12" x14ac:dyDescent="0.2">
      <c r="L2064" s="44"/>
    </row>
    <row r="2065" spans="12:12" x14ac:dyDescent="0.2">
      <c r="L2065" s="44"/>
    </row>
    <row r="2066" spans="12:12" x14ac:dyDescent="0.2">
      <c r="L2066" s="44"/>
    </row>
    <row r="2067" spans="12:12" x14ac:dyDescent="0.2">
      <c r="L2067" s="44"/>
    </row>
    <row r="2068" spans="12:12" x14ac:dyDescent="0.2">
      <c r="L2068" s="44"/>
    </row>
    <row r="2069" spans="12:12" x14ac:dyDescent="0.2">
      <c r="L2069" s="44"/>
    </row>
    <row r="2070" spans="12:12" x14ac:dyDescent="0.2">
      <c r="L2070" s="44"/>
    </row>
    <row r="2071" spans="12:12" x14ac:dyDescent="0.2">
      <c r="L2071" s="44"/>
    </row>
    <row r="2072" spans="12:12" x14ac:dyDescent="0.2">
      <c r="L2072" s="44"/>
    </row>
    <row r="2073" spans="12:12" x14ac:dyDescent="0.2">
      <c r="L2073" s="44"/>
    </row>
    <row r="2074" spans="12:12" x14ac:dyDescent="0.2">
      <c r="L2074" s="44"/>
    </row>
    <row r="2075" spans="12:12" x14ac:dyDescent="0.2">
      <c r="L2075" s="44"/>
    </row>
    <row r="2076" spans="12:12" x14ac:dyDescent="0.2">
      <c r="L2076" s="44"/>
    </row>
    <row r="2077" spans="12:12" x14ac:dyDescent="0.2">
      <c r="L2077" s="44"/>
    </row>
    <row r="2078" spans="12:12" x14ac:dyDescent="0.2">
      <c r="L2078" s="44"/>
    </row>
    <row r="2079" spans="12:12" x14ac:dyDescent="0.2">
      <c r="L2079" s="44"/>
    </row>
    <row r="2080" spans="12:12" x14ac:dyDescent="0.2">
      <c r="L2080" s="44"/>
    </row>
    <row r="2081" spans="12:12" x14ac:dyDescent="0.2">
      <c r="L2081" s="44"/>
    </row>
    <row r="2082" spans="12:12" x14ac:dyDescent="0.2">
      <c r="L2082" s="44"/>
    </row>
    <row r="2083" spans="12:12" x14ac:dyDescent="0.2">
      <c r="L2083" s="44"/>
    </row>
    <row r="2084" spans="12:12" x14ac:dyDescent="0.2">
      <c r="L2084" s="44"/>
    </row>
    <row r="2085" spans="12:12" x14ac:dyDescent="0.2">
      <c r="L2085" s="44"/>
    </row>
    <row r="2086" spans="12:12" x14ac:dyDescent="0.2">
      <c r="L2086" s="44"/>
    </row>
    <row r="2087" spans="12:12" x14ac:dyDescent="0.2">
      <c r="L2087" s="44"/>
    </row>
    <row r="2088" spans="12:12" x14ac:dyDescent="0.2">
      <c r="L2088" s="44"/>
    </row>
    <row r="2089" spans="12:12" x14ac:dyDescent="0.2">
      <c r="L2089" s="44"/>
    </row>
    <row r="2090" spans="12:12" x14ac:dyDescent="0.2">
      <c r="L2090" s="44"/>
    </row>
    <row r="2091" spans="12:12" x14ac:dyDescent="0.2">
      <c r="L2091" s="44"/>
    </row>
    <row r="2092" spans="12:12" x14ac:dyDescent="0.2">
      <c r="L2092" s="44"/>
    </row>
    <row r="2093" spans="12:12" x14ac:dyDescent="0.2">
      <c r="L2093" s="44"/>
    </row>
    <row r="2094" spans="12:12" x14ac:dyDescent="0.2">
      <c r="L2094" s="44"/>
    </row>
    <row r="2095" spans="12:12" x14ac:dyDescent="0.2">
      <c r="L2095" s="44"/>
    </row>
    <row r="2096" spans="12:12" x14ac:dyDescent="0.2">
      <c r="L2096" s="44"/>
    </row>
    <row r="2097" spans="12:12" x14ac:dyDescent="0.2">
      <c r="L2097" s="44"/>
    </row>
    <row r="2098" spans="12:12" x14ac:dyDescent="0.2">
      <c r="L2098" s="44"/>
    </row>
    <row r="2099" spans="12:12" x14ac:dyDescent="0.2">
      <c r="L2099" s="44"/>
    </row>
    <row r="2100" spans="12:12" x14ac:dyDescent="0.2">
      <c r="L2100" s="44"/>
    </row>
    <row r="2101" spans="12:12" x14ac:dyDescent="0.2">
      <c r="L2101" s="44"/>
    </row>
    <row r="2102" spans="12:12" x14ac:dyDescent="0.2">
      <c r="L2102" s="44"/>
    </row>
    <row r="2103" spans="12:12" x14ac:dyDescent="0.2">
      <c r="L2103" s="44"/>
    </row>
    <row r="2104" spans="12:12" x14ac:dyDescent="0.2">
      <c r="L2104" s="44"/>
    </row>
    <row r="2105" spans="12:12" x14ac:dyDescent="0.2">
      <c r="L2105" s="44"/>
    </row>
    <row r="2106" spans="12:12" x14ac:dyDescent="0.2">
      <c r="L2106" s="44"/>
    </row>
    <row r="2107" spans="12:12" x14ac:dyDescent="0.2">
      <c r="L2107" s="44"/>
    </row>
    <row r="2108" spans="12:12" x14ac:dyDescent="0.2">
      <c r="L2108" s="44"/>
    </row>
    <row r="2109" spans="12:12" x14ac:dyDescent="0.2">
      <c r="L2109" s="44"/>
    </row>
    <row r="2110" spans="12:12" x14ac:dyDescent="0.2">
      <c r="L2110" s="44"/>
    </row>
    <row r="2111" spans="12:12" x14ac:dyDescent="0.2">
      <c r="L2111" s="44"/>
    </row>
    <row r="2112" spans="12:12" x14ac:dyDescent="0.2">
      <c r="L2112" s="44"/>
    </row>
    <row r="2113" spans="12:12" x14ac:dyDescent="0.2">
      <c r="L2113" s="44"/>
    </row>
    <row r="2114" spans="12:12" x14ac:dyDescent="0.2">
      <c r="L2114" s="44"/>
    </row>
    <row r="2115" spans="12:12" x14ac:dyDescent="0.2">
      <c r="L2115" s="44"/>
    </row>
    <row r="2116" spans="12:12" x14ac:dyDescent="0.2">
      <c r="L2116" s="44"/>
    </row>
    <row r="2117" spans="12:12" x14ac:dyDescent="0.2">
      <c r="L2117" s="44"/>
    </row>
    <row r="2118" spans="12:12" x14ac:dyDescent="0.2">
      <c r="L2118" s="44"/>
    </row>
    <row r="2119" spans="12:12" x14ac:dyDescent="0.2">
      <c r="L2119" s="44"/>
    </row>
    <row r="2120" spans="12:12" x14ac:dyDescent="0.2">
      <c r="L2120" s="44"/>
    </row>
    <row r="2121" spans="12:12" x14ac:dyDescent="0.2">
      <c r="L2121" s="44"/>
    </row>
    <row r="2122" spans="12:12" x14ac:dyDescent="0.2">
      <c r="L2122" s="44"/>
    </row>
    <row r="2123" spans="12:12" x14ac:dyDescent="0.2">
      <c r="L2123" s="44"/>
    </row>
    <row r="2124" spans="12:12" x14ac:dyDescent="0.2">
      <c r="L2124" s="44"/>
    </row>
    <row r="2125" spans="12:12" x14ac:dyDescent="0.2">
      <c r="L2125" s="44"/>
    </row>
    <row r="2126" spans="12:12" x14ac:dyDescent="0.2">
      <c r="L2126" s="44"/>
    </row>
    <row r="2127" spans="12:12" x14ac:dyDescent="0.2">
      <c r="L2127" s="44"/>
    </row>
    <row r="2128" spans="12:12" x14ac:dyDescent="0.2">
      <c r="L2128" s="44"/>
    </row>
    <row r="2129" spans="12:12" x14ac:dyDescent="0.2">
      <c r="L2129" s="44"/>
    </row>
    <row r="2130" spans="12:12" x14ac:dyDescent="0.2">
      <c r="L2130" s="44"/>
    </row>
    <row r="2131" spans="12:12" x14ac:dyDescent="0.2">
      <c r="L2131" s="44"/>
    </row>
    <row r="2132" spans="12:12" x14ac:dyDescent="0.2">
      <c r="L2132" s="44"/>
    </row>
    <row r="2133" spans="12:12" x14ac:dyDescent="0.2">
      <c r="L2133" s="44"/>
    </row>
    <row r="2134" spans="12:12" x14ac:dyDescent="0.2">
      <c r="L2134" s="44"/>
    </row>
    <row r="2135" spans="12:12" x14ac:dyDescent="0.2">
      <c r="L2135" s="44"/>
    </row>
    <row r="2136" spans="12:12" x14ac:dyDescent="0.2">
      <c r="L2136" s="44"/>
    </row>
    <row r="2137" spans="12:12" x14ac:dyDescent="0.2">
      <c r="L2137" s="44"/>
    </row>
    <row r="2138" spans="12:12" x14ac:dyDescent="0.2">
      <c r="L2138" s="44"/>
    </row>
    <row r="2139" spans="12:12" x14ac:dyDescent="0.2">
      <c r="L2139" s="44"/>
    </row>
    <row r="2140" spans="12:12" x14ac:dyDescent="0.2">
      <c r="L2140" s="44"/>
    </row>
    <row r="2141" spans="12:12" x14ac:dyDescent="0.2">
      <c r="L2141" s="44"/>
    </row>
    <row r="2142" spans="12:12" x14ac:dyDescent="0.2">
      <c r="L2142" s="44"/>
    </row>
    <row r="2143" spans="12:12" x14ac:dyDescent="0.2">
      <c r="L2143" s="44"/>
    </row>
    <row r="2144" spans="12:12" x14ac:dyDescent="0.2">
      <c r="L2144" s="44"/>
    </row>
    <row r="2145" spans="12:12" x14ac:dyDescent="0.2">
      <c r="L2145" s="44"/>
    </row>
    <row r="2146" spans="12:12" x14ac:dyDescent="0.2">
      <c r="L2146" s="44"/>
    </row>
    <row r="2147" spans="12:12" x14ac:dyDescent="0.2">
      <c r="L2147" s="44"/>
    </row>
    <row r="2148" spans="12:12" x14ac:dyDescent="0.2">
      <c r="L2148" s="44"/>
    </row>
    <row r="2149" spans="12:12" x14ac:dyDescent="0.2">
      <c r="L2149" s="44"/>
    </row>
    <row r="2150" spans="12:12" x14ac:dyDescent="0.2">
      <c r="L2150" s="44"/>
    </row>
    <row r="2151" spans="12:12" x14ac:dyDescent="0.2">
      <c r="L2151" s="44"/>
    </row>
    <row r="2152" spans="12:12" x14ac:dyDescent="0.2">
      <c r="L2152" s="44"/>
    </row>
    <row r="2153" spans="12:12" x14ac:dyDescent="0.2">
      <c r="L2153" s="44"/>
    </row>
    <row r="2154" spans="12:12" x14ac:dyDescent="0.2">
      <c r="L2154" s="44"/>
    </row>
    <row r="2155" spans="12:12" x14ac:dyDescent="0.2">
      <c r="L2155" s="44"/>
    </row>
    <row r="2156" spans="12:12" x14ac:dyDescent="0.2">
      <c r="L2156" s="44"/>
    </row>
    <row r="2157" spans="12:12" x14ac:dyDescent="0.2">
      <c r="L2157" s="44"/>
    </row>
    <row r="2158" spans="12:12" x14ac:dyDescent="0.2">
      <c r="L2158" s="44"/>
    </row>
    <row r="2159" spans="12:12" x14ac:dyDescent="0.2">
      <c r="L2159" s="44"/>
    </row>
    <row r="2160" spans="12:12" x14ac:dyDescent="0.2">
      <c r="L2160" s="44"/>
    </row>
    <row r="2161" spans="12:12" x14ac:dyDescent="0.2">
      <c r="L2161" s="44"/>
    </row>
    <row r="2162" spans="12:12" x14ac:dyDescent="0.2">
      <c r="L2162" s="44"/>
    </row>
    <row r="2163" spans="12:12" x14ac:dyDescent="0.2">
      <c r="L2163" s="44"/>
    </row>
    <row r="2164" spans="12:12" x14ac:dyDescent="0.2">
      <c r="L2164" s="44"/>
    </row>
    <row r="2165" spans="12:12" x14ac:dyDescent="0.2">
      <c r="L2165" s="44"/>
    </row>
    <row r="2166" spans="12:12" x14ac:dyDescent="0.2">
      <c r="L2166" s="44"/>
    </row>
    <row r="2167" spans="12:12" x14ac:dyDescent="0.2">
      <c r="L2167" s="44"/>
    </row>
    <row r="2168" spans="12:12" x14ac:dyDescent="0.2">
      <c r="L2168" s="44"/>
    </row>
    <row r="2169" spans="12:12" x14ac:dyDescent="0.2">
      <c r="L2169" s="44"/>
    </row>
    <row r="2170" spans="12:12" x14ac:dyDescent="0.2">
      <c r="L2170" s="44"/>
    </row>
    <row r="2171" spans="12:12" x14ac:dyDescent="0.2">
      <c r="L2171" s="44"/>
    </row>
    <row r="2172" spans="12:12" x14ac:dyDescent="0.2">
      <c r="L2172" s="44"/>
    </row>
    <row r="2173" spans="12:12" x14ac:dyDescent="0.2">
      <c r="L2173" s="44"/>
    </row>
    <row r="2174" spans="12:12" x14ac:dyDescent="0.2">
      <c r="L2174" s="44"/>
    </row>
    <row r="2175" spans="12:12" x14ac:dyDescent="0.2">
      <c r="L2175" s="44"/>
    </row>
    <row r="2176" spans="12:12" x14ac:dyDescent="0.2">
      <c r="L2176" s="44"/>
    </row>
    <row r="2177" spans="12:12" x14ac:dyDescent="0.2">
      <c r="L2177" s="44"/>
    </row>
    <row r="2178" spans="12:12" x14ac:dyDescent="0.2">
      <c r="L2178" s="44"/>
    </row>
    <row r="2179" spans="12:12" x14ac:dyDescent="0.2">
      <c r="L2179" s="44"/>
    </row>
    <row r="2180" spans="12:12" x14ac:dyDescent="0.2">
      <c r="L2180" s="44"/>
    </row>
    <row r="2181" spans="12:12" x14ac:dyDescent="0.2">
      <c r="L2181" s="44"/>
    </row>
    <row r="2182" spans="12:12" x14ac:dyDescent="0.2">
      <c r="L2182" s="44"/>
    </row>
    <row r="2183" spans="12:12" x14ac:dyDescent="0.2">
      <c r="L2183" s="44"/>
    </row>
    <row r="2184" spans="12:12" x14ac:dyDescent="0.2">
      <c r="L2184" s="44"/>
    </row>
    <row r="2185" spans="12:12" x14ac:dyDescent="0.2">
      <c r="L2185" s="44"/>
    </row>
    <row r="2186" spans="12:12" x14ac:dyDescent="0.2">
      <c r="L2186" s="44"/>
    </row>
    <row r="2187" spans="12:12" x14ac:dyDescent="0.2">
      <c r="L2187" s="44"/>
    </row>
    <row r="2188" spans="12:12" x14ac:dyDescent="0.2">
      <c r="L2188" s="44"/>
    </row>
    <row r="2189" spans="12:12" x14ac:dyDescent="0.2">
      <c r="L2189" s="44"/>
    </row>
    <row r="2190" spans="12:12" x14ac:dyDescent="0.2">
      <c r="L2190" s="44"/>
    </row>
    <row r="2191" spans="12:12" x14ac:dyDescent="0.2">
      <c r="L2191" s="44"/>
    </row>
    <row r="2192" spans="12:12" x14ac:dyDescent="0.2">
      <c r="L2192" s="44"/>
    </row>
    <row r="2193" spans="12:12" x14ac:dyDescent="0.2">
      <c r="L2193" s="44"/>
    </row>
    <row r="2194" spans="12:12" x14ac:dyDescent="0.2">
      <c r="L2194" s="44"/>
    </row>
    <row r="2195" spans="12:12" x14ac:dyDescent="0.2">
      <c r="L2195" s="44"/>
    </row>
    <row r="2196" spans="12:12" x14ac:dyDescent="0.2">
      <c r="L2196" s="44"/>
    </row>
    <row r="2197" spans="12:12" x14ac:dyDescent="0.2">
      <c r="L2197" s="44"/>
    </row>
    <row r="2198" spans="12:12" x14ac:dyDescent="0.2">
      <c r="L2198" s="44"/>
    </row>
    <row r="2199" spans="12:12" x14ac:dyDescent="0.2">
      <c r="L2199" s="44"/>
    </row>
    <row r="2200" spans="12:12" x14ac:dyDescent="0.2">
      <c r="L2200" s="44"/>
    </row>
    <row r="2201" spans="12:12" x14ac:dyDescent="0.2">
      <c r="L2201" s="44"/>
    </row>
    <row r="2202" spans="12:12" x14ac:dyDescent="0.2">
      <c r="L2202" s="44"/>
    </row>
    <row r="2203" spans="12:12" x14ac:dyDescent="0.2">
      <c r="L2203" s="44"/>
    </row>
    <row r="2204" spans="12:12" x14ac:dyDescent="0.2">
      <c r="L2204" s="44"/>
    </row>
    <row r="2205" spans="12:12" x14ac:dyDescent="0.2">
      <c r="L2205" s="44"/>
    </row>
    <row r="2206" spans="12:12" x14ac:dyDescent="0.2">
      <c r="L2206" s="44"/>
    </row>
    <row r="2207" spans="12:12" x14ac:dyDescent="0.2">
      <c r="L2207" s="44"/>
    </row>
    <row r="2208" spans="12:12" x14ac:dyDescent="0.2">
      <c r="L2208" s="44"/>
    </row>
    <row r="2209" spans="12:12" x14ac:dyDescent="0.2">
      <c r="L2209" s="44"/>
    </row>
    <row r="2210" spans="12:12" x14ac:dyDescent="0.2">
      <c r="L2210" s="44"/>
    </row>
    <row r="2211" spans="12:12" x14ac:dyDescent="0.2">
      <c r="L2211" s="44"/>
    </row>
    <row r="2212" spans="12:12" x14ac:dyDescent="0.2">
      <c r="L2212" s="44"/>
    </row>
    <row r="2213" spans="12:12" x14ac:dyDescent="0.2">
      <c r="L2213" s="44"/>
    </row>
    <row r="2214" spans="12:12" x14ac:dyDescent="0.2">
      <c r="L2214" s="44"/>
    </row>
    <row r="2215" spans="12:12" x14ac:dyDescent="0.2">
      <c r="L2215" s="44"/>
    </row>
    <row r="2216" spans="12:12" x14ac:dyDescent="0.2">
      <c r="L2216" s="44"/>
    </row>
    <row r="2217" spans="12:12" x14ac:dyDescent="0.2">
      <c r="L2217" s="44"/>
    </row>
    <row r="2218" spans="12:12" x14ac:dyDescent="0.2">
      <c r="L2218" s="44"/>
    </row>
    <row r="2219" spans="12:12" x14ac:dyDescent="0.2">
      <c r="L2219" s="44"/>
    </row>
    <row r="2220" spans="12:12" x14ac:dyDescent="0.2">
      <c r="L2220" s="44"/>
    </row>
    <row r="2221" spans="12:12" x14ac:dyDescent="0.2">
      <c r="L2221" s="44"/>
    </row>
    <row r="2222" spans="12:12" x14ac:dyDescent="0.2">
      <c r="L2222" s="44"/>
    </row>
    <row r="2223" spans="12:12" x14ac:dyDescent="0.2">
      <c r="L2223" s="44"/>
    </row>
    <row r="2224" spans="12:12" x14ac:dyDescent="0.2">
      <c r="L2224" s="44"/>
    </row>
    <row r="2225" spans="12:12" x14ac:dyDescent="0.2">
      <c r="L2225" s="44"/>
    </row>
    <row r="2226" spans="12:12" x14ac:dyDescent="0.2">
      <c r="L2226" s="44"/>
    </row>
    <row r="2227" spans="12:12" x14ac:dyDescent="0.2">
      <c r="L2227" s="44"/>
    </row>
    <row r="2228" spans="12:12" x14ac:dyDescent="0.2">
      <c r="L2228" s="44"/>
    </row>
    <row r="2229" spans="12:12" x14ac:dyDescent="0.2">
      <c r="L2229" s="44"/>
    </row>
    <row r="2230" spans="12:12" x14ac:dyDescent="0.2">
      <c r="L2230" s="44"/>
    </row>
    <row r="2231" spans="12:12" x14ac:dyDescent="0.2">
      <c r="L2231" s="44"/>
    </row>
    <row r="2232" spans="12:12" x14ac:dyDescent="0.2">
      <c r="L2232" s="44"/>
    </row>
    <row r="2233" spans="12:12" x14ac:dyDescent="0.2">
      <c r="L2233" s="44"/>
    </row>
    <row r="2234" spans="12:12" x14ac:dyDescent="0.2">
      <c r="L2234" s="44"/>
    </row>
    <row r="2235" spans="12:12" x14ac:dyDescent="0.2">
      <c r="L2235" s="44"/>
    </row>
    <row r="2236" spans="12:12" x14ac:dyDescent="0.2">
      <c r="L2236" s="44"/>
    </row>
    <row r="2237" spans="12:12" x14ac:dyDescent="0.2">
      <c r="L2237" s="44"/>
    </row>
    <row r="2238" spans="12:12" x14ac:dyDescent="0.2">
      <c r="L2238" s="44"/>
    </row>
    <row r="2239" spans="12:12" x14ac:dyDescent="0.2">
      <c r="L2239" s="44"/>
    </row>
    <row r="2240" spans="12:12" x14ac:dyDescent="0.2">
      <c r="L2240" s="44"/>
    </row>
    <row r="2241" spans="12:12" x14ac:dyDescent="0.2">
      <c r="L2241" s="44"/>
    </row>
    <row r="2242" spans="12:12" x14ac:dyDescent="0.2">
      <c r="L2242" s="44"/>
    </row>
    <row r="2243" spans="12:12" x14ac:dyDescent="0.2">
      <c r="L2243" s="44"/>
    </row>
    <row r="2244" spans="12:12" x14ac:dyDescent="0.2">
      <c r="L2244" s="44"/>
    </row>
    <row r="2245" spans="12:12" x14ac:dyDescent="0.2">
      <c r="L2245" s="44"/>
    </row>
    <row r="2246" spans="12:12" x14ac:dyDescent="0.2">
      <c r="L2246" s="44"/>
    </row>
    <row r="2247" spans="12:12" x14ac:dyDescent="0.2">
      <c r="L2247" s="44"/>
    </row>
    <row r="2248" spans="12:12" x14ac:dyDescent="0.2">
      <c r="L2248" s="44"/>
    </row>
    <row r="2249" spans="12:12" x14ac:dyDescent="0.2">
      <c r="L2249" s="44"/>
    </row>
    <row r="2250" spans="12:12" x14ac:dyDescent="0.2">
      <c r="L2250" s="44"/>
    </row>
    <row r="2251" spans="12:12" x14ac:dyDescent="0.2">
      <c r="L2251" s="44"/>
    </row>
    <row r="2252" spans="12:12" x14ac:dyDescent="0.2">
      <c r="L2252" s="44"/>
    </row>
    <row r="2253" spans="12:12" x14ac:dyDescent="0.2">
      <c r="L2253" s="44"/>
    </row>
    <row r="2254" spans="12:12" x14ac:dyDescent="0.2">
      <c r="L2254" s="44"/>
    </row>
    <row r="2255" spans="12:12" x14ac:dyDescent="0.2">
      <c r="L2255" s="44"/>
    </row>
    <row r="2256" spans="12:12" x14ac:dyDescent="0.2">
      <c r="L2256" s="44"/>
    </row>
    <row r="2257" spans="12:12" x14ac:dyDescent="0.2">
      <c r="L2257" s="44"/>
    </row>
    <row r="2258" spans="12:12" x14ac:dyDescent="0.2">
      <c r="L2258" s="44"/>
    </row>
    <row r="2259" spans="12:12" x14ac:dyDescent="0.2">
      <c r="L2259" s="44"/>
    </row>
    <row r="2260" spans="12:12" x14ac:dyDescent="0.2">
      <c r="L2260" s="44"/>
    </row>
    <row r="2261" spans="12:12" x14ac:dyDescent="0.2">
      <c r="L2261" s="44"/>
    </row>
    <row r="2262" spans="12:12" x14ac:dyDescent="0.2">
      <c r="L2262" s="44"/>
    </row>
    <row r="2263" spans="12:12" x14ac:dyDescent="0.2">
      <c r="L2263" s="44"/>
    </row>
    <row r="2264" spans="12:12" x14ac:dyDescent="0.2">
      <c r="L2264" s="44"/>
    </row>
    <row r="2265" spans="12:12" x14ac:dyDescent="0.2">
      <c r="L2265" s="44"/>
    </row>
    <row r="2266" spans="12:12" x14ac:dyDescent="0.2">
      <c r="L2266" s="44"/>
    </row>
    <row r="2267" spans="12:12" x14ac:dyDescent="0.2">
      <c r="L2267" s="44"/>
    </row>
    <row r="2268" spans="12:12" x14ac:dyDescent="0.2">
      <c r="L2268" s="44"/>
    </row>
    <row r="2269" spans="12:12" x14ac:dyDescent="0.2">
      <c r="L2269" s="44"/>
    </row>
    <row r="2270" spans="12:12" x14ac:dyDescent="0.2">
      <c r="L2270" s="44"/>
    </row>
    <row r="2271" spans="12:12" x14ac:dyDescent="0.2">
      <c r="L2271" s="44"/>
    </row>
    <row r="2272" spans="12:12" x14ac:dyDescent="0.2">
      <c r="L2272" s="44"/>
    </row>
    <row r="2273" spans="12:12" x14ac:dyDescent="0.2">
      <c r="L2273" s="44"/>
    </row>
    <row r="2274" spans="12:12" x14ac:dyDescent="0.2">
      <c r="L2274" s="44"/>
    </row>
    <row r="2275" spans="12:12" x14ac:dyDescent="0.2">
      <c r="L2275" s="44"/>
    </row>
    <row r="2276" spans="12:12" x14ac:dyDescent="0.2">
      <c r="L2276" s="44"/>
    </row>
    <row r="2277" spans="12:12" x14ac:dyDescent="0.2">
      <c r="L2277" s="44"/>
    </row>
    <row r="2278" spans="12:12" x14ac:dyDescent="0.2">
      <c r="L2278" s="44"/>
    </row>
    <row r="2279" spans="12:12" x14ac:dyDescent="0.2">
      <c r="L2279" s="44"/>
    </row>
    <row r="2280" spans="12:12" x14ac:dyDescent="0.2">
      <c r="L2280" s="44"/>
    </row>
    <row r="2281" spans="12:12" x14ac:dyDescent="0.2">
      <c r="L2281" s="44"/>
    </row>
    <row r="2282" spans="12:12" x14ac:dyDescent="0.2">
      <c r="L2282" s="44"/>
    </row>
    <row r="2283" spans="12:12" x14ac:dyDescent="0.2">
      <c r="L2283" s="44"/>
    </row>
    <row r="2284" spans="12:12" x14ac:dyDescent="0.2">
      <c r="L2284" s="44"/>
    </row>
    <row r="2285" spans="12:12" x14ac:dyDescent="0.2">
      <c r="L2285" s="44"/>
    </row>
    <row r="2286" spans="12:12" x14ac:dyDescent="0.2">
      <c r="L2286" s="44"/>
    </row>
    <row r="2287" spans="12:12" x14ac:dyDescent="0.2">
      <c r="L2287" s="44"/>
    </row>
    <row r="2288" spans="12:12" x14ac:dyDescent="0.2">
      <c r="L2288" s="44"/>
    </row>
    <row r="2289" spans="12:12" x14ac:dyDescent="0.2">
      <c r="L2289" s="44"/>
    </row>
    <row r="2290" spans="12:12" x14ac:dyDescent="0.2">
      <c r="L2290" s="44"/>
    </row>
    <row r="2291" spans="12:12" x14ac:dyDescent="0.2">
      <c r="L2291" s="44"/>
    </row>
    <row r="2292" spans="12:12" x14ac:dyDescent="0.2">
      <c r="L2292" s="44"/>
    </row>
    <row r="2293" spans="12:12" x14ac:dyDescent="0.2">
      <c r="L2293" s="44"/>
    </row>
    <row r="2294" spans="12:12" x14ac:dyDescent="0.2">
      <c r="L2294" s="44"/>
    </row>
    <row r="2295" spans="12:12" x14ac:dyDescent="0.2">
      <c r="L2295" s="44"/>
    </row>
    <row r="2296" spans="12:12" x14ac:dyDescent="0.2">
      <c r="L2296" s="44"/>
    </row>
    <row r="2297" spans="12:12" x14ac:dyDescent="0.2">
      <c r="L2297" s="44"/>
    </row>
    <row r="2298" spans="12:12" x14ac:dyDescent="0.2">
      <c r="L2298" s="44"/>
    </row>
    <row r="2299" spans="12:12" x14ac:dyDescent="0.2">
      <c r="L2299" s="44"/>
    </row>
    <row r="2300" spans="12:12" x14ac:dyDescent="0.2">
      <c r="L2300" s="44"/>
    </row>
    <row r="2301" spans="12:12" x14ac:dyDescent="0.2">
      <c r="L2301" s="44"/>
    </row>
    <row r="2302" spans="12:12" x14ac:dyDescent="0.2">
      <c r="L2302" s="44"/>
    </row>
    <row r="2303" spans="12:12" x14ac:dyDescent="0.2">
      <c r="L2303" s="44"/>
    </row>
    <row r="2304" spans="12:12" x14ac:dyDescent="0.2">
      <c r="L2304" s="44"/>
    </row>
    <row r="2305" spans="12:12" x14ac:dyDescent="0.2">
      <c r="L2305" s="44"/>
    </row>
    <row r="2306" spans="12:12" x14ac:dyDescent="0.2">
      <c r="L2306" s="44"/>
    </row>
    <row r="2307" spans="12:12" x14ac:dyDescent="0.2">
      <c r="L2307" s="44"/>
    </row>
    <row r="2308" spans="12:12" x14ac:dyDescent="0.2">
      <c r="L2308" s="44"/>
    </row>
    <row r="2309" spans="12:12" x14ac:dyDescent="0.2">
      <c r="L2309" s="44"/>
    </row>
    <row r="2310" spans="12:12" x14ac:dyDescent="0.2">
      <c r="L2310" s="44"/>
    </row>
    <row r="2311" spans="12:12" x14ac:dyDescent="0.2">
      <c r="L2311" s="44"/>
    </row>
    <row r="2312" spans="12:12" x14ac:dyDescent="0.2">
      <c r="L2312" s="44"/>
    </row>
    <row r="2313" spans="12:12" x14ac:dyDescent="0.2">
      <c r="L2313" s="44"/>
    </row>
    <row r="2314" spans="12:12" x14ac:dyDescent="0.2">
      <c r="L2314" s="44"/>
    </row>
    <row r="2315" spans="12:12" x14ac:dyDescent="0.2">
      <c r="L2315" s="44"/>
    </row>
    <row r="2316" spans="12:12" x14ac:dyDescent="0.2">
      <c r="L2316" s="44"/>
    </row>
    <row r="2317" spans="12:12" x14ac:dyDescent="0.2">
      <c r="L2317" s="44"/>
    </row>
    <row r="2318" spans="12:12" x14ac:dyDescent="0.2">
      <c r="L2318" s="44"/>
    </row>
    <row r="2319" spans="12:12" x14ac:dyDescent="0.2">
      <c r="L2319" s="44"/>
    </row>
    <row r="2320" spans="12:12" x14ac:dyDescent="0.2">
      <c r="L2320" s="44"/>
    </row>
    <row r="2321" spans="12:12" x14ac:dyDescent="0.2">
      <c r="L2321" s="44"/>
    </row>
    <row r="2322" spans="12:12" x14ac:dyDescent="0.2">
      <c r="L2322" s="44"/>
    </row>
    <row r="2323" spans="12:12" x14ac:dyDescent="0.2">
      <c r="L2323" s="44"/>
    </row>
    <row r="2324" spans="12:12" x14ac:dyDescent="0.2">
      <c r="L2324" s="44"/>
    </row>
    <row r="2325" spans="12:12" x14ac:dyDescent="0.2">
      <c r="L2325" s="44"/>
    </row>
    <row r="2326" spans="12:12" x14ac:dyDescent="0.2">
      <c r="L2326" s="44"/>
    </row>
    <row r="2327" spans="12:12" x14ac:dyDescent="0.2">
      <c r="L2327" s="44"/>
    </row>
    <row r="2328" spans="12:12" x14ac:dyDescent="0.2">
      <c r="L2328" s="44"/>
    </row>
    <row r="2329" spans="12:12" x14ac:dyDescent="0.2">
      <c r="L2329" s="44"/>
    </row>
    <row r="2330" spans="12:12" x14ac:dyDescent="0.2">
      <c r="L2330" s="44"/>
    </row>
    <row r="2331" spans="12:12" x14ac:dyDescent="0.2">
      <c r="L2331" s="44"/>
    </row>
    <row r="2332" spans="12:12" x14ac:dyDescent="0.2">
      <c r="L2332" s="44"/>
    </row>
    <row r="2333" spans="12:12" x14ac:dyDescent="0.2">
      <c r="L2333" s="44"/>
    </row>
    <row r="2334" spans="12:12" x14ac:dyDescent="0.2">
      <c r="L2334" s="44"/>
    </row>
    <row r="2335" spans="12:12" x14ac:dyDescent="0.2">
      <c r="L2335" s="44"/>
    </row>
    <row r="2336" spans="12:12" x14ac:dyDescent="0.2">
      <c r="L2336" s="44"/>
    </row>
    <row r="2337" spans="12:12" x14ac:dyDescent="0.2">
      <c r="L2337" s="44"/>
    </row>
    <row r="2338" spans="12:12" x14ac:dyDescent="0.2">
      <c r="L2338" s="44"/>
    </row>
    <row r="2339" spans="12:12" x14ac:dyDescent="0.2">
      <c r="L2339" s="44"/>
    </row>
    <row r="2340" spans="12:12" x14ac:dyDescent="0.2">
      <c r="L2340" s="44"/>
    </row>
    <row r="2341" spans="12:12" x14ac:dyDescent="0.2">
      <c r="L2341" s="44"/>
    </row>
    <row r="2342" spans="12:12" x14ac:dyDescent="0.2">
      <c r="L2342" s="44"/>
    </row>
    <row r="2343" spans="12:12" x14ac:dyDescent="0.2">
      <c r="L2343" s="44"/>
    </row>
    <row r="2344" spans="12:12" x14ac:dyDescent="0.2">
      <c r="L2344" s="44"/>
    </row>
    <row r="2345" spans="12:12" x14ac:dyDescent="0.2">
      <c r="L2345" s="44"/>
    </row>
    <row r="2346" spans="12:12" x14ac:dyDescent="0.2">
      <c r="L2346" s="44"/>
    </row>
    <row r="2347" spans="12:12" x14ac:dyDescent="0.2">
      <c r="L2347" s="44"/>
    </row>
    <row r="2348" spans="12:12" x14ac:dyDescent="0.2">
      <c r="L2348" s="44"/>
    </row>
    <row r="2349" spans="12:12" x14ac:dyDescent="0.2">
      <c r="L2349" s="44"/>
    </row>
    <row r="2350" spans="12:12" x14ac:dyDescent="0.2">
      <c r="L2350" s="44"/>
    </row>
    <row r="2351" spans="12:12" x14ac:dyDescent="0.2">
      <c r="L2351" s="44"/>
    </row>
    <row r="2352" spans="12:12" x14ac:dyDescent="0.2">
      <c r="L2352" s="44"/>
    </row>
    <row r="2353" spans="12:12" x14ac:dyDescent="0.2">
      <c r="L2353" s="44"/>
    </row>
    <row r="2354" spans="12:12" x14ac:dyDescent="0.2">
      <c r="L2354" s="44"/>
    </row>
    <row r="2355" spans="12:12" x14ac:dyDescent="0.2">
      <c r="L2355" s="44"/>
    </row>
    <row r="2356" spans="12:12" x14ac:dyDescent="0.2">
      <c r="L2356" s="44"/>
    </row>
    <row r="2357" spans="12:12" x14ac:dyDescent="0.2">
      <c r="L2357" s="44"/>
    </row>
    <row r="2358" spans="12:12" x14ac:dyDescent="0.2">
      <c r="L2358" s="44"/>
    </row>
    <row r="2359" spans="12:12" x14ac:dyDescent="0.2">
      <c r="L2359" s="44"/>
    </row>
    <row r="2360" spans="12:12" x14ac:dyDescent="0.2">
      <c r="L2360" s="44"/>
    </row>
    <row r="2361" spans="12:12" x14ac:dyDescent="0.2">
      <c r="L2361" s="44"/>
    </row>
    <row r="2362" spans="12:12" x14ac:dyDescent="0.2">
      <c r="L2362" s="44"/>
    </row>
    <row r="2363" spans="12:12" x14ac:dyDescent="0.2">
      <c r="L2363" s="44"/>
    </row>
    <row r="2364" spans="12:12" x14ac:dyDescent="0.2">
      <c r="L2364" s="44"/>
    </row>
    <row r="2365" spans="12:12" x14ac:dyDescent="0.2">
      <c r="L2365" s="44"/>
    </row>
    <row r="2366" spans="12:12" x14ac:dyDescent="0.2">
      <c r="L2366" s="44"/>
    </row>
    <row r="2367" spans="12:12" x14ac:dyDescent="0.2">
      <c r="L2367" s="44"/>
    </row>
    <row r="2368" spans="12:12" x14ac:dyDescent="0.2">
      <c r="L2368" s="44"/>
    </row>
    <row r="2369" spans="12:12" x14ac:dyDescent="0.2">
      <c r="L2369" s="44"/>
    </row>
    <row r="2370" spans="12:12" x14ac:dyDescent="0.2">
      <c r="L2370" s="44"/>
    </row>
    <row r="2371" spans="12:12" x14ac:dyDescent="0.2">
      <c r="L2371" s="44"/>
    </row>
    <row r="2372" spans="12:12" x14ac:dyDescent="0.2">
      <c r="L2372" s="44"/>
    </row>
    <row r="2373" spans="12:12" x14ac:dyDescent="0.2">
      <c r="L2373" s="44"/>
    </row>
    <row r="2374" spans="12:12" x14ac:dyDescent="0.2">
      <c r="L2374" s="44"/>
    </row>
    <row r="2375" spans="12:12" x14ac:dyDescent="0.2">
      <c r="L2375" s="44"/>
    </row>
    <row r="2376" spans="12:12" x14ac:dyDescent="0.2">
      <c r="L2376" s="44"/>
    </row>
    <row r="2377" spans="12:12" x14ac:dyDescent="0.2">
      <c r="L2377" s="44"/>
    </row>
    <row r="2378" spans="12:12" x14ac:dyDescent="0.2">
      <c r="L2378" s="44"/>
    </row>
    <row r="2379" spans="12:12" x14ac:dyDescent="0.2">
      <c r="L2379" s="44"/>
    </row>
    <row r="2380" spans="12:12" x14ac:dyDescent="0.2">
      <c r="L2380" s="44"/>
    </row>
    <row r="2381" spans="12:12" x14ac:dyDescent="0.2">
      <c r="L2381" s="44"/>
    </row>
    <row r="2382" spans="12:12" x14ac:dyDescent="0.2">
      <c r="L2382" s="44"/>
    </row>
    <row r="2383" spans="12:12" x14ac:dyDescent="0.2">
      <c r="L2383" s="44"/>
    </row>
    <row r="2384" spans="12:12" x14ac:dyDescent="0.2">
      <c r="L2384" s="44"/>
    </row>
    <row r="2385" spans="12:12" x14ac:dyDescent="0.2">
      <c r="L2385" s="44"/>
    </row>
    <row r="2386" spans="12:12" x14ac:dyDescent="0.2">
      <c r="L2386" s="44"/>
    </row>
    <row r="2387" spans="12:12" x14ac:dyDescent="0.2">
      <c r="L2387" s="44"/>
    </row>
    <row r="2388" spans="12:12" x14ac:dyDescent="0.2">
      <c r="L2388" s="44"/>
    </row>
    <row r="2389" spans="12:12" x14ac:dyDescent="0.2">
      <c r="L2389" s="44"/>
    </row>
    <row r="2390" spans="12:12" x14ac:dyDescent="0.2">
      <c r="L2390" s="44"/>
    </row>
    <row r="2391" spans="12:12" x14ac:dyDescent="0.2">
      <c r="L2391" s="44"/>
    </row>
    <row r="2392" spans="12:12" x14ac:dyDescent="0.2">
      <c r="L2392" s="44"/>
    </row>
    <row r="2393" spans="12:12" x14ac:dyDescent="0.2">
      <c r="L2393" s="44"/>
    </row>
    <row r="2394" spans="12:12" x14ac:dyDescent="0.2">
      <c r="L2394" s="44"/>
    </row>
    <row r="2395" spans="12:12" x14ac:dyDescent="0.2">
      <c r="L2395" s="44"/>
    </row>
    <row r="2396" spans="12:12" x14ac:dyDescent="0.2">
      <c r="L2396" s="44"/>
    </row>
    <row r="2397" spans="12:12" x14ac:dyDescent="0.2">
      <c r="L2397" s="44"/>
    </row>
    <row r="2398" spans="12:12" x14ac:dyDescent="0.2">
      <c r="L2398" s="44"/>
    </row>
    <row r="2399" spans="12:12" x14ac:dyDescent="0.2">
      <c r="L2399" s="44"/>
    </row>
    <row r="2400" spans="12:12" x14ac:dyDescent="0.2">
      <c r="L2400" s="44"/>
    </row>
    <row r="2401" spans="12:12" x14ac:dyDescent="0.2">
      <c r="L2401" s="44"/>
    </row>
    <row r="2402" spans="12:12" x14ac:dyDescent="0.2">
      <c r="L2402" s="44"/>
    </row>
    <row r="2403" spans="12:12" x14ac:dyDescent="0.2">
      <c r="L2403" s="44"/>
    </row>
    <row r="2404" spans="12:12" x14ac:dyDescent="0.2">
      <c r="L2404" s="44"/>
    </row>
    <row r="2405" spans="12:12" x14ac:dyDescent="0.2">
      <c r="L2405" s="44"/>
    </row>
    <row r="2406" spans="12:12" x14ac:dyDescent="0.2">
      <c r="L2406" s="44"/>
    </row>
    <row r="2407" spans="12:12" x14ac:dyDescent="0.2">
      <c r="L2407" s="44"/>
    </row>
    <row r="2408" spans="12:12" x14ac:dyDescent="0.2">
      <c r="L2408" s="44"/>
    </row>
    <row r="2409" spans="12:12" x14ac:dyDescent="0.2">
      <c r="L2409" s="44"/>
    </row>
    <row r="2410" spans="12:12" x14ac:dyDescent="0.2">
      <c r="L2410" s="44"/>
    </row>
    <row r="2411" spans="12:12" x14ac:dyDescent="0.2">
      <c r="L2411" s="44"/>
    </row>
    <row r="2412" spans="12:12" x14ac:dyDescent="0.2">
      <c r="L2412" s="44"/>
    </row>
    <row r="2413" spans="12:12" x14ac:dyDescent="0.2">
      <c r="L2413" s="44"/>
    </row>
    <row r="2414" spans="12:12" x14ac:dyDescent="0.2">
      <c r="L2414" s="44"/>
    </row>
    <row r="2415" spans="12:12" x14ac:dyDescent="0.2">
      <c r="L2415" s="44"/>
    </row>
    <row r="2416" spans="12:12" x14ac:dyDescent="0.2">
      <c r="L2416" s="44"/>
    </row>
    <row r="2417" spans="12:12" x14ac:dyDescent="0.2">
      <c r="L2417" s="44"/>
    </row>
    <row r="2418" spans="12:12" x14ac:dyDescent="0.2">
      <c r="L2418" s="44"/>
    </row>
    <row r="2419" spans="12:12" x14ac:dyDescent="0.2">
      <c r="L2419" s="44"/>
    </row>
    <row r="2420" spans="12:12" x14ac:dyDescent="0.2">
      <c r="L2420" s="44"/>
    </row>
    <row r="2421" spans="12:12" x14ac:dyDescent="0.2">
      <c r="L2421" s="44"/>
    </row>
    <row r="2422" spans="12:12" x14ac:dyDescent="0.2">
      <c r="L2422" s="44"/>
    </row>
    <row r="2423" spans="12:12" x14ac:dyDescent="0.2">
      <c r="L2423" s="44"/>
    </row>
    <row r="2424" spans="12:12" x14ac:dyDescent="0.2">
      <c r="L2424" s="44"/>
    </row>
    <row r="2425" spans="12:12" x14ac:dyDescent="0.2">
      <c r="L2425" s="44"/>
    </row>
    <row r="2426" spans="12:12" x14ac:dyDescent="0.2">
      <c r="L2426" s="44"/>
    </row>
    <row r="2427" spans="12:12" x14ac:dyDescent="0.2">
      <c r="L2427" s="44"/>
    </row>
    <row r="2428" spans="12:12" x14ac:dyDescent="0.2">
      <c r="L2428" s="44"/>
    </row>
    <row r="2429" spans="12:12" x14ac:dyDescent="0.2">
      <c r="L2429" s="44"/>
    </row>
    <row r="2430" spans="12:12" x14ac:dyDescent="0.2">
      <c r="L2430" s="44"/>
    </row>
    <row r="2431" spans="12:12" x14ac:dyDescent="0.2">
      <c r="L2431" s="44"/>
    </row>
    <row r="2432" spans="12:12" x14ac:dyDescent="0.2">
      <c r="L2432" s="44"/>
    </row>
    <row r="2433" spans="12:12" x14ac:dyDescent="0.2">
      <c r="L2433" s="44"/>
    </row>
    <row r="2434" spans="12:12" x14ac:dyDescent="0.2">
      <c r="L2434" s="44"/>
    </row>
    <row r="2435" spans="12:12" x14ac:dyDescent="0.2">
      <c r="L2435" s="44"/>
    </row>
    <row r="2436" spans="12:12" x14ac:dyDescent="0.2">
      <c r="L2436" s="44"/>
    </row>
    <row r="2437" spans="12:12" x14ac:dyDescent="0.2">
      <c r="L2437" s="44"/>
    </row>
    <row r="2438" spans="12:12" x14ac:dyDescent="0.2">
      <c r="L2438" s="44"/>
    </row>
    <row r="2439" spans="12:12" x14ac:dyDescent="0.2">
      <c r="L2439" s="44"/>
    </row>
    <row r="2440" spans="12:12" x14ac:dyDescent="0.2">
      <c r="L2440" s="44"/>
    </row>
    <row r="2441" spans="12:12" x14ac:dyDescent="0.2">
      <c r="L2441" s="44"/>
    </row>
    <row r="2442" spans="12:12" x14ac:dyDescent="0.2">
      <c r="L2442" s="44"/>
    </row>
    <row r="2443" spans="12:12" x14ac:dyDescent="0.2">
      <c r="L2443" s="44"/>
    </row>
    <row r="2444" spans="12:12" x14ac:dyDescent="0.2">
      <c r="L2444" s="44"/>
    </row>
    <row r="2445" spans="12:12" x14ac:dyDescent="0.2">
      <c r="L2445" s="44"/>
    </row>
    <row r="2446" spans="12:12" x14ac:dyDescent="0.2">
      <c r="L2446" s="44"/>
    </row>
    <row r="2447" spans="12:12" x14ac:dyDescent="0.2">
      <c r="L2447" s="44"/>
    </row>
    <row r="2448" spans="12:12" x14ac:dyDescent="0.2">
      <c r="L2448" s="44"/>
    </row>
    <row r="2449" spans="12:12" x14ac:dyDescent="0.2">
      <c r="L2449" s="44"/>
    </row>
    <row r="2450" spans="12:12" x14ac:dyDescent="0.2">
      <c r="L2450" s="44"/>
    </row>
    <row r="2451" spans="12:12" x14ac:dyDescent="0.2">
      <c r="L2451" s="44"/>
    </row>
    <row r="2452" spans="12:12" x14ac:dyDescent="0.2">
      <c r="L2452" s="44"/>
    </row>
    <row r="2453" spans="12:12" x14ac:dyDescent="0.2">
      <c r="L2453" s="44"/>
    </row>
    <row r="2454" spans="12:12" x14ac:dyDescent="0.2">
      <c r="L2454" s="44"/>
    </row>
    <row r="2455" spans="12:12" x14ac:dyDescent="0.2">
      <c r="L2455" s="44"/>
    </row>
    <row r="2456" spans="12:12" x14ac:dyDescent="0.2">
      <c r="L2456" s="44"/>
    </row>
    <row r="2457" spans="12:12" x14ac:dyDescent="0.2">
      <c r="L2457" s="44"/>
    </row>
    <row r="2458" spans="12:12" x14ac:dyDescent="0.2">
      <c r="L2458" s="44"/>
    </row>
    <row r="2459" spans="12:12" x14ac:dyDescent="0.2">
      <c r="L2459" s="44"/>
    </row>
    <row r="2460" spans="12:12" x14ac:dyDescent="0.2">
      <c r="L2460" s="44"/>
    </row>
    <row r="2461" spans="12:12" x14ac:dyDescent="0.2">
      <c r="L2461" s="44"/>
    </row>
    <row r="2462" spans="12:12" x14ac:dyDescent="0.2">
      <c r="L2462" s="44"/>
    </row>
    <row r="2463" spans="12:12" x14ac:dyDescent="0.2">
      <c r="L2463" s="44"/>
    </row>
    <row r="2464" spans="12:12" x14ac:dyDescent="0.2">
      <c r="L2464" s="44"/>
    </row>
    <row r="2465" spans="12:12" x14ac:dyDescent="0.2">
      <c r="L2465" s="44"/>
    </row>
    <row r="2466" spans="12:12" x14ac:dyDescent="0.2">
      <c r="L2466" s="44"/>
    </row>
    <row r="2467" spans="12:12" x14ac:dyDescent="0.2">
      <c r="L2467" s="44"/>
    </row>
    <row r="2468" spans="12:12" x14ac:dyDescent="0.2">
      <c r="L2468" s="44"/>
    </row>
    <row r="2469" spans="12:12" x14ac:dyDescent="0.2">
      <c r="L2469" s="44"/>
    </row>
    <row r="2470" spans="12:12" x14ac:dyDescent="0.2">
      <c r="L2470" s="44"/>
    </row>
    <row r="2471" spans="12:12" x14ac:dyDescent="0.2">
      <c r="L2471" s="44"/>
    </row>
    <row r="2472" spans="12:12" x14ac:dyDescent="0.2">
      <c r="L2472" s="44"/>
    </row>
    <row r="2473" spans="12:12" x14ac:dyDescent="0.2">
      <c r="L2473" s="44"/>
    </row>
    <row r="2474" spans="12:12" x14ac:dyDescent="0.2">
      <c r="L2474" s="44"/>
    </row>
    <row r="2475" spans="12:12" x14ac:dyDescent="0.2">
      <c r="L2475" s="44"/>
    </row>
    <row r="2476" spans="12:12" x14ac:dyDescent="0.2">
      <c r="L2476" s="44"/>
    </row>
    <row r="2477" spans="12:12" x14ac:dyDescent="0.2">
      <c r="L2477" s="44"/>
    </row>
    <row r="2478" spans="12:12" x14ac:dyDescent="0.2">
      <c r="L2478" s="44"/>
    </row>
    <row r="2479" spans="12:12" x14ac:dyDescent="0.2">
      <c r="L2479" s="44"/>
    </row>
    <row r="2480" spans="12:12" x14ac:dyDescent="0.2">
      <c r="L2480" s="44"/>
    </row>
    <row r="2481" spans="12:12" x14ac:dyDescent="0.2">
      <c r="L2481" s="44"/>
    </row>
    <row r="2482" spans="12:12" x14ac:dyDescent="0.2">
      <c r="L2482" s="44"/>
    </row>
    <row r="2483" spans="12:12" x14ac:dyDescent="0.2">
      <c r="L2483" s="44"/>
    </row>
    <row r="2484" spans="12:12" x14ac:dyDescent="0.2">
      <c r="L2484" s="44"/>
    </row>
    <row r="2485" spans="12:12" x14ac:dyDescent="0.2">
      <c r="L2485" s="44"/>
    </row>
    <row r="2486" spans="12:12" x14ac:dyDescent="0.2">
      <c r="L2486" s="44"/>
    </row>
    <row r="2487" spans="12:12" x14ac:dyDescent="0.2">
      <c r="L2487" s="44"/>
    </row>
    <row r="2488" spans="12:12" x14ac:dyDescent="0.2">
      <c r="L2488" s="44"/>
    </row>
    <row r="2489" spans="12:12" x14ac:dyDescent="0.2">
      <c r="L2489" s="44"/>
    </row>
    <row r="2490" spans="12:12" x14ac:dyDescent="0.2">
      <c r="L2490" s="44"/>
    </row>
    <row r="2491" spans="12:12" x14ac:dyDescent="0.2">
      <c r="L2491" s="44"/>
    </row>
    <row r="2492" spans="12:12" x14ac:dyDescent="0.2">
      <c r="L2492" s="44"/>
    </row>
    <row r="2493" spans="12:12" x14ac:dyDescent="0.2">
      <c r="L2493" s="44"/>
    </row>
    <row r="2494" spans="12:12" x14ac:dyDescent="0.2">
      <c r="L2494" s="44"/>
    </row>
    <row r="2495" spans="12:12" x14ac:dyDescent="0.2">
      <c r="L2495" s="44"/>
    </row>
    <row r="2496" spans="12:12" x14ac:dyDescent="0.2">
      <c r="L2496" s="44"/>
    </row>
    <row r="2497" spans="12:12" x14ac:dyDescent="0.2">
      <c r="L2497" s="44"/>
    </row>
    <row r="2498" spans="12:12" x14ac:dyDescent="0.2">
      <c r="L2498" s="44"/>
    </row>
    <row r="2499" spans="12:12" x14ac:dyDescent="0.2">
      <c r="L2499" s="44"/>
    </row>
    <row r="2500" spans="12:12" x14ac:dyDescent="0.2">
      <c r="L2500" s="44"/>
    </row>
    <row r="2501" spans="12:12" x14ac:dyDescent="0.2">
      <c r="L2501" s="44"/>
    </row>
    <row r="2502" spans="12:12" x14ac:dyDescent="0.2">
      <c r="L2502" s="44"/>
    </row>
    <row r="2503" spans="12:12" x14ac:dyDescent="0.2">
      <c r="L2503" s="44"/>
    </row>
    <row r="2504" spans="12:12" x14ac:dyDescent="0.2">
      <c r="L2504" s="44"/>
    </row>
    <row r="2505" spans="12:12" x14ac:dyDescent="0.2">
      <c r="L2505" s="44"/>
    </row>
    <row r="2506" spans="12:12" x14ac:dyDescent="0.2">
      <c r="L2506" s="44"/>
    </row>
    <row r="2507" spans="12:12" x14ac:dyDescent="0.2">
      <c r="L2507" s="44"/>
    </row>
    <row r="2508" spans="12:12" x14ac:dyDescent="0.2">
      <c r="L2508" s="44"/>
    </row>
    <row r="2509" spans="12:12" x14ac:dyDescent="0.2">
      <c r="L2509" s="44"/>
    </row>
    <row r="2510" spans="12:12" x14ac:dyDescent="0.2">
      <c r="L2510" s="44"/>
    </row>
    <row r="2511" spans="12:12" x14ac:dyDescent="0.2">
      <c r="L2511" s="44"/>
    </row>
    <row r="2512" spans="12:12" x14ac:dyDescent="0.2">
      <c r="L2512" s="44"/>
    </row>
    <row r="2513" spans="12:12" x14ac:dyDescent="0.2">
      <c r="L2513" s="44"/>
    </row>
    <row r="2514" spans="12:12" x14ac:dyDescent="0.2">
      <c r="L2514" s="44"/>
    </row>
    <row r="2515" spans="12:12" x14ac:dyDescent="0.2">
      <c r="L2515" s="44"/>
    </row>
    <row r="2516" spans="12:12" x14ac:dyDescent="0.2">
      <c r="L2516" s="44"/>
    </row>
    <row r="2517" spans="12:12" x14ac:dyDescent="0.2">
      <c r="L2517" s="44"/>
    </row>
    <row r="2518" spans="12:12" x14ac:dyDescent="0.2">
      <c r="L2518" s="44"/>
    </row>
    <row r="2519" spans="12:12" x14ac:dyDescent="0.2">
      <c r="L2519" s="44"/>
    </row>
    <row r="2520" spans="12:12" x14ac:dyDescent="0.2">
      <c r="L2520" s="44"/>
    </row>
    <row r="2521" spans="12:12" x14ac:dyDescent="0.2">
      <c r="L2521" s="44"/>
    </row>
    <row r="2522" spans="12:12" x14ac:dyDescent="0.2">
      <c r="L2522" s="44"/>
    </row>
    <row r="2523" spans="12:12" x14ac:dyDescent="0.2">
      <c r="L2523" s="44"/>
    </row>
    <row r="2524" spans="12:12" x14ac:dyDescent="0.2">
      <c r="L2524" s="44"/>
    </row>
    <row r="2525" spans="12:12" x14ac:dyDescent="0.2">
      <c r="L2525" s="44"/>
    </row>
    <row r="2526" spans="12:12" x14ac:dyDescent="0.2">
      <c r="L2526" s="44"/>
    </row>
    <row r="2527" spans="12:12" x14ac:dyDescent="0.2">
      <c r="L2527" s="44"/>
    </row>
    <row r="2528" spans="12:12" x14ac:dyDescent="0.2">
      <c r="L2528" s="44"/>
    </row>
    <row r="2529" spans="12:12" x14ac:dyDescent="0.2">
      <c r="L2529" s="44"/>
    </row>
    <row r="2530" spans="12:12" x14ac:dyDescent="0.2">
      <c r="L2530" s="44"/>
    </row>
    <row r="2531" spans="12:12" x14ac:dyDescent="0.2">
      <c r="L2531" s="44"/>
    </row>
    <row r="2532" spans="12:12" x14ac:dyDescent="0.2">
      <c r="L2532" s="44"/>
    </row>
    <row r="2533" spans="12:12" x14ac:dyDescent="0.2">
      <c r="L2533" s="44"/>
    </row>
    <row r="2534" spans="12:12" x14ac:dyDescent="0.2">
      <c r="L2534" s="44"/>
    </row>
    <row r="2535" spans="12:12" x14ac:dyDescent="0.2">
      <c r="L2535" s="44"/>
    </row>
    <row r="2536" spans="12:12" x14ac:dyDescent="0.2">
      <c r="L2536" s="44"/>
    </row>
    <row r="2537" spans="12:12" x14ac:dyDescent="0.2">
      <c r="L2537" s="44"/>
    </row>
    <row r="2538" spans="12:12" x14ac:dyDescent="0.2">
      <c r="L2538" s="44"/>
    </row>
    <row r="2539" spans="12:12" x14ac:dyDescent="0.2">
      <c r="L2539" s="44"/>
    </row>
    <row r="2540" spans="12:12" x14ac:dyDescent="0.2">
      <c r="L2540" s="44"/>
    </row>
    <row r="2541" spans="12:12" x14ac:dyDescent="0.2">
      <c r="L2541" s="44"/>
    </row>
    <row r="2542" spans="12:12" x14ac:dyDescent="0.2">
      <c r="L2542" s="44"/>
    </row>
    <row r="2543" spans="12:12" x14ac:dyDescent="0.2">
      <c r="L2543" s="44"/>
    </row>
    <row r="2544" spans="12:12" x14ac:dyDescent="0.2">
      <c r="L2544" s="44"/>
    </row>
    <row r="2545" spans="12:12" x14ac:dyDescent="0.2">
      <c r="L2545" s="44"/>
    </row>
    <row r="2546" spans="12:12" x14ac:dyDescent="0.2">
      <c r="L2546" s="44"/>
    </row>
    <row r="2547" spans="12:12" x14ac:dyDescent="0.2">
      <c r="L2547" s="44"/>
    </row>
    <row r="2548" spans="12:12" x14ac:dyDescent="0.2">
      <c r="L2548" s="44"/>
    </row>
    <row r="2549" spans="12:12" x14ac:dyDescent="0.2">
      <c r="L2549" s="44"/>
    </row>
    <row r="2550" spans="12:12" x14ac:dyDescent="0.2">
      <c r="L2550" s="44"/>
    </row>
    <row r="2551" spans="12:12" x14ac:dyDescent="0.2">
      <c r="L2551" s="44"/>
    </row>
    <row r="2552" spans="12:12" x14ac:dyDescent="0.2">
      <c r="L2552" s="44"/>
    </row>
    <row r="2553" spans="12:12" x14ac:dyDescent="0.2">
      <c r="L2553" s="44"/>
    </row>
    <row r="2554" spans="12:12" x14ac:dyDescent="0.2">
      <c r="L2554" s="44"/>
    </row>
    <row r="2555" spans="12:12" x14ac:dyDescent="0.2">
      <c r="L2555" s="44"/>
    </row>
    <row r="2556" spans="12:12" x14ac:dyDescent="0.2">
      <c r="L2556" s="44"/>
    </row>
    <row r="2557" spans="12:12" x14ac:dyDescent="0.2">
      <c r="L2557" s="44"/>
    </row>
    <row r="2558" spans="12:12" x14ac:dyDescent="0.2">
      <c r="L2558" s="44"/>
    </row>
    <row r="2559" spans="12:12" x14ac:dyDescent="0.2">
      <c r="L2559" s="44"/>
    </row>
    <row r="2560" spans="12:12" x14ac:dyDescent="0.2">
      <c r="L2560" s="44"/>
    </row>
    <row r="2561" spans="12:12" x14ac:dyDescent="0.2">
      <c r="L2561" s="44"/>
    </row>
    <row r="2562" spans="12:12" x14ac:dyDescent="0.2">
      <c r="L2562" s="44"/>
    </row>
    <row r="2563" spans="12:12" x14ac:dyDescent="0.2">
      <c r="L2563" s="44"/>
    </row>
    <row r="2564" spans="12:12" x14ac:dyDescent="0.2">
      <c r="L2564" s="44"/>
    </row>
    <row r="2565" spans="12:12" x14ac:dyDescent="0.2">
      <c r="L2565" s="44"/>
    </row>
    <row r="2566" spans="12:12" x14ac:dyDescent="0.2">
      <c r="L2566" s="44"/>
    </row>
    <row r="2567" spans="12:12" x14ac:dyDescent="0.2">
      <c r="L2567" s="44"/>
    </row>
    <row r="2568" spans="12:12" x14ac:dyDescent="0.2">
      <c r="L2568" s="44"/>
    </row>
    <row r="2569" spans="12:12" x14ac:dyDescent="0.2">
      <c r="L2569" s="44"/>
    </row>
    <row r="2570" spans="12:12" x14ac:dyDescent="0.2">
      <c r="L2570" s="44"/>
    </row>
    <row r="2571" spans="12:12" x14ac:dyDescent="0.2">
      <c r="L2571" s="44"/>
    </row>
    <row r="2572" spans="12:12" x14ac:dyDescent="0.2">
      <c r="L2572" s="44"/>
    </row>
    <row r="2573" spans="12:12" x14ac:dyDescent="0.2">
      <c r="L2573" s="44"/>
    </row>
    <row r="2574" spans="12:12" x14ac:dyDescent="0.2">
      <c r="L2574" s="44"/>
    </row>
    <row r="2575" spans="12:12" x14ac:dyDescent="0.2">
      <c r="L2575" s="44"/>
    </row>
    <row r="2576" spans="12:12" x14ac:dyDescent="0.2">
      <c r="L2576" s="44"/>
    </row>
    <row r="2577" spans="12:12" x14ac:dyDescent="0.2">
      <c r="L2577" s="44"/>
    </row>
    <row r="2578" spans="12:12" x14ac:dyDescent="0.2">
      <c r="L2578" s="44"/>
    </row>
    <row r="2579" spans="12:12" x14ac:dyDescent="0.2">
      <c r="L2579" s="44"/>
    </row>
    <row r="2580" spans="12:12" x14ac:dyDescent="0.2">
      <c r="L2580" s="44"/>
    </row>
    <row r="2581" spans="12:12" x14ac:dyDescent="0.2">
      <c r="L2581" s="44"/>
    </row>
    <row r="2582" spans="12:12" x14ac:dyDescent="0.2">
      <c r="L2582" s="44"/>
    </row>
    <row r="2583" spans="12:12" x14ac:dyDescent="0.2">
      <c r="L2583" s="44"/>
    </row>
    <row r="2584" spans="12:12" x14ac:dyDescent="0.2">
      <c r="L2584" s="44"/>
    </row>
    <row r="2585" spans="12:12" x14ac:dyDescent="0.2">
      <c r="L2585" s="44"/>
    </row>
    <row r="2586" spans="12:12" x14ac:dyDescent="0.2">
      <c r="L2586" s="44"/>
    </row>
    <row r="2587" spans="12:12" x14ac:dyDescent="0.2">
      <c r="L2587" s="44"/>
    </row>
    <row r="2588" spans="12:12" x14ac:dyDescent="0.2">
      <c r="L2588" s="44"/>
    </row>
    <row r="2589" spans="12:12" x14ac:dyDescent="0.2">
      <c r="L2589" s="44"/>
    </row>
    <row r="2590" spans="12:12" x14ac:dyDescent="0.2">
      <c r="L2590" s="44"/>
    </row>
    <row r="2591" spans="12:12" x14ac:dyDescent="0.2">
      <c r="L2591" s="44"/>
    </row>
    <row r="2592" spans="12:12" x14ac:dyDescent="0.2">
      <c r="L2592" s="44"/>
    </row>
    <row r="2593" spans="12:12" x14ac:dyDescent="0.2">
      <c r="L2593" s="44"/>
    </row>
    <row r="2594" spans="12:12" x14ac:dyDescent="0.2">
      <c r="L2594" s="44"/>
    </row>
    <row r="2595" spans="12:12" x14ac:dyDescent="0.2">
      <c r="L2595" s="44"/>
    </row>
    <row r="2596" spans="12:12" x14ac:dyDescent="0.2">
      <c r="L2596" s="44"/>
    </row>
    <row r="2597" spans="12:12" x14ac:dyDescent="0.2">
      <c r="L2597" s="44"/>
    </row>
    <row r="2598" spans="12:12" x14ac:dyDescent="0.2">
      <c r="L2598" s="44"/>
    </row>
    <row r="2599" spans="12:12" x14ac:dyDescent="0.2">
      <c r="L2599" s="44"/>
    </row>
    <row r="2600" spans="12:12" x14ac:dyDescent="0.2">
      <c r="L2600" s="44"/>
    </row>
    <row r="2601" spans="12:12" x14ac:dyDescent="0.2">
      <c r="L2601" s="44"/>
    </row>
    <row r="2602" spans="12:12" x14ac:dyDescent="0.2">
      <c r="L2602" s="44"/>
    </row>
    <row r="2603" spans="12:12" x14ac:dyDescent="0.2">
      <c r="L2603" s="44"/>
    </row>
    <row r="2604" spans="12:12" x14ac:dyDescent="0.2">
      <c r="L2604" s="44"/>
    </row>
    <row r="2605" spans="12:12" x14ac:dyDescent="0.2">
      <c r="L2605" s="44"/>
    </row>
    <row r="2606" spans="12:12" x14ac:dyDescent="0.2">
      <c r="L2606" s="44"/>
    </row>
    <row r="2607" spans="12:12" x14ac:dyDescent="0.2">
      <c r="L2607" s="44"/>
    </row>
    <row r="2608" spans="12:12" x14ac:dyDescent="0.2">
      <c r="L2608" s="44"/>
    </row>
    <row r="2609" spans="12:12" x14ac:dyDescent="0.2">
      <c r="L2609" s="44"/>
    </row>
    <row r="2610" spans="12:12" x14ac:dyDescent="0.2">
      <c r="L2610" s="44"/>
    </row>
    <row r="2611" spans="12:12" x14ac:dyDescent="0.2">
      <c r="L2611" s="44"/>
    </row>
    <row r="2612" spans="12:12" x14ac:dyDescent="0.2">
      <c r="L2612" s="44"/>
    </row>
    <row r="2613" spans="12:12" x14ac:dyDescent="0.2">
      <c r="L2613" s="44"/>
    </row>
    <row r="2614" spans="12:12" x14ac:dyDescent="0.2">
      <c r="L2614" s="44"/>
    </row>
    <row r="2615" spans="12:12" x14ac:dyDescent="0.2">
      <c r="L2615" s="44"/>
    </row>
    <row r="2616" spans="12:12" x14ac:dyDescent="0.2">
      <c r="L2616" s="44"/>
    </row>
    <row r="2617" spans="12:12" x14ac:dyDescent="0.2">
      <c r="L2617" s="44"/>
    </row>
    <row r="2618" spans="12:12" x14ac:dyDescent="0.2">
      <c r="L2618" s="44"/>
    </row>
    <row r="2619" spans="12:12" x14ac:dyDescent="0.2">
      <c r="L2619" s="44"/>
    </row>
    <row r="2620" spans="12:12" x14ac:dyDescent="0.2">
      <c r="L2620" s="44"/>
    </row>
    <row r="2621" spans="12:12" x14ac:dyDescent="0.2">
      <c r="L2621" s="44"/>
    </row>
    <row r="2622" spans="12:12" x14ac:dyDescent="0.2">
      <c r="L2622" s="44"/>
    </row>
    <row r="2623" spans="12:12" x14ac:dyDescent="0.2">
      <c r="L2623" s="44"/>
    </row>
    <row r="2624" spans="12:12" x14ac:dyDescent="0.2">
      <c r="L2624" s="44"/>
    </row>
    <row r="2625" spans="12:12" x14ac:dyDescent="0.2">
      <c r="L2625" s="44"/>
    </row>
    <row r="2626" spans="12:12" x14ac:dyDescent="0.2">
      <c r="L2626" s="44"/>
    </row>
    <row r="2627" spans="12:12" x14ac:dyDescent="0.2">
      <c r="L2627" s="44"/>
    </row>
    <row r="2628" spans="12:12" x14ac:dyDescent="0.2">
      <c r="L2628" s="44"/>
    </row>
    <row r="2629" spans="12:12" x14ac:dyDescent="0.2">
      <c r="L2629" s="44"/>
    </row>
    <row r="2630" spans="12:12" x14ac:dyDescent="0.2">
      <c r="L2630" s="44"/>
    </row>
    <row r="2631" spans="12:12" x14ac:dyDescent="0.2">
      <c r="L2631" s="44"/>
    </row>
    <row r="2632" spans="12:12" x14ac:dyDescent="0.2">
      <c r="L2632" s="44"/>
    </row>
    <row r="2633" spans="12:12" x14ac:dyDescent="0.2">
      <c r="L2633" s="44"/>
    </row>
    <row r="2634" spans="12:12" x14ac:dyDescent="0.2">
      <c r="L2634" s="44"/>
    </row>
    <row r="2635" spans="12:12" x14ac:dyDescent="0.2">
      <c r="L2635" s="44"/>
    </row>
    <row r="2636" spans="12:12" x14ac:dyDescent="0.2">
      <c r="L2636" s="44"/>
    </row>
    <row r="2637" spans="12:12" x14ac:dyDescent="0.2">
      <c r="L2637" s="44"/>
    </row>
    <row r="2638" spans="12:12" x14ac:dyDescent="0.2">
      <c r="L2638" s="44"/>
    </row>
    <row r="2639" spans="12:12" x14ac:dyDescent="0.2">
      <c r="L2639" s="44"/>
    </row>
    <row r="2640" spans="12:12" x14ac:dyDescent="0.2">
      <c r="L2640" s="44"/>
    </row>
    <row r="2641" spans="12:12" x14ac:dyDescent="0.2">
      <c r="L2641" s="44"/>
    </row>
    <row r="2642" spans="12:12" x14ac:dyDescent="0.2">
      <c r="L2642" s="44"/>
    </row>
    <row r="2643" spans="12:12" x14ac:dyDescent="0.2">
      <c r="L2643" s="44"/>
    </row>
    <row r="2644" spans="12:12" x14ac:dyDescent="0.2">
      <c r="L2644" s="44"/>
    </row>
    <row r="2645" spans="12:12" x14ac:dyDescent="0.2">
      <c r="L2645" s="44"/>
    </row>
    <row r="2646" spans="12:12" x14ac:dyDescent="0.2">
      <c r="L2646" s="44"/>
    </row>
    <row r="2647" spans="12:12" x14ac:dyDescent="0.2">
      <c r="L2647" s="44"/>
    </row>
    <row r="2648" spans="12:12" x14ac:dyDescent="0.2">
      <c r="L2648" s="44"/>
    </row>
    <row r="2649" spans="12:12" x14ac:dyDescent="0.2">
      <c r="L2649" s="44"/>
    </row>
    <row r="2650" spans="12:12" x14ac:dyDescent="0.2">
      <c r="L2650" s="44"/>
    </row>
    <row r="2651" spans="12:12" x14ac:dyDescent="0.2">
      <c r="L2651" s="44"/>
    </row>
    <row r="2652" spans="12:12" x14ac:dyDescent="0.2">
      <c r="L2652" s="44"/>
    </row>
    <row r="2653" spans="12:12" x14ac:dyDescent="0.2">
      <c r="L2653" s="44"/>
    </row>
    <row r="2654" spans="12:12" x14ac:dyDescent="0.2">
      <c r="L2654" s="44"/>
    </row>
    <row r="2655" spans="12:12" x14ac:dyDescent="0.2">
      <c r="L2655" s="44"/>
    </row>
    <row r="2656" spans="12:12" x14ac:dyDescent="0.2">
      <c r="L2656" s="44"/>
    </row>
    <row r="2657" spans="12:12" x14ac:dyDescent="0.2">
      <c r="L2657" s="44"/>
    </row>
    <row r="2658" spans="12:12" x14ac:dyDescent="0.2">
      <c r="L2658" s="44"/>
    </row>
    <row r="2659" spans="12:12" x14ac:dyDescent="0.2">
      <c r="L2659" s="44"/>
    </row>
    <row r="2660" spans="12:12" x14ac:dyDescent="0.2">
      <c r="L2660" s="44"/>
    </row>
    <row r="2661" spans="12:12" x14ac:dyDescent="0.2">
      <c r="L2661" s="44"/>
    </row>
    <row r="2662" spans="12:12" x14ac:dyDescent="0.2">
      <c r="L2662" s="44"/>
    </row>
    <row r="2663" spans="12:12" x14ac:dyDescent="0.2">
      <c r="L2663" s="44"/>
    </row>
    <row r="2664" spans="12:12" x14ac:dyDescent="0.2">
      <c r="L2664" s="44"/>
    </row>
    <row r="2665" spans="12:12" x14ac:dyDescent="0.2">
      <c r="L2665" s="44"/>
    </row>
    <row r="2666" spans="12:12" x14ac:dyDescent="0.2">
      <c r="L2666" s="44"/>
    </row>
    <row r="2667" spans="12:12" x14ac:dyDescent="0.2">
      <c r="L2667" s="44"/>
    </row>
    <row r="2668" spans="12:12" x14ac:dyDescent="0.2">
      <c r="L2668" s="44"/>
    </row>
    <row r="2669" spans="12:12" x14ac:dyDescent="0.2">
      <c r="L2669" s="44"/>
    </row>
    <row r="2670" spans="12:12" x14ac:dyDescent="0.2">
      <c r="L2670" s="44"/>
    </row>
    <row r="2671" spans="12:12" x14ac:dyDescent="0.2">
      <c r="L2671" s="44"/>
    </row>
    <row r="2672" spans="12:12" x14ac:dyDescent="0.2">
      <c r="L2672" s="44"/>
    </row>
    <row r="2673" spans="12:12" x14ac:dyDescent="0.2">
      <c r="L2673" s="44"/>
    </row>
    <row r="2674" spans="12:12" x14ac:dyDescent="0.2">
      <c r="L2674" s="44"/>
    </row>
    <row r="2675" spans="12:12" x14ac:dyDescent="0.2">
      <c r="L2675" s="44"/>
    </row>
    <row r="2676" spans="12:12" x14ac:dyDescent="0.2">
      <c r="L2676" s="44"/>
    </row>
    <row r="2677" spans="12:12" x14ac:dyDescent="0.2">
      <c r="L2677" s="44"/>
    </row>
    <row r="2678" spans="12:12" x14ac:dyDescent="0.2">
      <c r="L2678" s="44"/>
    </row>
    <row r="2679" spans="12:12" x14ac:dyDescent="0.2">
      <c r="L2679" s="44"/>
    </row>
    <row r="2680" spans="12:12" x14ac:dyDescent="0.2">
      <c r="L2680" s="44"/>
    </row>
    <row r="2681" spans="12:12" x14ac:dyDescent="0.2">
      <c r="L2681" s="44"/>
    </row>
    <row r="2682" spans="12:12" x14ac:dyDescent="0.2">
      <c r="L2682" s="44"/>
    </row>
    <row r="2683" spans="12:12" x14ac:dyDescent="0.2">
      <c r="L2683" s="44"/>
    </row>
    <row r="2684" spans="12:12" x14ac:dyDescent="0.2">
      <c r="L2684" s="44"/>
    </row>
    <row r="2685" spans="12:12" x14ac:dyDescent="0.2">
      <c r="L2685" s="44"/>
    </row>
    <row r="2686" spans="12:12" x14ac:dyDescent="0.2">
      <c r="L2686" s="44"/>
    </row>
    <row r="2687" spans="12:12" x14ac:dyDescent="0.2">
      <c r="L2687" s="44"/>
    </row>
    <row r="2688" spans="12:12" x14ac:dyDescent="0.2">
      <c r="L2688" s="44"/>
    </row>
    <row r="2689" spans="12:12" x14ac:dyDescent="0.2">
      <c r="L2689" s="44"/>
    </row>
    <row r="2690" spans="12:12" x14ac:dyDescent="0.2">
      <c r="L2690" s="44"/>
    </row>
    <row r="2691" spans="12:12" x14ac:dyDescent="0.2">
      <c r="L2691" s="44"/>
    </row>
    <row r="2692" spans="12:12" x14ac:dyDescent="0.2">
      <c r="L2692" s="44"/>
    </row>
    <row r="2693" spans="12:12" x14ac:dyDescent="0.2">
      <c r="L2693" s="44"/>
    </row>
    <row r="2694" spans="12:12" x14ac:dyDescent="0.2">
      <c r="L2694" s="44"/>
    </row>
    <row r="2695" spans="12:12" x14ac:dyDescent="0.2">
      <c r="L2695" s="44"/>
    </row>
    <row r="2696" spans="12:12" x14ac:dyDescent="0.2">
      <c r="L2696" s="44"/>
    </row>
    <row r="2697" spans="12:12" x14ac:dyDescent="0.2">
      <c r="L2697" s="44"/>
    </row>
    <row r="2698" spans="12:12" x14ac:dyDescent="0.2">
      <c r="L2698" s="44"/>
    </row>
    <row r="2699" spans="12:12" x14ac:dyDescent="0.2">
      <c r="L2699" s="44"/>
    </row>
    <row r="2700" spans="12:12" x14ac:dyDescent="0.2">
      <c r="L2700" s="44"/>
    </row>
    <row r="2701" spans="12:12" x14ac:dyDescent="0.2">
      <c r="L2701" s="44"/>
    </row>
    <row r="2702" spans="12:12" x14ac:dyDescent="0.2">
      <c r="L2702" s="44"/>
    </row>
    <row r="2703" spans="12:12" x14ac:dyDescent="0.2">
      <c r="L2703" s="44"/>
    </row>
    <row r="2704" spans="12:12" x14ac:dyDescent="0.2">
      <c r="L2704" s="44"/>
    </row>
    <row r="2705" spans="12:12" x14ac:dyDescent="0.2">
      <c r="L2705" s="44"/>
    </row>
    <row r="2706" spans="12:12" x14ac:dyDescent="0.2">
      <c r="L2706" s="44"/>
    </row>
    <row r="2707" spans="12:12" x14ac:dyDescent="0.2">
      <c r="L2707" s="44"/>
    </row>
    <row r="2708" spans="12:12" x14ac:dyDescent="0.2">
      <c r="L2708" s="44"/>
    </row>
    <row r="2709" spans="12:12" x14ac:dyDescent="0.2">
      <c r="L2709" s="44"/>
    </row>
    <row r="2710" spans="12:12" x14ac:dyDescent="0.2">
      <c r="L2710" s="44"/>
    </row>
    <row r="2711" spans="12:12" x14ac:dyDescent="0.2">
      <c r="L2711" s="44"/>
    </row>
    <row r="2712" spans="12:12" x14ac:dyDescent="0.2">
      <c r="L2712" s="44"/>
    </row>
    <row r="2713" spans="12:12" x14ac:dyDescent="0.2">
      <c r="L2713" s="44"/>
    </row>
    <row r="2714" spans="12:12" x14ac:dyDescent="0.2">
      <c r="L2714" s="44"/>
    </row>
    <row r="2715" spans="12:12" x14ac:dyDescent="0.2">
      <c r="L2715" s="44"/>
    </row>
    <row r="2716" spans="12:12" x14ac:dyDescent="0.2">
      <c r="L2716" s="44"/>
    </row>
    <row r="2717" spans="12:12" x14ac:dyDescent="0.2">
      <c r="L2717" s="44"/>
    </row>
    <row r="2718" spans="12:12" x14ac:dyDescent="0.2">
      <c r="L2718" s="44"/>
    </row>
    <row r="2719" spans="12:12" x14ac:dyDescent="0.2">
      <c r="L2719" s="44"/>
    </row>
    <row r="2720" spans="12:12" x14ac:dyDescent="0.2">
      <c r="L2720" s="44"/>
    </row>
    <row r="2721" spans="12:12" x14ac:dyDescent="0.2">
      <c r="L2721" s="44"/>
    </row>
    <row r="2722" spans="12:12" x14ac:dyDescent="0.2">
      <c r="L2722" s="44"/>
    </row>
    <row r="2723" spans="12:12" x14ac:dyDescent="0.2">
      <c r="L2723" s="44"/>
    </row>
    <row r="2724" spans="12:12" x14ac:dyDescent="0.2">
      <c r="L2724" s="44"/>
    </row>
    <row r="2725" spans="12:12" x14ac:dyDescent="0.2">
      <c r="L2725" s="44"/>
    </row>
    <row r="2726" spans="12:12" x14ac:dyDescent="0.2">
      <c r="L2726" s="44"/>
    </row>
    <row r="2727" spans="12:12" x14ac:dyDescent="0.2">
      <c r="L2727" s="44"/>
    </row>
    <row r="2728" spans="12:12" x14ac:dyDescent="0.2">
      <c r="L2728" s="44"/>
    </row>
    <row r="2729" spans="12:12" x14ac:dyDescent="0.2">
      <c r="L2729" s="44"/>
    </row>
    <row r="2730" spans="12:12" x14ac:dyDescent="0.2">
      <c r="L2730" s="44"/>
    </row>
    <row r="2731" spans="12:12" x14ac:dyDescent="0.2">
      <c r="L2731" s="44"/>
    </row>
    <row r="2732" spans="12:12" x14ac:dyDescent="0.2">
      <c r="L2732" s="44"/>
    </row>
    <row r="2733" spans="12:12" x14ac:dyDescent="0.2">
      <c r="L2733" s="44"/>
    </row>
    <row r="2734" spans="12:12" x14ac:dyDescent="0.2">
      <c r="L2734" s="44"/>
    </row>
    <row r="2735" spans="12:12" x14ac:dyDescent="0.2">
      <c r="L2735" s="44"/>
    </row>
    <row r="2736" spans="12:12" x14ac:dyDescent="0.2">
      <c r="L2736" s="44"/>
    </row>
    <row r="2737" spans="12:12" x14ac:dyDescent="0.2">
      <c r="L2737" s="44"/>
    </row>
    <row r="2738" spans="12:12" x14ac:dyDescent="0.2">
      <c r="L2738" s="44"/>
    </row>
    <row r="2739" spans="12:12" x14ac:dyDescent="0.2">
      <c r="L2739" s="44"/>
    </row>
    <row r="2740" spans="12:12" x14ac:dyDescent="0.2">
      <c r="L2740" s="44"/>
    </row>
    <row r="2741" spans="12:12" x14ac:dyDescent="0.2">
      <c r="L2741" s="44"/>
    </row>
    <row r="2742" spans="12:12" x14ac:dyDescent="0.2">
      <c r="L2742" s="44"/>
    </row>
    <row r="2743" spans="12:12" x14ac:dyDescent="0.2">
      <c r="L2743" s="44"/>
    </row>
    <row r="2744" spans="12:12" x14ac:dyDescent="0.2">
      <c r="L2744" s="44"/>
    </row>
    <row r="2745" spans="12:12" x14ac:dyDescent="0.2">
      <c r="L2745" s="44"/>
    </row>
    <row r="2746" spans="12:12" x14ac:dyDescent="0.2">
      <c r="L2746" s="44"/>
    </row>
    <row r="2747" spans="12:12" x14ac:dyDescent="0.2">
      <c r="L2747" s="44"/>
    </row>
    <row r="2748" spans="12:12" x14ac:dyDescent="0.2">
      <c r="L2748" s="44"/>
    </row>
    <row r="2749" spans="12:12" x14ac:dyDescent="0.2">
      <c r="L2749" s="44"/>
    </row>
    <row r="2750" spans="12:12" x14ac:dyDescent="0.2">
      <c r="L2750" s="44"/>
    </row>
    <row r="2751" spans="12:12" x14ac:dyDescent="0.2">
      <c r="L2751" s="44"/>
    </row>
    <row r="2752" spans="12:12" x14ac:dyDescent="0.2">
      <c r="L2752" s="44"/>
    </row>
    <row r="2753" spans="12:12" x14ac:dyDescent="0.2">
      <c r="L2753" s="44"/>
    </row>
    <row r="2754" spans="12:12" x14ac:dyDescent="0.2">
      <c r="L2754" s="44"/>
    </row>
    <row r="2755" spans="12:12" x14ac:dyDescent="0.2">
      <c r="L2755" s="44"/>
    </row>
    <row r="2756" spans="12:12" x14ac:dyDescent="0.2">
      <c r="L2756" s="44"/>
    </row>
    <row r="2757" spans="12:12" x14ac:dyDescent="0.2">
      <c r="L2757" s="44"/>
    </row>
    <row r="2758" spans="12:12" x14ac:dyDescent="0.2">
      <c r="L2758" s="44"/>
    </row>
    <row r="2759" spans="12:12" x14ac:dyDescent="0.2">
      <c r="L2759" s="44"/>
    </row>
    <row r="2760" spans="12:12" x14ac:dyDescent="0.2">
      <c r="L2760" s="44"/>
    </row>
    <row r="2761" spans="12:12" x14ac:dyDescent="0.2">
      <c r="L2761" s="44"/>
    </row>
    <row r="2762" spans="12:12" x14ac:dyDescent="0.2">
      <c r="L2762" s="44"/>
    </row>
    <row r="2763" spans="12:12" x14ac:dyDescent="0.2">
      <c r="L2763" s="44"/>
    </row>
    <row r="2764" spans="12:12" x14ac:dyDescent="0.2">
      <c r="L2764" s="44"/>
    </row>
    <row r="2765" spans="12:12" x14ac:dyDescent="0.2">
      <c r="L2765" s="44"/>
    </row>
    <row r="2766" spans="12:12" x14ac:dyDescent="0.2">
      <c r="L2766" s="44"/>
    </row>
    <row r="2767" spans="12:12" x14ac:dyDescent="0.2">
      <c r="L2767" s="44"/>
    </row>
    <row r="2768" spans="12:12" x14ac:dyDescent="0.2">
      <c r="L2768" s="44"/>
    </row>
    <row r="2769" spans="12:12" x14ac:dyDescent="0.2">
      <c r="L2769" s="44"/>
    </row>
    <row r="2770" spans="12:12" x14ac:dyDescent="0.2">
      <c r="L2770" s="44"/>
    </row>
    <row r="2771" spans="12:12" x14ac:dyDescent="0.2">
      <c r="L2771" s="44"/>
    </row>
    <row r="2772" spans="12:12" x14ac:dyDescent="0.2">
      <c r="L2772" s="44"/>
    </row>
    <row r="2773" spans="12:12" x14ac:dyDescent="0.2">
      <c r="L2773" s="44"/>
    </row>
    <row r="2774" spans="12:12" x14ac:dyDescent="0.2">
      <c r="L2774" s="44"/>
    </row>
    <row r="2775" spans="12:12" x14ac:dyDescent="0.2">
      <c r="L2775" s="44"/>
    </row>
    <row r="2776" spans="12:12" x14ac:dyDescent="0.2">
      <c r="L2776" s="44"/>
    </row>
    <row r="2777" spans="12:12" x14ac:dyDescent="0.2">
      <c r="L2777" s="44"/>
    </row>
    <row r="2778" spans="12:12" x14ac:dyDescent="0.2">
      <c r="L2778" s="44"/>
    </row>
    <row r="2779" spans="12:12" x14ac:dyDescent="0.2">
      <c r="L2779" s="44"/>
    </row>
    <row r="2780" spans="12:12" x14ac:dyDescent="0.2">
      <c r="L2780" s="44"/>
    </row>
    <row r="2781" spans="12:12" x14ac:dyDescent="0.2">
      <c r="L2781" s="44"/>
    </row>
    <row r="2782" spans="12:12" x14ac:dyDescent="0.2">
      <c r="L2782" s="44"/>
    </row>
    <row r="2783" spans="12:12" x14ac:dyDescent="0.2">
      <c r="L2783" s="44"/>
    </row>
    <row r="2784" spans="12:12" x14ac:dyDescent="0.2">
      <c r="L2784" s="44"/>
    </row>
    <row r="2785" spans="12:12" x14ac:dyDescent="0.2">
      <c r="L2785" s="44"/>
    </row>
    <row r="2786" spans="12:12" x14ac:dyDescent="0.2">
      <c r="L2786" s="44"/>
    </row>
    <row r="2787" spans="12:12" x14ac:dyDescent="0.2">
      <c r="L2787" s="44"/>
    </row>
    <row r="2788" spans="12:12" x14ac:dyDescent="0.2">
      <c r="L2788" s="44"/>
    </row>
    <row r="2789" spans="12:12" x14ac:dyDescent="0.2">
      <c r="L2789" s="44"/>
    </row>
    <row r="2790" spans="12:12" x14ac:dyDescent="0.2">
      <c r="L2790" s="44"/>
    </row>
    <row r="2791" spans="12:12" x14ac:dyDescent="0.2">
      <c r="L2791" s="44"/>
    </row>
    <row r="2792" spans="12:12" x14ac:dyDescent="0.2">
      <c r="L2792" s="44"/>
    </row>
    <row r="2793" spans="12:12" x14ac:dyDescent="0.2">
      <c r="L2793" s="44"/>
    </row>
    <row r="2794" spans="12:12" x14ac:dyDescent="0.2">
      <c r="L2794" s="44"/>
    </row>
    <row r="2795" spans="12:12" x14ac:dyDescent="0.2">
      <c r="L2795" s="44"/>
    </row>
    <row r="2796" spans="12:12" x14ac:dyDescent="0.2">
      <c r="L2796" s="44"/>
    </row>
    <row r="2797" spans="12:12" x14ac:dyDescent="0.2">
      <c r="L2797" s="44"/>
    </row>
    <row r="2798" spans="12:12" x14ac:dyDescent="0.2">
      <c r="L2798" s="44"/>
    </row>
    <row r="2799" spans="12:12" x14ac:dyDescent="0.2">
      <c r="L2799" s="44"/>
    </row>
    <row r="2800" spans="12:12" x14ac:dyDescent="0.2">
      <c r="L2800" s="44"/>
    </row>
    <row r="2801" spans="12:12" x14ac:dyDescent="0.2">
      <c r="L2801" s="44"/>
    </row>
    <row r="2802" spans="12:12" x14ac:dyDescent="0.2">
      <c r="L2802" s="44"/>
    </row>
    <row r="2803" spans="12:12" x14ac:dyDescent="0.2">
      <c r="L2803" s="44"/>
    </row>
    <row r="2804" spans="12:12" x14ac:dyDescent="0.2">
      <c r="L2804" s="44"/>
    </row>
    <row r="2805" spans="12:12" x14ac:dyDescent="0.2">
      <c r="L2805" s="44"/>
    </row>
    <row r="2806" spans="12:12" x14ac:dyDescent="0.2">
      <c r="L2806" s="44"/>
    </row>
    <row r="2807" spans="12:12" x14ac:dyDescent="0.2">
      <c r="L2807" s="44"/>
    </row>
    <row r="2808" spans="12:12" x14ac:dyDescent="0.2">
      <c r="L2808" s="44"/>
    </row>
    <row r="2809" spans="12:12" x14ac:dyDescent="0.2">
      <c r="L2809" s="44"/>
    </row>
    <row r="2810" spans="12:12" x14ac:dyDescent="0.2">
      <c r="L2810" s="44"/>
    </row>
    <row r="2811" spans="12:12" x14ac:dyDescent="0.2">
      <c r="L2811" s="44"/>
    </row>
    <row r="2812" spans="12:12" x14ac:dyDescent="0.2">
      <c r="L2812" s="44"/>
    </row>
    <row r="2813" spans="12:12" x14ac:dyDescent="0.2">
      <c r="L2813" s="44"/>
    </row>
    <row r="2814" spans="12:12" x14ac:dyDescent="0.2">
      <c r="L2814" s="44"/>
    </row>
    <row r="2815" spans="12:12" x14ac:dyDescent="0.2">
      <c r="L2815" s="44"/>
    </row>
    <row r="2816" spans="12:12" x14ac:dyDescent="0.2">
      <c r="L2816" s="44"/>
    </row>
    <row r="2817" spans="12:12" x14ac:dyDescent="0.2">
      <c r="L2817" s="44"/>
    </row>
    <row r="2818" spans="12:12" x14ac:dyDescent="0.2">
      <c r="L2818" s="44"/>
    </row>
    <row r="2819" spans="12:12" x14ac:dyDescent="0.2">
      <c r="L2819" s="44"/>
    </row>
    <row r="2820" spans="12:12" x14ac:dyDescent="0.2">
      <c r="L2820" s="44"/>
    </row>
    <row r="2821" spans="12:12" x14ac:dyDescent="0.2">
      <c r="L2821" s="44"/>
    </row>
    <row r="2822" spans="12:12" x14ac:dyDescent="0.2">
      <c r="L2822" s="44"/>
    </row>
    <row r="2823" spans="12:12" x14ac:dyDescent="0.2">
      <c r="L2823" s="44"/>
    </row>
    <row r="2824" spans="12:12" x14ac:dyDescent="0.2">
      <c r="L2824" s="44"/>
    </row>
    <row r="2825" spans="12:12" x14ac:dyDescent="0.2">
      <c r="L2825" s="44"/>
    </row>
    <row r="2826" spans="12:12" x14ac:dyDescent="0.2">
      <c r="L2826" s="44"/>
    </row>
    <row r="2827" spans="12:12" x14ac:dyDescent="0.2">
      <c r="L2827" s="44"/>
    </row>
    <row r="2828" spans="12:12" x14ac:dyDescent="0.2">
      <c r="L2828" s="44"/>
    </row>
    <row r="2829" spans="12:12" x14ac:dyDescent="0.2">
      <c r="L2829" s="44"/>
    </row>
    <row r="2830" spans="12:12" x14ac:dyDescent="0.2">
      <c r="L2830" s="44"/>
    </row>
    <row r="2831" spans="12:12" x14ac:dyDescent="0.2">
      <c r="L2831" s="44"/>
    </row>
    <row r="2832" spans="12:12" x14ac:dyDescent="0.2">
      <c r="L2832" s="44"/>
    </row>
    <row r="2833" spans="12:12" x14ac:dyDescent="0.2">
      <c r="L2833" s="44"/>
    </row>
    <row r="2834" spans="12:12" x14ac:dyDescent="0.2">
      <c r="L2834" s="44"/>
    </row>
    <row r="2835" spans="12:12" x14ac:dyDescent="0.2">
      <c r="L2835" s="44"/>
    </row>
    <row r="2836" spans="12:12" x14ac:dyDescent="0.2">
      <c r="L2836" s="44"/>
    </row>
    <row r="2837" spans="12:12" x14ac:dyDescent="0.2">
      <c r="L2837" s="44"/>
    </row>
    <row r="2838" spans="12:12" x14ac:dyDescent="0.2">
      <c r="L2838" s="44"/>
    </row>
    <row r="2839" spans="12:12" x14ac:dyDescent="0.2">
      <c r="L2839" s="44"/>
    </row>
    <row r="2840" spans="12:12" x14ac:dyDescent="0.2">
      <c r="L2840" s="44"/>
    </row>
    <row r="2841" spans="12:12" x14ac:dyDescent="0.2">
      <c r="L2841" s="44"/>
    </row>
    <row r="2842" spans="12:12" x14ac:dyDescent="0.2">
      <c r="L2842" s="44"/>
    </row>
    <row r="2843" spans="12:12" x14ac:dyDescent="0.2">
      <c r="L2843" s="44"/>
    </row>
    <row r="2844" spans="12:12" x14ac:dyDescent="0.2">
      <c r="L2844" s="44"/>
    </row>
    <row r="2845" spans="12:12" x14ac:dyDescent="0.2">
      <c r="L2845" s="44"/>
    </row>
    <row r="2846" spans="12:12" x14ac:dyDescent="0.2">
      <c r="L2846" s="44"/>
    </row>
    <row r="2847" spans="12:12" x14ac:dyDescent="0.2">
      <c r="L2847" s="44"/>
    </row>
    <row r="2848" spans="12:12" x14ac:dyDescent="0.2">
      <c r="L2848" s="44"/>
    </row>
    <row r="2849" spans="12:12" x14ac:dyDescent="0.2">
      <c r="L2849" s="44"/>
    </row>
    <row r="2850" spans="12:12" x14ac:dyDescent="0.2">
      <c r="L2850" s="44"/>
    </row>
    <row r="2851" spans="12:12" x14ac:dyDescent="0.2">
      <c r="L2851" s="44"/>
    </row>
    <row r="2852" spans="12:12" x14ac:dyDescent="0.2">
      <c r="L2852" s="44"/>
    </row>
    <row r="2853" spans="12:12" x14ac:dyDescent="0.2">
      <c r="L2853" s="44"/>
    </row>
    <row r="2854" spans="12:12" x14ac:dyDescent="0.2">
      <c r="L2854" s="44"/>
    </row>
    <row r="2855" spans="12:12" x14ac:dyDescent="0.2">
      <c r="L2855" s="44"/>
    </row>
    <row r="2856" spans="12:12" x14ac:dyDescent="0.2">
      <c r="L2856" s="44"/>
    </row>
    <row r="2857" spans="12:12" x14ac:dyDescent="0.2">
      <c r="L2857" s="44"/>
    </row>
    <row r="2858" spans="12:12" x14ac:dyDescent="0.2">
      <c r="L2858" s="44"/>
    </row>
    <row r="2859" spans="12:12" x14ac:dyDescent="0.2">
      <c r="L2859" s="44"/>
    </row>
    <row r="2860" spans="12:12" x14ac:dyDescent="0.2">
      <c r="L2860" s="44"/>
    </row>
    <row r="2861" spans="12:12" x14ac:dyDescent="0.2">
      <c r="L2861" s="44"/>
    </row>
    <row r="2862" spans="12:12" x14ac:dyDescent="0.2">
      <c r="L2862" s="44"/>
    </row>
    <row r="2863" spans="12:12" x14ac:dyDescent="0.2">
      <c r="L2863" s="44"/>
    </row>
    <row r="2864" spans="12:12" x14ac:dyDescent="0.2">
      <c r="L2864" s="44"/>
    </row>
    <row r="2865" spans="12:12" x14ac:dyDescent="0.2">
      <c r="L2865" s="44"/>
    </row>
    <row r="2866" spans="12:12" x14ac:dyDescent="0.2">
      <c r="L2866" s="44"/>
    </row>
    <row r="2867" spans="12:12" x14ac:dyDescent="0.2">
      <c r="L2867" s="44"/>
    </row>
    <row r="2868" spans="12:12" x14ac:dyDescent="0.2">
      <c r="L2868" s="44"/>
    </row>
    <row r="2869" spans="12:12" x14ac:dyDescent="0.2">
      <c r="L2869" s="44"/>
    </row>
    <row r="2870" spans="12:12" x14ac:dyDescent="0.2">
      <c r="L2870" s="44"/>
    </row>
    <row r="2871" spans="12:12" x14ac:dyDescent="0.2">
      <c r="L2871" s="44"/>
    </row>
    <row r="2872" spans="12:12" x14ac:dyDescent="0.2">
      <c r="L2872" s="44"/>
    </row>
    <row r="2873" spans="12:12" x14ac:dyDescent="0.2">
      <c r="L2873" s="44"/>
    </row>
    <row r="2874" spans="12:12" x14ac:dyDescent="0.2">
      <c r="L2874" s="44"/>
    </row>
    <row r="2875" spans="12:12" x14ac:dyDescent="0.2">
      <c r="L2875" s="44"/>
    </row>
    <row r="2876" spans="12:12" x14ac:dyDescent="0.2">
      <c r="L2876" s="44"/>
    </row>
    <row r="2877" spans="12:12" x14ac:dyDescent="0.2">
      <c r="L2877" s="44"/>
    </row>
    <row r="2878" spans="12:12" x14ac:dyDescent="0.2">
      <c r="L2878" s="44"/>
    </row>
    <row r="2879" spans="12:12" x14ac:dyDescent="0.2">
      <c r="L2879" s="44"/>
    </row>
    <row r="2880" spans="12:12" x14ac:dyDescent="0.2">
      <c r="L2880" s="44"/>
    </row>
    <row r="2881" spans="12:12" x14ac:dyDescent="0.2">
      <c r="L2881" s="44"/>
    </row>
    <row r="2882" spans="12:12" x14ac:dyDescent="0.2">
      <c r="L2882" s="44"/>
    </row>
    <row r="2883" spans="12:12" x14ac:dyDescent="0.2">
      <c r="L2883" s="44"/>
    </row>
    <row r="2884" spans="12:12" x14ac:dyDescent="0.2">
      <c r="L2884" s="44"/>
    </row>
    <row r="2885" spans="12:12" x14ac:dyDescent="0.2">
      <c r="L2885" s="44"/>
    </row>
    <row r="2886" spans="12:12" x14ac:dyDescent="0.2">
      <c r="L2886" s="44"/>
    </row>
    <row r="2887" spans="12:12" x14ac:dyDescent="0.2">
      <c r="L2887" s="44"/>
    </row>
    <row r="2888" spans="12:12" x14ac:dyDescent="0.2">
      <c r="L2888" s="44"/>
    </row>
    <row r="2889" spans="12:12" x14ac:dyDescent="0.2">
      <c r="L2889" s="44"/>
    </row>
    <row r="2890" spans="12:12" x14ac:dyDescent="0.2">
      <c r="L2890" s="44"/>
    </row>
    <row r="2891" spans="12:12" x14ac:dyDescent="0.2">
      <c r="L2891" s="44"/>
    </row>
    <row r="2892" spans="12:12" x14ac:dyDescent="0.2">
      <c r="L2892" s="44"/>
    </row>
    <row r="2893" spans="12:12" x14ac:dyDescent="0.2">
      <c r="L2893" s="44"/>
    </row>
    <row r="2894" spans="12:12" x14ac:dyDescent="0.2">
      <c r="L2894" s="44"/>
    </row>
    <row r="2895" spans="12:12" x14ac:dyDescent="0.2">
      <c r="L2895" s="44"/>
    </row>
    <row r="2896" spans="12:12" x14ac:dyDescent="0.2">
      <c r="L2896" s="44"/>
    </row>
    <row r="2897" spans="12:12" x14ac:dyDescent="0.2">
      <c r="L2897" s="44"/>
    </row>
    <row r="2898" spans="12:12" x14ac:dyDescent="0.2">
      <c r="L2898" s="44"/>
    </row>
    <row r="2899" spans="12:12" x14ac:dyDescent="0.2">
      <c r="L2899" s="44"/>
    </row>
    <row r="2900" spans="12:12" x14ac:dyDescent="0.2">
      <c r="L2900" s="44"/>
    </row>
    <row r="2901" spans="12:12" x14ac:dyDescent="0.2">
      <c r="L2901" s="44"/>
    </row>
    <row r="2902" spans="12:12" x14ac:dyDescent="0.2">
      <c r="L2902" s="44"/>
    </row>
    <row r="2903" spans="12:12" x14ac:dyDescent="0.2">
      <c r="L2903" s="44"/>
    </row>
    <row r="2904" spans="12:12" x14ac:dyDescent="0.2">
      <c r="L2904" s="44"/>
    </row>
    <row r="2905" spans="12:12" x14ac:dyDescent="0.2">
      <c r="L2905" s="44"/>
    </row>
    <row r="2906" spans="12:12" x14ac:dyDescent="0.2">
      <c r="L2906" s="44"/>
    </row>
    <row r="2907" spans="12:12" x14ac:dyDescent="0.2">
      <c r="L2907" s="44"/>
    </row>
    <row r="2908" spans="12:12" x14ac:dyDescent="0.2">
      <c r="L2908" s="44"/>
    </row>
    <row r="2909" spans="12:12" x14ac:dyDescent="0.2">
      <c r="L2909" s="44"/>
    </row>
    <row r="2910" spans="12:12" x14ac:dyDescent="0.2">
      <c r="L2910" s="44"/>
    </row>
    <row r="2911" spans="12:12" x14ac:dyDescent="0.2">
      <c r="L2911" s="44"/>
    </row>
    <row r="2912" spans="12:12" x14ac:dyDescent="0.2">
      <c r="L2912" s="44"/>
    </row>
    <row r="2913" spans="12:12" x14ac:dyDescent="0.2">
      <c r="L2913" s="44"/>
    </row>
    <row r="2914" spans="12:12" x14ac:dyDescent="0.2">
      <c r="L2914" s="44"/>
    </row>
    <row r="2915" spans="12:12" x14ac:dyDescent="0.2">
      <c r="L2915" s="44"/>
    </row>
    <row r="2916" spans="12:12" x14ac:dyDescent="0.2">
      <c r="L2916" s="44"/>
    </row>
    <row r="2917" spans="12:12" x14ac:dyDescent="0.2">
      <c r="L2917" s="44"/>
    </row>
    <row r="2918" spans="12:12" x14ac:dyDescent="0.2">
      <c r="L2918" s="44"/>
    </row>
    <row r="2919" spans="12:12" x14ac:dyDescent="0.2">
      <c r="L2919" s="44"/>
    </row>
    <row r="2920" spans="12:12" x14ac:dyDescent="0.2">
      <c r="L2920" s="44"/>
    </row>
    <row r="2921" spans="12:12" x14ac:dyDescent="0.2">
      <c r="L2921" s="44"/>
    </row>
    <row r="2922" spans="12:12" x14ac:dyDescent="0.2">
      <c r="L2922" s="44"/>
    </row>
    <row r="2923" spans="12:12" x14ac:dyDescent="0.2">
      <c r="L2923" s="44"/>
    </row>
    <row r="2924" spans="12:12" x14ac:dyDescent="0.2">
      <c r="L2924" s="44"/>
    </row>
    <row r="2925" spans="12:12" x14ac:dyDescent="0.2">
      <c r="L2925" s="44"/>
    </row>
    <row r="2926" spans="12:12" x14ac:dyDescent="0.2">
      <c r="L2926" s="44"/>
    </row>
    <row r="2927" spans="12:12" x14ac:dyDescent="0.2">
      <c r="L2927" s="44"/>
    </row>
    <row r="2928" spans="12:12" x14ac:dyDescent="0.2">
      <c r="L2928" s="44"/>
    </row>
    <row r="2929" spans="12:12" x14ac:dyDescent="0.2">
      <c r="L2929" s="44"/>
    </row>
    <row r="2930" spans="12:12" x14ac:dyDescent="0.2">
      <c r="L2930" s="44"/>
    </row>
    <row r="2931" spans="12:12" x14ac:dyDescent="0.2">
      <c r="L2931" s="44"/>
    </row>
    <row r="2932" spans="12:12" x14ac:dyDescent="0.2">
      <c r="L2932" s="44"/>
    </row>
    <row r="2933" spans="12:12" x14ac:dyDescent="0.2">
      <c r="L2933" s="44"/>
    </row>
    <row r="2934" spans="12:12" x14ac:dyDescent="0.2">
      <c r="L2934" s="44"/>
    </row>
    <row r="2935" spans="12:12" x14ac:dyDescent="0.2">
      <c r="L2935" s="44"/>
    </row>
    <row r="2936" spans="12:12" x14ac:dyDescent="0.2">
      <c r="L2936" s="44"/>
    </row>
    <row r="2937" spans="12:12" x14ac:dyDescent="0.2">
      <c r="L2937" s="44"/>
    </row>
    <row r="2938" spans="12:12" x14ac:dyDescent="0.2">
      <c r="L2938" s="44"/>
    </row>
    <row r="2939" spans="12:12" x14ac:dyDescent="0.2">
      <c r="L2939" s="44"/>
    </row>
    <row r="2940" spans="12:12" x14ac:dyDescent="0.2">
      <c r="L2940" s="44"/>
    </row>
    <row r="2941" spans="12:12" x14ac:dyDescent="0.2">
      <c r="L2941" s="44"/>
    </row>
    <row r="2942" spans="12:12" x14ac:dyDescent="0.2">
      <c r="L2942" s="44"/>
    </row>
    <row r="2943" spans="12:12" x14ac:dyDescent="0.2">
      <c r="L2943" s="44"/>
    </row>
    <row r="2944" spans="12:12" x14ac:dyDescent="0.2">
      <c r="L2944" s="44"/>
    </row>
    <row r="2945" spans="12:12" x14ac:dyDescent="0.2">
      <c r="L2945" s="44"/>
    </row>
    <row r="2946" spans="12:12" x14ac:dyDescent="0.2">
      <c r="L2946" s="44"/>
    </row>
    <row r="2947" spans="12:12" x14ac:dyDescent="0.2">
      <c r="L2947" s="44"/>
    </row>
    <row r="2948" spans="12:12" x14ac:dyDescent="0.2">
      <c r="L2948" s="44"/>
    </row>
    <row r="2949" spans="12:12" x14ac:dyDescent="0.2">
      <c r="L2949" s="44"/>
    </row>
    <row r="2950" spans="12:12" x14ac:dyDescent="0.2">
      <c r="L2950" s="44"/>
    </row>
    <row r="2951" spans="12:12" x14ac:dyDescent="0.2">
      <c r="L2951" s="44"/>
    </row>
    <row r="2952" spans="12:12" x14ac:dyDescent="0.2">
      <c r="L2952" s="44"/>
    </row>
    <row r="2953" spans="12:12" x14ac:dyDescent="0.2">
      <c r="L2953" s="44"/>
    </row>
    <row r="2954" spans="12:12" x14ac:dyDescent="0.2">
      <c r="L2954" s="44"/>
    </row>
    <row r="2955" spans="12:12" x14ac:dyDescent="0.2">
      <c r="L2955" s="44"/>
    </row>
    <row r="2956" spans="12:12" x14ac:dyDescent="0.2">
      <c r="L2956" s="44"/>
    </row>
    <row r="2957" spans="12:12" x14ac:dyDescent="0.2">
      <c r="L2957" s="44"/>
    </row>
    <row r="2958" spans="12:12" x14ac:dyDescent="0.2">
      <c r="L2958" s="44"/>
    </row>
    <row r="2959" spans="12:12" x14ac:dyDescent="0.2">
      <c r="L2959" s="44"/>
    </row>
    <row r="2960" spans="12:12" x14ac:dyDescent="0.2">
      <c r="L2960" s="44"/>
    </row>
    <row r="2961" spans="12:12" x14ac:dyDescent="0.2">
      <c r="L2961" s="44"/>
    </row>
    <row r="2962" spans="12:12" x14ac:dyDescent="0.2">
      <c r="L2962" s="44"/>
    </row>
    <row r="2963" spans="12:12" x14ac:dyDescent="0.2">
      <c r="L2963" s="44"/>
    </row>
    <row r="2964" spans="12:12" x14ac:dyDescent="0.2">
      <c r="L2964" s="44"/>
    </row>
    <row r="2965" spans="12:12" x14ac:dyDescent="0.2">
      <c r="L2965" s="44"/>
    </row>
    <row r="2966" spans="12:12" x14ac:dyDescent="0.2">
      <c r="L2966" s="44"/>
    </row>
    <row r="2967" spans="12:12" x14ac:dyDescent="0.2">
      <c r="L2967" s="44"/>
    </row>
    <row r="2968" spans="12:12" x14ac:dyDescent="0.2">
      <c r="L2968" s="44"/>
    </row>
    <row r="2969" spans="12:12" x14ac:dyDescent="0.2">
      <c r="L2969" s="44"/>
    </row>
    <row r="2970" spans="12:12" x14ac:dyDescent="0.2">
      <c r="L2970" s="44"/>
    </row>
    <row r="2971" spans="12:12" x14ac:dyDescent="0.2">
      <c r="L2971" s="44"/>
    </row>
    <row r="2972" spans="12:12" x14ac:dyDescent="0.2">
      <c r="L2972" s="44"/>
    </row>
    <row r="2973" spans="12:12" x14ac:dyDescent="0.2">
      <c r="L2973" s="44"/>
    </row>
    <row r="2974" spans="12:12" x14ac:dyDescent="0.2">
      <c r="L2974" s="44"/>
    </row>
    <row r="2975" spans="12:12" x14ac:dyDescent="0.2">
      <c r="L2975" s="44"/>
    </row>
    <row r="2976" spans="12:12" x14ac:dyDescent="0.2">
      <c r="L2976" s="44"/>
    </row>
    <row r="2977" spans="12:12" x14ac:dyDescent="0.2">
      <c r="L2977" s="44"/>
    </row>
    <row r="2978" spans="12:12" x14ac:dyDescent="0.2">
      <c r="L2978" s="44"/>
    </row>
    <row r="2979" spans="12:12" x14ac:dyDescent="0.2">
      <c r="L2979" s="44"/>
    </row>
    <row r="2980" spans="12:12" x14ac:dyDescent="0.2">
      <c r="L2980" s="44"/>
    </row>
    <row r="2981" spans="12:12" x14ac:dyDescent="0.2">
      <c r="L2981" s="44"/>
    </row>
    <row r="2982" spans="12:12" x14ac:dyDescent="0.2">
      <c r="L2982" s="44"/>
    </row>
    <row r="2983" spans="12:12" x14ac:dyDescent="0.2">
      <c r="L2983" s="44"/>
    </row>
    <row r="2984" spans="12:12" x14ac:dyDescent="0.2">
      <c r="L2984" s="44"/>
    </row>
    <row r="2985" spans="12:12" x14ac:dyDescent="0.2">
      <c r="L2985" s="44"/>
    </row>
    <row r="2986" spans="12:12" x14ac:dyDescent="0.2">
      <c r="L2986" s="44"/>
    </row>
    <row r="2987" spans="12:12" x14ac:dyDescent="0.2">
      <c r="L2987" s="44"/>
    </row>
    <row r="2988" spans="12:12" x14ac:dyDescent="0.2">
      <c r="L2988" s="44"/>
    </row>
    <row r="2989" spans="12:12" x14ac:dyDescent="0.2">
      <c r="L2989" s="44"/>
    </row>
    <row r="2990" spans="12:12" x14ac:dyDescent="0.2">
      <c r="L2990" s="44"/>
    </row>
    <row r="2991" spans="12:12" x14ac:dyDescent="0.2">
      <c r="L2991" s="44"/>
    </row>
    <row r="2992" spans="12:12" x14ac:dyDescent="0.2">
      <c r="L2992" s="44"/>
    </row>
    <row r="2993" spans="12:12" x14ac:dyDescent="0.2">
      <c r="L2993" s="44"/>
    </row>
    <row r="2994" spans="12:12" x14ac:dyDescent="0.2">
      <c r="L2994" s="44"/>
    </row>
    <row r="2995" spans="12:12" x14ac:dyDescent="0.2">
      <c r="L2995" s="44"/>
    </row>
    <row r="2996" spans="12:12" x14ac:dyDescent="0.2">
      <c r="L2996" s="44"/>
    </row>
    <row r="2997" spans="12:12" x14ac:dyDescent="0.2">
      <c r="L2997" s="44"/>
    </row>
    <row r="2998" spans="12:12" x14ac:dyDescent="0.2">
      <c r="L2998" s="44"/>
    </row>
    <row r="2999" spans="12:12" x14ac:dyDescent="0.2">
      <c r="L2999" s="44"/>
    </row>
    <row r="3000" spans="12:12" x14ac:dyDescent="0.2">
      <c r="L3000" s="44"/>
    </row>
    <row r="3001" spans="12:12" x14ac:dyDescent="0.2">
      <c r="L3001" s="44"/>
    </row>
    <row r="3002" spans="12:12" x14ac:dyDescent="0.2">
      <c r="L3002" s="44"/>
    </row>
    <row r="3003" spans="12:12" x14ac:dyDescent="0.2">
      <c r="L3003" s="44"/>
    </row>
    <row r="3004" spans="12:12" x14ac:dyDescent="0.2">
      <c r="L3004" s="44"/>
    </row>
    <row r="3005" spans="12:12" x14ac:dyDescent="0.2">
      <c r="L3005" s="44"/>
    </row>
    <row r="3006" spans="12:12" x14ac:dyDescent="0.2">
      <c r="L3006" s="44"/>
    </row>
    <row r="3007" spans="12:12" x14ac:dyDescent="0.2">
      <c r="L3007" s="44"/>
    </row>
    <row r="3008" spans="12:12" x14ac:dyDescent="0.2">
      <c r="L3008" s="44"/>
    </row>
    <row r="3009" spans="12:12" x14ac:dyDescent="0.2">
      <c r="L3009" s="44"/>
    </row>
    <row r="3010" spans="12:12" x14ac:dyDescent="0.2">
      <c r="L3010" s="44"/>
    </row>
    <row r="3011" spans="12:12" x14ac:dyDescent="0.2">
      <c r="L3011" s="44"/>
    </row>
    <row r="3012" spans="12:12" x14ac:dyDescent="0.2">
      <c r="L3012" s="44"/>
    </row>
    <row r="3013" spans="12:12" x14ac:dyDescent="0.2">
      <c r="L3013" s="44"/>
    </row>
    <row r="3014" spans="12:12" x14ac:dyDescent="0.2">
      <c r="L3014" s="44"/>
    </row>
    <row r="3015" spans="12:12" x14ac:dyDescent="0.2">
      <c r="L3015" s="44"/>
    </row>
    <row r="3016" spans="12:12" x14ac:dyDescent="0.2">
      <c r="L3016" s="44"/>
    </row>
    <row r="3017" spans="12:12" x14ac:dyDescent="0.2">
      <c r="L3017" s="44"/>
    </row>
    <row r="3018" spans="12:12" x14ac:dyDescent="0.2">
      <c r="L3018" s="44"/>
    </row>
    <row r="3019" spans="12:12" x14ac:dyDescent="0.2">
      <c r="L3019" s="44"/>
    </row>
    <row r="3020" spans="12:12" x14ac:dyDescent="0.2">
      <c r="L3020" s="44"/>
    </row>
    <row r="3021" spans="12:12" x14ac:dyDescent="0.2">
      <c r="L3021" s="44"/>
    </row>
    <row r="3022" spans="12:12" x14ac:dyDescent="0.2">
      <c r="L3022" s="44"/>
    </row>
    <row r="3023" spans="12:12" x14ac:dyDescent="0.2">
      <c r="L3023" s="44"/>
    </row>
    <row r="3024" spans="12:12" x14ac:dyDescent="0.2">
      <c r="L3024" s="44"/>
    </row>
    <row r="3025" spans="12:12" x14ac:dyDescent="0.2">
      <c r="L3025" s="44"/>
    </row>
    <row r="3026" spans="12:12" x14ac:dyDescent="0.2">
      <c r="L3026" s="44"/>
    </row>
    <row r="3027" spans="12:12" x14ac:dyDescent="0.2">
      <c r="L3027" s="44"/>
    </row>
    <row r="3028" spans="12:12" x14ac:dyDescent="0.2">
      <c r="L3028" s="44"/>
    </row>
    <row r="3029" spans="12:12" x14ac:dyDescent="0.2">
      <c r="L3029" s="44"/>
    </row>
    <row r="3030" spans="12:12" x14ac:dyDescent="0.2">
      <c r="L3030" s="44"/>
    </row>
    <row r="3031" spans="12:12" x14ac:dyDescent="0.2">
      <c r="L3031" s="44"/>
    </row>
    <row r="3032" spans="12:12" x14ac:dyDescent="0.2">
      <c r="L3032" s="44"/>
    </row>
    <row r="3033" spans="12:12" x14ac:dyDescent="0.2">
      <c r="L3033" s="44"/>
    </row>
    <row r="3034" spans="12:12" x14ac:dyDescent="0.2">
      <c r="L3034" s="44"/>
    </row>
    <row r="3035" spans="12:12" x14ac:dyDescent="0.2">
      <c r="L3035" s="44"/>
    </row>
    <row r="3036" spans="12:12" x14ac:dyDescent="0.2">
      <c r="L3036" s="44"/>
    </row>
    <row r="3037" spans="12:12" x14ac:dyDescent="0.2">
      <c r="L3037" s="44"/>
    </row>
    <row r="3038" spans="12:12" x14ac:dyDescent="0.2">
      <c r="L3038" s="44"/>
    </row>
    <row r="3039" spans="12:12" x14ac:dyDescent="0.2">
      <c r="L3039" s="44"/>
    </row>
    <row r="3040" spans="12:12" x14ac:dyDescent="0.2">
      <c r="L3040" s="44"/>
    </row>
    <row r="3041" spans="12:12" x14ac:dyDescent="0.2">
      <c r="L3041" s="44"/>
    </row>
    <row r="3042" spans="12:12" x14ac:dyDescent="0.2">
      <c r="L3042" s="44"/>
    </row>
    <row r="3043" spans="12:12" x14ac:dyDescent="0.2">
      <c r="L3043" s="44"/>
    </row>
    <row r="3044" spans="12:12" x14ac:dyDescent="0.2">
      <c r="L3044" s="44"/>
    </row>
    <row r="3045" spans="12:12" x14ac:dyDescent="0.2">
      <c r="L3045" s="44"/>
    </row>
    <row r="3046" spans="12:12" x14ac:dyDescent="0.2">
      <c r="L3046" s="44"/>
    </row>
    <row r="3047" spans="12:12" x14ac:dyDescent="0.2">
      <c r="L3047" s="44"/>
    </row>
    <row r="3048" spans="12:12" x14ac:dyDescent="0.2">
      <c r="L3048" s="44"/>
    </row>
    <row r="3049" spans="12:12" x14ac:dyDescent="0.2">
      <c r="L3049" s="44"/>
    </row>
    <row r="3050" spans="12:12" x14ac:dyDescent="0.2">
      <c r="L3050" s="44"/>
    </row>
    <row r="3051" spans="12:12" x14ac:dyDescent="0.2">
      <c r="L3051" s="44"/>
    </row>
    <row r="3052" spans="12:12" x14ac:dyDescent="0.2">
      <c r="L3052" s="44"/>
    </row>
    <row r="3053" spans="12:12" x14ac:dyDescent="0.2">
      <c r="L3053" s="44"/>
    </row>
    <row r="3054" spans="12:12" x14ac:dyDescent="0.2">
      <c r="L3054" s="44"/>
    </row>
    <row r="3055" spans="12:12" x14ac:dyDescent="0.2">
      <c r="L3055" s="44"/>
    </row>
    <row r="3056" spans="12:12" x14ac:dyDescent="0.2">
      <c r="L3056" s="44"/>
    </row>
    <row r="3057" spans="12:12" x14ac:dyDescent="0.2">
      <c r="L3057" s="44"/>
    </row>
    <row r="3058" spans="12:12" x14ac:dyDescent="0.2">
      <c r="L3058" s="44"/>
    </row>
    <row r="3059" spans="12:12" x14ac:dyDescent="0.2">
      <c r="L3059" s="44"/>
    </row>
    <row r="3060" spans="12:12" x14ac:dyDescent="0.2">
      <c r="L3060" s="44"/>
    </row>
    <row r="3061" spans="12:12" x14ac:dyDescent="0.2">
      <c r="L3061" s="44"/>
    </row>
    <row r="3062" spans="12:12" x14ac:dyDescent="0.2">
      <c r="L3062" s="44"/>
    </row>
    <row r="3063" spans="12:12" x14ac:dyDescent="0.2">
      <c r="L3063" s="44"/>
    </row>
    <row r="3064" spans="12:12" x14ac:dyDescent="0.2">
      <c r="L3064" s="44"/>
    </row>
    <row r="3065" spans="12:12" x14ac:dyDescent="0.2">
      <c r="L3065" s="44"/>
    </row>
    <row r="3066" spans="12:12" x14ac:dyDescent="0.2">
      <c r="L3066" s="44"/>
    </row>
    <row r="3067" spans="12:12" x14ac:dyDescent="0.2">
      <c r="L3067" s="44"/>
    </row>
    <row r="3068" spans="12:12" x14ac:dyDescent="0.2">
      <c r="L3068" s="44"/>
    </row>
    <row r="3069" spans="12:12" x14ac:dyDescent="0.2">
      <c r="L3069" s="44"/>
    </row>
    <row r="3070" spans="12:12" x14ac:dyDescent="0.2">
      <c r="L3070" s="44"/>
    </row>
    <row r="3071" spans="12:12" x14ac:dyDescent="0.2">
      <c r="L3071" s="44"/>
    </row>
    <row r="3072" spans="12:12" x14ac:dyDescent="0.2">
      <c r="L3072" s="44"/>
    </row>
    <row r="3073" spans="12:12" x14ac:dyDescent="0.2">
      <c r="L3073" s="44"/>
    </row>
    <row r="3074" spans="12:12" x14ac:dyDescent="0.2">
      <c r="L3074" s="44"/>
    </row>
    <row r="3075" spans="12:12" x14ac:dyDescent="0.2">
      <c r="L3075" s="44"/>
    </row>
    <row r="3076" spans="12:12" x14ac:dyDescent="0.2">
      <c r="L3076" s="44"/>
    </row>
    <row r="3077" spans="12:12" x14ac:dyDescent="0.2">
      <c r="L3077" s="44"/>
    </row>
    <row r="3078" spans="12:12" x14ac:dyDescent="0.2">
      <c r="L3078" s="44"/>
    </row>
    <row r="3079" spans="12:12" x14ac:dyDescent="0.2">
      <c r="L3079" s="44"/>
    </row>
    <row r="3080" spans="12:12" x14ac:dyDescent="0.2">
      <c r="L3080" s="44"/>
    </row>
    <row r="3081" spans="12:12" x14ac:dyDescent="0.2">
      <c r="L3081" s="44"/>
    </row>
    <row r="3082" spans="12:12" x14ac:dyDescent="0.2">
      <c r="L3082" s="44"/>
    </row>
    <row r="3083" spans="12:12" x14ac:dyDescent="0.2">
      <c r="L3083" s="44"/>
    </row>
    <row r="3084" spans="12:12" x14ac:dyDescent="0.2">
      <c r="L3084" s="44"/>
    </row>
    <row r="3085" spans="12:12" x14ac:dyDescent="0.2">
      <c r="L3085" s="44"/>
    </row>
    <row r="3086" spans="12:12" x14ac:dyDescent="0.2">
      <c r="L3086" s="44"/>
    </row>
    <row r="3087" spans="12:12" x14ac:dyDescent="0.2">
      <c r="L3087" s="44"/>
    </row>
    <row r="3088" spans="12:12" x14ac:dyDescent="0.2">
      <c r="L3088" s="44"/>
    </row>
    <row r="3089" spans="12:12" x14ac:dyDescent="0.2">
      <c r="L3089" s="44"/>
    </row>
    <row r="3090" spans="12:12" x14ac:dyDescent="0.2">
      <c r="L3090" s="44"/>
    </row>
    <row r="3091" spans="12:12" x14ac:dyDescent="0.2">
      <c r="L3091" s="44"/>
    </row>
    <row r="3092" spans="12:12" x14ac:dyDescent="0.2">
      <c r="L3092" s="44"/>
    </row>
    <row r="3093" spans="12:12" x14ac:dyDescent="0.2">
      <c r="L3093" s="44"/>
    </row>
    <row r="3094" spans="12:12" x14ac:dyDescent="0.2">
      <c r="L3094" s="44"/>
    </row>
    <row r="3095" spans="12:12" x14ac:dyDescent="0.2">
      <c r="L3095" s="44"/>
    </row>
    <row r="3096" spans="12:12" x14ac:dyDescent="0.2">
      <c r="L3096" s="44"/>
    </row>
    <row r="3097" spans="12:12" x14ac:dyDescent="0.2">
      <c r="L3097" s="44"/>
    </row>
    <row r="3098" spans="12:12" x14ac:dyDescent="0.2">
      <c r="L3098" s="44"/>
    </row>
    <row r="3099" spans="12:12" x14ac:dyDescent="0.2">
      <c r="L3099" s="44"/>
    </row>
    <row r="3100" spans="12:12" x14ac:dyDescent="0.2">
      <c r="L3100" s="44"/>
    </row>
    <row r="3101" spans="12:12" x14ac:dyDescent="0.2">
      <c r="L3101" s="44"/>
    </row>
    <row r="3102" spans="12:12" x14ac:dyDescent="0.2">
      <c r="L3102" s="44"/>
    </row>
    <row r="3103" spans="12:12" x14ac:dyDescent="0.2">
      <c r="L3103" s="44"/>
    </row>
    <row r="3104" spans="12:12" x14ac:dyDescent="0.2">
      <c r="L3104" s="44"/>
    </row>
    <row r="3105" spans="12:12" x14ac:dyDescent="0.2">
      <c r="L3105" s="44"/>
    </row>
    <row r="3106" spans="12:12" x14ac:dyDescent="0.2">
      <c r="L3106" s="44"/>
    </row>
    <row r="3107" spans="12:12" x14ac:dyDescent="0.2">
      <c r="L3107" s="44"/>
    </row>
    <row r="3108" spans="12:12" x14ac:dyDescent="0.2">
      <c r="L3108" s="44"/>
    </row>
    <row r="3109" spans="12:12" x14ac:dyDescent="0.2">
      <c r="L3109" s="44"/>
    </row>
    <row r="3110" spans="12:12" x14ac:dyDescent="0.2">
      <c r="L3110" s="44"/>
    </row>
    <row r="3111" spans="12:12" x14ac:dyDescent="0.2">
      <c r="L3111" s="44"/>
    </row>
    <row r="3112" spans="12:12" x14ac:dyDescent="0.2">
      <c r="L3112" s="44"/>
    </row>
    <row r="3113" spans="12:12" x14ac:dyDescent="0.2">
      <c r="L3113" s="44"/>
    </row>
    <row r="3114" spans="12:12" x14ac:dyDescent="0.2">
      <c r="L3114" s="44"/>
    </row>
    <row r="3115" spans="12:12" x14ac:dyDescent="0.2">
      <c r="L3115" s="44"/>
    </row>
    <row r="3116" spans="12:12" x14ac:dyDescent="0.2">
      <c r="L3116" s="44"/>
    </row>
    <row r="3117" spans="12:12" x14ac:dyDescent="0.2">
      <c r="L3117" s="44"/>
    </row>
    <row r="3118" spans="12:12" x14ac:dyDescent="0.2">
      <c r="L3118" s="44"/>
    </row>
    <row r="3119" spans="12:12" x14ac:dyDescent="0.2">
      <c r="L3119" s="44"/>
    </row>
    <row r="3120" spans="12:12" x14ac:dyDescent="0.2">
      <c r="L3120" s="44"/>
    </row>
    <row r="3121" spans="12:12" x14ac:dyDescent="0.2">
      <c r="L3121" s="44"/>
    </row>
    <row r="3122" spans="12:12" x14ac:dyDescent="0.2">
      <c r="L3122" s="44"/>
    </row>
    <row r="3123" spans="12:12" x14ac:dyDescent="0.2">
      <c r="L3123" s="44"/>
    </row>
    <row r="3124" spans="12:12" x14ac:dyDescent="0.2">
      <c r="L3124" s="44"/>
    </row>
    <row r="3125" spans="12:12" x14ac:dyDescent="0.2">
      <c r="L3125" s="44"/>
    </row>
    <row r="3126" spans="12:12" x14ac:dyDescent="0.2">
      <c r="L3126" s="44"/>
    </row>
    <row r="3127" spans="12:12" x14ac:dyDescent="0.2">
      <c r="L3127" s="44"/>
    </row>
    <row r="3128" spans="12:12" x14ac:dyDescent="0.2">
      <c r="L3128" s="44"/>
    </row>
    <row r="3129" spans="12:12" x14ac:dyDescent="0.2">
      <c r="L3129" s="44"/>
    </row>
    <row r="3130" spans="12:12" x14ac:dyDescent="0.2">
      <c r="L3130" s="44"/>
    </row>
    <row r="3131" spans="12:12" x14ac:dyDescent="0.2">
      <c r="L3131" s="44"/>
    </row>
    <row r="3132" spans="12:12" x14ac:dyDescent="0.2">
      <c r="L3132" s="44"/>
    </row>
    <row r="3133" spans="12:12" x14ac:dyDescent="0.2">
      <c r="L3133" s="44"/>
    </row>
    <row r="3134" spans="12:12" x14ac:dyDescent="0.2">
      <c r="L3134" s="44"/>
    </row>
    <row r="3135" spans="12:12" x14ac:dyDescent="0.2">
      <c r="L3135" s="44"/>
    </row>
    <row r="3136" spans="12:12" x14ac:dyDescent="0.2">
      <c r="L3136" s="44"/>
    </row>
    <row r="3137" spans="12:12" x14ac:dyDescent="0.2">
      <c r="L3137" s="44"/>
    </row>
    <row r="3138" spans="12:12" x14ac:dyDescent="0.2">
      <c r="L3138" s="44"/>
    </row>
    <row r="3139" spans="12:12" x14ac:dyDescent="0.2">
      <c r="L3139" s="44"/>
    </row>
    <row r="3140" spans="12:12" x14ac:dyDescent="0.2">
      <c r="L3140" s="44"/>
    </row>
    <row r="3141" spans="12:12" x14ac:dyDescent="0.2">
      <c r="L3141" s="44"/>
    </row>
    <row r="3142" spans="12:12" x14ac:dyDescent="0.2">
      <c r="L3142" s="44"/>
    </row>
    <row r="3143" spans="12:12" x14ac:dyDescent="0.2">
      <c r="L3143" s="44"/>
    </row>
    <row r="3144" spans="12:12" x14ac:dyDescent="0.2">
      <c r="L3144" s="44"/>
    </row>
    <row r="3145" spans="12:12" x14ac:dyDescent="0.2">
      <c r="L3145" s="44"/>
    </row>
    <row r="3146" spans="12:12" x14ac:dyDescent="0.2">
      <c r="L3146" s="44"/>
    </row>
    <row r="3147" spans="12:12" x14ac:dyDescent="0.2">
      <c r="L3147" s="44"/>
    </row>
    <row r="3148" spans="12:12" x14ac:dyDescent="0.2">
      <c r="L3148" s="44"/>
    </row>
    <row r="3149" spans="12:12" x14ac:dyDescent="0.2">
      <c r="L3149" s="44"/>
    </row>
    <row r="3150" spans="12:12" x14ac:dyDescent="0.2">
      <c r="L3150" s="44"/>
    </row>
    <row r="3151" spans="12:12" x14ac:dyDescent="0.2">
      <c r="L3151" s="44"/>
    </row>
    <row r="3152" spans="12:12" x14ac:dyDescent="0.2">
      <c r="L3152" s="44"/>
    </row>
    <row r="3153" spans="12:12" x14ac:dyDescent="0.2">
      <c r="L3153" s="44"/>
    </row>
    <row r="3154" spans="12:12" x14ac:dyDescent="0.2">
      <c r="L3154" s="44"/>
    </row>
    <row r="3155" spans="12:12" x14ac:dyDescent="0.2">
      <c r="L3155" s="44"/>
    </row>
    <row r="3156" spans="12:12" x14ac:dyDescent="0.2">
      <c r="L3156" s="44"/>
    </row>
    <row r="3157" spans="12:12" x14ac:dyDescent="0.2">
      <c r="L3157" s="44"/>
    </row>
    <row r="3158" spans="12:12" x14ac:dyDescent="0.2">
      <c r="L3158" s="44"/>
    </row>
    <row r="3159" spans="12:12" x14ac:dyDescent="0.2">
      <c r="L3159" s="44"/>
    </row>
    <row r="3160" spans="12:12" x14ac:dyDescent="0.2">
      <c r="L3160" s="44"/>
    </row>
    <row r="3161" spans="12:12" x14ac:dyDescent="0.2">
      <c r="L3161" s="44"/>
    </row>
    <row r="3162" spans="12:12" x14ac:dyDescent="0.2">
      <c r="L3162" s="44"/>
    </row>
    <row r="3163" spans="12:12" x14ac:dyDescent="0.2">
      <c r="L3163" s="44"/>
    </row>
    <row r="3164" spans="12:12" x14ac:dyDescent="0.2">
      <c r="L3164" s="44"/>
    </row>
    <row r="3165" spans="12:12" x14ac:dyDescent="0.2">
      <c r="L3165" s="44"/>
    </row>
    <row r="3166" spans="12:12" x14ac:dyDescent="0.2">
      <c r="L3166" s="44"/>
    </row>
    <row r="3167" spans="12:12" x14ac:dyDescent="0.2">
      <c r="L3167" s="44"/>
    </row>
    <row r="3168" spans="12:12" x14ac:dyDescent="0.2">
      <c r="L3168" s="44"/>
    </row>
    <row r="3169" spans="12:12" x14ac:dyDescent="0.2">
      <c r="L3169" s="44"/>
    </row>
    <row r="3170" spans="12:12" x14ac:dyDescent="0.2">
      <c r="L3170" s="44"/>
    </row>
    <row r="3171" spans="12:12" x14ac:dyDescent="0.2">
      <c r="L3171" s="44"/>
    </row>
    <row r="3172" spans="12:12" x14ac:dyDescent="0.2">
      <c r="L3172" s="44"/>
    </row>
    <row r="3173" spans="12:12" x14ac:dyDescent="0.2">
      <c r="L3173" s="44"/>
    </row>
    <row r="3174" spans="12:12" x14ac:dyDescent="0.2">
      <c r="L3174" s="44"/>
    </row>
    <row r="3175" spans="12:12" x14ac:dyDescent="0.2">
      <c r="L3175" s="44"/>
    </row>
    <row r="3176" spans="12:12" x14ac:dyDescent="0.2">
      <c r="L3176" s="44"/>
    </row>
    <row r="3177" spans="12:12" x14ac:dyDescent="0.2">
      <c r="L3177" s="44"/>
    </row>
    <row r="3178" spans="12:12" x14ac:dyDescent="0.2">
      <c r="L3178" s="44"/>
    </row>
    <row r="3179" spans="12:12" x14ac:dyDescent="0.2">
      <c r="L3179" s="44"/>
    </row>
    <row r="3180" spans="12:12" x14ac:dyDescent="0.2">
      <c r="L3180" s="44"/>
    </row>
    <row r="3181" spans="12:12" x14ac:dyDescent="0.2">
      <c r="L3181" s="44"/>
    </row>
    <row r="3182" spans="12:12" x14ac:dyDescent="0.2">
      <c r="L3182" s="44"/>
    </row>
    <row r="3183" spans="12:12" x14ac:dyDescent="0.2">
      <c r="L3183" s="44"/>
    </row>
    <row r="3184" spans="12:12" x14ac:dyDescent="0.2">
      <c r="L3184" s="44"/>
    </row>
    <row r="3185" spans="12:12" x14ac:dyDescent="0.2">
      <c r="L3185" s="44"/>
    </row>
    <row r="3186" spans="12:12" x14ac:dyDescent="0.2">
      <c r="L3186" s="44"/>
    </row>
    <row r="3187" spans="12:12" x14ac:dyDescent="0.2">
      <c r="L3187" s="44"/>
    </row>
    <row r="3188" spans="12:12" x14ac:dyDescent="0.2">
      <c r="L3188" s="44"/>
    </row>
    <row r="3189" spans="12:12" x14ac:dyDescent="0.2">
      <c r="L3189" s="44"/>
    </row>
    <row r="3190" spans="12:12" x14ac:dyDescent="0.2">
      <c r="L3190" s="44"/>
    </row>
    <row r="3191" spans="12:12" x14ac:dyDescent="0.2">
      <c r="L3191" s="44"/>
    </row>
    <row r="3192" spans="12:12" x14ac:dyDescent="0.2">
      <c r="L3192" s="44"/>
    </row>
    <row r="3193" spans="12:12" x14ac:dyDescent="0.2">
      <c r="L3193" s="44"/>
    </row>
    <row r="3194" spans="12:12" x14ac:dyDescent="0.2">
      <c r="L3194" s="44"/>
    </row>
    <row r="3195" spans="12:12" x14ac:dyDescent="0.2">
      <c r="L3195" s="44"/>
    </row>
    <row r="3196" spans="12:12" x14ac:dyDescent="0.2">
      <c r="L3196" s="44"/>
    </row>
    <row r="3197" spans="12:12" x14ac:dyDescent="0.2">
      <c r="L3197" s="44"/>
    </row>
    <row r="3198" spans="12:12" x14ac:dyDescent="0.2">
      <c r="L3198" s="44"/>
    </row>
    <row r="3199" spans="12:12" x14ac:dyDescent="0.2">
      <c r="L3199" s="44"/>
    </row>
    <row r="3200" spans="12:12" x14ac:dyDescent="0.2">
      <c r="L3200" s="44"/>
    </row>
    <row r="3201" spans="12:12" x14ac:dyDescent="0.2">
      <c r="L3201" s="44"/>
    </row>
    <row r="3202" spans="12:12" x14ac:dyDescent="0.2">
      <c r="L3202" s="44"/>
    </row>
    <row r="3203" spans="12:12" x14ac:dyDescent="0.2">
      <c r="L3203" s="44"/>
    </row>
    <row r="3204" spans="12:12" x14ac:dyDescent="0.2">
      <c r="L3204" s="44"/>
    </row>
    <row r="3205" spans="12:12" x14ac:dyDescent="0.2">
      <c r="L3205" s="44"/>
    </row>
    <row r="3206" spans="12:12" x14ac:dyDescent="0.2">
      <c r="L3206" s="44"/>
    </row>
    <row r="3207" spans="12:12" x14ac:dyDescent="0.2">
      <c r="L3207" s="44"/>
    </row>
    <row r="3208" spans="12:12" x14ac:dyDescent="0.2">
      <c r="L3208" s="44"/>
    </row>
    <row r="3209" spans="12:12" x14ac:dyDescent="0.2">
      <c r="L3209" s="44"/>
    </row>
    <row r="3210" spans="12:12" x14ac:dyDescent="0.2">
      <c r="L3210" s="44"/>
    </row>
    <row r="3211" spans="12:12" x14ac:dyDescent="0.2">
      <c r="L3211" s="44"/>
    </row>
    <row r="3212" spans="12:12" x14ac:dyDescent="0.2">
      <c r="L3212" s="44"/>
    </row>
    <row r="3213" spans="12:12" x14ac:dyDescent="0.2">
      <c r="L3213" s="44"/>
    </row>
    <row r="3214" spans="12:12" x14ac:dyDescent="0.2">
      <c r="L3214" s="44"/>
    </row>
    <row r="3215" spans="12:12" x14ac:dyDescent="0.2">
      <c r="L3215" s="44"/>
    </row>
    <row r="3216" spans="12:12" x14ac:dyDescent="0.2">
      <c r="L3216" s="44"/>
    </row>
    <row r="3217" spans="12:12" x14ac:dyDescent="0.2">
      <c r="L3217" s="44"/>
    </row>
    <row r="3218" spans="12:12" x14ac:dyDescent="0.2">
      <c r="L3218" s="44"/>
    </row>
    <row r="3219" spans="12:12" x14ac:dyDescent="0.2">
      <c r="L3219" s="44"/>
    </row>
    <row r="3220" spans="12:12" x14ac:dyDescent="0.2">
      <c r="L3220" s="44"/>
    </row>
    <row r="3221" spans="12:12" x14ac:dyDescent="0.2">
      <c r="L3221" s="44"/>
    </row>
    <row r="3222" spans="12:12" x14ac:dyDescent="0.2">
      <c r="L3222" s="44"/>
    </row>
    <row r="3223" spans="12:12" x14ac:dyDescent="0.2">
      <c r="L3223" s="44"/>
    </row>
    <row r="3224" spans="12:12" x14ac:dyDescent="0.2">
      <c r="L3224" s="44"/>
    </row>
    <row r="3225" spans="12:12" x14ac:dyDescent="0.2">
      <c r="L3225" s="44"/>
    </row>
    <row r="3226" spans="12:12" x14ac:dyDescent="0.2">
      <c r="L3226" s="44"/>
    </row>
    <row r="3227" spans="12:12" x14ac:dyDescent="0.2">
      <c r="L3227" s="44"/>
    </row>
    <row r="3228" spans="12:12" x14ac:dyDescent="0.2">
      <c r="L3228" s="44"/>
    </row>
    <row r="3229" spans="12:12" x14ac:dyDescent="0.2">
      <c r="L3229" s="44"/>
    </row>
    <row r="3230" spans="12:12" x14ac:dyDescent="0.2">
      <c r="L3230" s="44"/>
    </row>
    <row r="3231" spans="12:12" x14ac:dyDescent="0.2">
      <c r="L3231" s="44"/>
    </row>
    <row r="3232" spans="12:12" x14ac:dyDescent="0.2">
      <c r="L3232" s="44"/>
    </row>
    <row r="3233" spans="12:12" x14ac:dyDescent="0.2">
      <c r="L3233" s="44"/>
    </row>
    <row r="3234" spans="12:12" x14ac:dyDescent="0.2">
      <c r="L3234" s="44"/>
    </row>
    <row r="3235" spans="12:12" x14ac:dyDescent="0.2">
      <c r="L3235" s="44"/>
    </row>
    <row r="3236" spans="12:12" x14ac:dyDescent="0.2">
      <c r="L3236" s="44"/>
    </row>
    <row r="3237" spans="12:12" x14ac:dyDescent="0.2">
      <c r="L3237" s="44"/>
    </row>
    <row r="3238" spans="12:12" x14ac:dyDescent="0.2">
      <c r="L3238" s="44"/>
    </row>
    <row r="3239" spans="12:12" x14ac:dyDescent="0.2">
      <c r="L3239" s="44"/>
    </row>
    <row r="3240" spans="12:12" x14ac:dyDescent="0.2">
      <c r="L3240" s="44"/>
    </row>
    <row r="3241" spans="12:12" x14ac:dyDescent="0.2">
      <c r="L3241" s="44"/>
    </row>
    <row r="3242" spans="12:12" x14ac:dyDescent="0.2">
      <c r="L3242" s="44"/>
    </row>
    <row r="3243" spans="12:12" x14ac:dyDescent="0.2">
      <c r="L3243" s="44"/>
    </row>
    <row r="3244" spans="12:12" x14ac:dyDescent="0.2">
      <c r="L3244" s="44"/>
    </row>
    <row r="3245" spans="12:12" x14ac:dyDescent="0.2">
      <c r="L3245" s="44"/>
    </row>
    <row r="3246" spans="12:12" x14ac:dyDescent="0.2">
      <c r="L3246" s="44"/>
    </row>
    <row r="3247" spans="12:12" x14ac:dyDescent="0.2">
      <c r="L3247" s="44"/>
    </row>
    <row r="3248" spans="12:12" x14ac:dyDescent="0.2">
      <c r="L3248" s="44"/>
    </row>
    <row r="3249" spans="12:12" x14ac:dyDescent="0.2">
      <c r="L3249" s="44"/>
    </row>
    <row r="3250" spans="12:12" x14ac:dyDescent="0.2">
      <c r="L3250" s="44"/>
    </row>
    <row r="3251" spans="12:12" x14ac:dyDescent="0.2">
      <c r="L3251" s="44"/>
    </row>
    <row r="3252" spans="12:12" x14ac:dyDescent="0.2">
      <c r="L3252" s="44"/>
    </row>
    <row r="3253" spans="12:12" x14ac:dyDescent="0.2">
      <c r="L3253" s="44"/>
    </row>
    <row r="3254" spans="12:12" x14ac:dyDescent="0.2">
      <c r="L3254" s="44"/>
    </row>
    <row r="3255" spans="12:12" x14ac:dyDescent="0.2">
      <c r="L3255" s="44"/>
    </row>
    <row r="3256" spans="12:12" x14ac:dyDescent="0.2">
      <c r="L3256" s="44"/>
    </row>
    <row r="3257" spans="12:12" x14ac:dyDescent="0.2">
      <c r="L3257" s="44"/>
    </row>
    <row r="3258" spans="12:12" x14ac:dyDescent="0.2">
      <c r="L3258" s="44"/>
    </row>
    <row r="3259" spans="12:12" x14ac:dyDescent="0.2">
      <c r="L3259" s="44"/>
    </row>
    <row r="3260" spans="12:12" x14ac:dyDescent="0.2">
      <c r="L3260" s="44"/>
    </row>
    <row r="3261" spans="12:12" x14ac:dyDescent="0.2">
      <c r="L3261" s="44"/>
    </row>
    <row r="3262" spans="12:12" x14ac:dyDescent="0.2">
      <c r="L3262" s="44"/>
    </row>
    <row r="3263" spans="12:12" x14ac:dyDescent="0.2">
      <c r="L3263" s="44"/>
    </row>
    <row r="3264" spans="12:12" x14ac:dyDescent="0.2">
      <c r="L3264" s="44"/>
    </row>
    <row r="3265" spans="12:12" x14ac:dyDescent="0.2">
      <c r="L3265" s="44"/>
    </row>
    <row r="3266" spans="12:12" x14ac:dyDescent="0.2">
      <c r="L3266" s="44"/>
    </row>
    <row r="3267" spans="12:12" x14ac:dyDescent="0.2">
      <c r="L3267" s="44"/>
    </row>
    <row r="3268" spans="12:12" x14ac:dyDescent="0.2">
      <c r="L3268" s="44"/>
    </row>
    <row r="3269" spans="12:12" x14ac:dyDescent="0.2">
      <c r="L3269" s="44"/>
    </row>
    <row r="3270" spans="12:12" x14ac:dyDescent="0.2">
      <c r="L3270" s="44"/>
    </row>
    <row r="3271" spans="12:12" x14ac:dyDescent="0.2">
      <c r="L3271" s="44"/>
    </row>
    <row r="3272" spans="12:12" x14ac:dyDescent="0.2">
      <c r="L3272" s="44"/>
    </row>
    <row r="3273" spans="12:12" x14ac:dyDescent="0.2">
      <c r="L3273" s="44"/>
    </row>
    <row r="3274" spans="12:12" x14ac:dyDescent="0.2">
      <c r="L3274" s="44"/>
    </row>
    <row r="3275" spans="12:12" x14ac:dyDescent="0.2">
      <c r="L3275" s="44"/>
    </row>
    <row r="3276" spans="12:12" x14ac:dyDescent="0.2">
      <c r="L3276" s="44"/>
    </row>
    <row r="3277" spans="12:12" x14ac:dyDescent="0.2">
      <c r="L3277" s="44"/>
    </row>
    <row r="3278" spans="12:12" x14ac:dyDescent="0.2">
      <c r="L3278" s="44"/>
    </row>
    <row r="3279" spans="12:12" x14ac:dyDescent="0.2">
      <c r="L3279" s="44"/>
    </row>
    <row r="3280" spans="12:12" x14ac:dyDescent="0.2">
      <c r="L3280" s="44"/>
    </row>
    <row r="3281" spans="12:12" x14ac:dyDescent="0.2">
      <c r="L3281" s="44"/>
    </row>
    <row r="3282" spans="12:12" x14ac:dyDescent="0.2">
      <c r="L3282" s="44"/>
    </row>
    <row r="3283" spans="12:12" x14ac:dyDescent="0.2">
      <c r="L3283" s="44"/>
    </row>
    <row r="3284" spans="12:12" x14ac:dyDescent="0.2">
      <c r="L3284" s="44"/>
    </row>
    <row r="3285" spans="12:12" x14ac:dyDescent="0.2">
      <c r="L3285" s="44"/>
    </row>
    <row r="3286" spans="12:12" x14ac:dyDescent="0.2">
      <c r="L3286" s="44"/>
    </row>
    <row r="3287" spans="12:12" x14ac:dyDescent="0.2">
      <c r="L3287" s="44"/>
    </row>
    <row r="3288" spans="12:12" x14ac:dyDescent="0.2">
      <c r="L3288" s="44"/>
    </row>
    <row r="3289" spans="12:12" x14ac:dyDescent="0.2">
      <c r="L3289" s="44"/>
    </row>
    <row r="3290" spans="12:12" x14ac:dyDescent="0.2">
      <c r="L3290" s="44"/>
    </row>
    <row r="3291" spans="12:12" x14ac:dyDescent="0.2">
      <c r="L3291" s="44"/>
    </row>
    <row r="3292" spans="12:12" x14ac:dyDescent="0.2">
      <c r="L3292" s="44"/>
    </row>
    <row r="3293" spans="12:12" x14ac:dyDescent="0.2">
      <c r="L3293" s="44"/>
    </row>
    <row r="3294" spans="12:12" x14ac:dyDescent="0.2">
      <c r="L3294" s="44"/>
    </row>
    <row r="3295" spans="12:12" x14ac:dyDescent="0.2">
      <c r="L3295" s="44"/>
    </row>
    <row r="3296" spans="12:12" x14ac:dyDescent="0.2">
      <c r="L3296" s="44"/>
    </row>
    <row r="3297" spans="12:12" x14ac:dyDescent="0.2">
      <c r="L3297" s="44"/>
    </row>
    <row r="3298" spans="12:12" x14ac:dyDescent="0.2">
      <c r="L3298" s="44"/>
    </row>
    <row r="3299" spans="12:12" x14ac:dyDescent="0.2">
      <c r="L3299" s="44"/>
    </row>
    <row r="3300" spans="12:12" x14ac:dyDescent="0.2">
      <c r="L3300" s="44"/>
    </row>
    <row r="3301" spans="12:12" x14ac:dyDescent="0.2">
      <c r="L3301" s="44"/>
    </row>
    <row r="3302" spans="12:12" x14ac:dyDescent="0.2">
      <c r="L3302" s="44"/>
    </row>
    <row r="3303" spans="12:12" x14ac:dyDescent="0.2">
      <c r="L3303" s="44"/>
    </row>
    <row r="3304" spans="12:12" x14ac:dyDescent="0.2">
      <c r="L3304" s="44"/>
    </row>
    <row r="3305" spans="12:12" x14ac:dyDescent="0.2">
      <c r="L3305" s="44"/>
    </row>
    <row r="3306" spans="12:12" x14ac:dyDescent="0.2">
      <c r="L3306" s="44"/>
    </row>
    <row r="3307" spans="12:12" x14ac:dyDescent="0.2">
      <c r="L3307" s="44"/>
    </row>
    <row r="3308" spans="12:12" x14ac:dyDescent="0.2">
      <c r="L3308" s="44"/>
    </row>
    <row r="3309" spans="12:12" x14ac:dyDescent="0.2">
      <c r="L3309" s="44"/>
    </row>
    <row r="3310" spans="12:12" x14ac:dyDescent="0.2">
      <c r="L3310" s="44"/>
    </row>
    <row r="3311" spans="12:12" x14ac:dyDescent="0.2">
      <c r="L3311" s="44"/>
    </row>
    <row r="3312" spans="12:12" x14ac:dyDescent="0.2">
      <c r="L3312" s="44"/>
    </row>
    <row r="3313" spans="12:12" x14ac:dyDescent="0.2">
      <c r="L3313" s="44"/>
    </row>
    <row r="3314" spans="12:12" x14ac:dyDescent="0.2">
      <c r="L3314" s="44"/>
    </row>
    <row r="3315" spans="12:12" x14ac:dyDescent="0.2">
      <c r="L3315" s="44"/>
    </row>
    <row r="3316" spans="12:12" x14ac:dyDescent="0.2">
      <c r="L3316" s="44"/>
    </row>
    <row r="3317" spans="12:12" x14ac:dyDescent="0.2">
      <c r="L3317" s="44"/>
    </row>
    <row r="3318" spans="12:12" x14ac:dyDescent="0.2">
      <c r="L3318" s="44"/>
    </row>
    <row r="3319" spans="12:12" x14ac:dyDescent="0.2">
      <c r="L3319" s="44"/>
    </row>
    <row r="3320" spans="12:12" x14ac:dyDescent="0.2">
      <c r="L3320" s="44"/>
    </row>
    <row r="3321" spans="12:12" x14ac:dyDescent="0.2">
      <c r="L3321" s="44"/>
    </row>
    <row r="3322" spans="12:12" x14ac:dyDescent="0.2">
      <c r="L3322" s="44"/>
    </row>
    <row r="3323" spans="12:12" x14ac:dyDescent="0.2">
      <c r="L3323" s="44"/>
    </row>
    <row r="3324" spans="12:12" x14ac:dyDescent="0.2">
      <c r="L3324" s="44"/>
    </row>
    <row r="3325" spans="12:12" x14ac:dyDescent="0.2">
      <c r="L3325" s="44"/>
    </row>
    <row r="3326" spans="12:12" x14ac:dyDescent="0.2">
      <c r="L3326" s="44"/>
    </row>
    <row r="3327" spans="12:12" x14ac:dyDescent="0.2">
      <c r="L3327" s="44"/>
    </row>
    <row r="3328" spans="12:12" x14ac:dyDescent="0.2">
      <c r="L3328" s="44"/>
    </row>
    <row r="3329" spans="12:12" x14ac:dyDescent="0.2">
      <c r="L3329" s="44"/>
    </row>
    <row r="3330" spans="12:12" x14ac:dyDescent="0.2">
      <c r="L3330" s="44"/>
    </row>
    <row r="3331" spans="12:12" x14ac:dyDescent="0.2">
      <c r="L3331" s="44"/>
    </row>
    <row r="3332" spans="12:12" x14ac:dyDescent="0.2">
      <c r="L3332" s="44"/>
    </row>
    <row r="3333" spans="12:12" x14ac:dyDescent="0.2">
      <c r="L3333" s="44"/>
    </row>
    <row r="3334" spans="12:12" x14ac:dyDescent="0.2">
      <c r="L3334" s="44"/>
    </row>
    <row r="3335" spans="12:12" x14ac:dyDescent="0.2">
      <c r="L3335" s="44"/>
    </row>
    <row r="3336" spans="12:12" x14ac:dyDescent="0.2">
      <c r="L3336" s="44"/>
    </row>
    <row r="3337" spans="12:12" x14ac:dyDescent="0.2">
      <c r="L3337" s="44"/>
    </row>
    <row r="3338" spans="12:12" x14ac:dyDescent="0.2">
      <c r="L3338" s="44"/>
    </row>
    <row r="3339" spans="12:12" x14ac:dyDescent="0.2">
      <c r="L3339" s="44"/>
    </row>
    <row r="3340" spans="12:12" x14ac:dyDescent="0.2">
      <c r="L3340" s="44"/>
    </row>
    <row r="3341" spans="12:12" x14ac:dyDescent="0.2">
      <c r="L3341" s="44"/>
    </row>
    <row r="3342" spans="12:12" x14ac:dyDescent="0.2">
      <c r="L3342" s="44"/>
    </row>
    <row r="3343" spans="12:12" x14ac:dyDescent="0.2">
      <c r="L3343" s="44"/>
    </row>
    <row r="3344" spans="12:12" x14ac:dyDescent="0.2">
      <c r="L3344" s="44"/>
    </row>
    <row r="3345" spans="12:12" x14ac:dyDescent="0.2">
      <c r="L3345" s="44"/>
    </row>
    <row r="3346" spans="12:12" x14ac:dyDescent="0.2">
      <c r="L3346" s="44"/>
    </row>
    <row r="3347" spans="12:12" x14ac:dyDescent="0.2">
      <c r="L3347" s="44"/>
    </row>
    <row r="3348" spans="12:12" x14ac:dyDescent="0.2">
      <c r="L3348" s="44"/>
    </row>
    <row r="3349" spans="12:12" x14ac:dyDescent="0.2">
      <c r="L3349" s="44"/>
    </row>
    <row r="3350" spans="12:12" x14ac:dyDescent="0.2">
      <c r="L3350" s="44"/>
    </row>
    <row r="3351" spans="12:12" x14ac:dyDescent="0.2">
      <c r="L3351" s="44"/>
    </row>
    <row r="3352" spans="12:12" x14ac:dyDescent="0.2">
      <c r="L3352" s="44"/>
    </row>
    <row r="3353" spans="12:12" x14ac:dyDescent="0.2">
      <c r="L3353" s="44"/>
    </row>
    <row r="3354" spans="12:12" x14ac:dyDescent="0.2">
      <c r="L3354" s="44"/>
    </row>
    <row r="3355" spans="12:12" x14ac:dyDescent="0.2">
      <c r="L3355" s="44"/>
    </row>
    <row r="3356" spans="12:12" x14ac:dyDescent="0.2">
      <c r="L3356" s="44"/>
    </row>
    <row r="3357" spans="12:12" x14ac:dyDescent="0.2">
      <c r="L3357" s="44"/>
    </row>
    <row r="3358" spans="12:12" x14ac:dyDescent="0.2">
      <c r="L3358" s="44"/>
    </row>
    <row r="3359" spans="12:12" x14ac:dyDescent="0.2">
      <c r="L3359" s="44"/>
    </row>
    <row r="3360" spans="12:12" x14ac:dyDescent="0.2">
      <c r="L3360" s="44"/>
    </row>
    <row r="3361" spans="12:12" x14ac:dyDescent="0.2">
      <c r="L3361" s="44"/>
    </row>
    <row r="3362" spans="12:12" x14ac:dyDescent="0.2">
      <c r="L3362" s="44"/>
    </row>
    <row r="3363" spans="12:12" x14ac:dyDescent="0.2">
      <c r="L3363" s="44"/>
    </row>
    <row r="3364" spans="12:12" x14ac:dyDescent="0.2">
      <c r="L3364" s="44"/>
    </row>
    <row r="3365" spans="12:12" x14ac:dyDescent="0.2">
      <c r="L3365" s="44"/>
    </row>
    <row r="3366" spans="12:12" x14ac:dyDescent="0.2">
      <c r="L3366" s="44"/>
    </row>
    <row r="3367" spans="12:12" x14ac:dyDescent="0.2">
      <c r="L3367" s="44"/>
    </row>
    <row r="3368" spans="12:12" x14ac:dyDescent="0.2">
      <c r="L3368" s="44"/>
    </row>
    <row r="3369" spans="12:12" x14ac:dyDescent="0.2">
      <c r="L3369" s="44"/>
    </row>
    <row r="3370" spans="12:12" x14ac:dyDescent="0.2">
      <c r="L3370" s="44"/>
    </row>
    <row r="3371" spans="12:12" x14ac:dyDescent="0.2">
      <c r="L3371" s="44"/>
    </row>
    <row r="3372" spans="12:12" x14ac:dyDescent="0.2">
      <c r="L3372" s="44"/>
    </row>
    <row r="3373" spans="12:12" x14ac:dyDescent="0.2">
      <c r="L3373" s="44"/>
    </row>
    <row r="3374" spans="12:12" x14ac:dyDescent="0.2">
      <c r="L3374" s="44"/>
    </row>
    <row r="3375" spans="12:12" x14ac:dyDescent="0.2">
      <c r="L3375" s="44"/>
    </row>
    <row r="3376" spans="12:12" x14ac:dyDescent="0.2">
      <c r="L3376" s="44"/>
    </row>
    <row r="3377" spans="12:12" x14ac:dyDescent="0.2">
      <c r="L3377" s="44"/>
    </row>
    <row r="3378" spans="12:12" x14ac:dyDescent="0.2">
      <c r="L3378" s="44"/>
    </row>
    <row r="3379" spans="12:12" x14ac:dyDescent="0.2">
      <c r="L3379" s="44"/>
    </row>
    <row r="3380" spans="12:12" x14ac:dyDescent="0.2">
      <c r="L3380" s="44"/>
    </row>
    <row r="3381" spans="12:12" x14ac:dyDescent="0.2">
      <c r="L3381" s="44"/>
    </row>
    <row r="3382" spans="12:12" x14ac:dyDescent="0.2">
      <c r="L3382" s="44"/>
    </row>
    <row r="3383" spans="12:12" x14ac:dyDescent="0.2">
      <c r="L3383" s="44"/>
    </row>
    <row r="3384" spans="12:12" x14ac:dyDescent="0.2">
      <c r="L3384" s="44"/>
    </row>
    <row r="3385" spans="12:12" x14ac:dyDescent="0.2">
      <c r="L3385" s="44"/>
    </row>
    <row r="3386" spans="12:12" x14ac:dyDescent="0.2">
      <c r="L3386" s="44"/>
    </row>
    <row r="3387" spans="12:12" x14ac:dyDescent="0.2">
      <c r="L3387" s="44"/>
    </row>
    <row r="3388" spans="12:12" x14ac:dyDescent="0.2">
      <c r="L3388" s="44"/>
    </row>
    <row r="3389" spans="12:12" x14ac:dyDescent="0.2">
      <c r="L3389" s="44"/>
    </row>
    <row r="3390" spans="12:12" x14ac:dyDescent="0.2">
      <c r="L3390" s="44"/>
    </row>
    <row r="3391" spans="12:12" x14ac:dyDescent="0.2">
      <c r="L3391" s="44"/>
    </row>
    <row r="3392" spans="12:12" x14ac:dyDescent="0.2">
      <c r="L3392" s="44"/>
    </row>
    <row r="3393" spans="12:12" x14ac:dyDescent="0.2">
      <c r="L3393" s="44"/>
    </row>
    <row r="3394" spans="12:12" x14ac:dyDescent="0.2">
      <c r="L3394" s="44"/>
    </row>
    <row r="3395" spans="12:12" x14ac:dyDescent="0.2">
      <c r="L3395" s="44"/>
    </row>
    <row r="3396" spans="12:12" x14ac:dyDescent="0.2">
      <c r="L3396" s="44"/>
    </row>
    <row r="3397" spans="12:12" x14ac:dyDescent="0.2">
      <c r="L3397" s="44"/>
    </row>
    <row r="3398" spans="12:12" x14ac:dyDescent="0.2">
      <c r="L3398" s="44"/>
    </row>
    <row r="3399" spans="12:12" x14ac:dyDescent="0.2">
      <c r="L3399" s="44"/>
    </row>
    <row r="3400" spans="12:12" x14ac:dyDescent="0.2">
      <c r="L3400" s="44"/>
    </row>
    <row r="3401" spans="12:12" x14ac:dyDescent="0.2">
      <c r="L3401" s="44"/>
    </row>
    <row r="3402" spans="12:12" x14ac:dyDescent="0.2">
      <c r="L3402" s="44"/>
    </row>
    <row r="3403" spans="12:12" x14ac:dyDescent="0.2">
      <c r="L3403" s="44"/>
    </row>
    <row r="3404" spans="12:12" x14ac:dyDescent="0.2">
      <c r="L3404" s="44"/>
    </row>
    <row r="3405" spans="12:12" x14ac:dyDescent="0.2">
      <c r="L3405" s="44"/>
    </row>
    <row r="3406" spans="12:12" x14ac:dyDescent="0.2">
      <c r="L3406" s="44"/>
    </row>
    <row r="3407" spans="12:12" x14ac:dyDescent="0.2">
      <c r="L3407" s="44"/>
    </row>
    <row r="3408" spans="12:12" x14ac:dyDescent="0.2">
      <c r="L3408" s="44"/>
    </row>
    <row r="3409" spans="12:12" x14ac:dyDescent="0.2">
      <c r="L3409" s="44"/>
    </row>
    <row r="3410" spans="12:12" x14ac:dyDescent="0.2">
      <c r="L3410" s="44"/>
    </row>
    <row r="3411" spans="12:12" x14ac:dyDescent="0.2">
      <c r="L3411" s="44"/>
    </row>
    <row r="3412" spans="12:12" x14ac:dyDescent="0.2">
      <c r="L3412" s="44"/>
    </row>
    <row r="3413" spans="12:12" x14ac:dyDescent="0.2">
      <c r="L3413" s="44"/>
    </row>
    <row r="3414" spans="12:12" x14ac:dyDescent="0.2">
      <c r="L3414" s="44"/>
    </row>
    <row r="3415" spans="12:12" x14ac:dyDescent="0.2">
      <c r="L3415" s="44"/>
    </row>
    <row r="3416" spans="12:12" x14ac:dyDescent="0.2">
      <c r="L3416" s="44"/>
    </row>
    <row r="3417" spans="12:12" x14ac:dyDescent="0.2">
      <c r="L3417" s="44"/>
    </row>
    <row r="3418" spans="12:12" x14ac:dyDescent="0.2">
      <c r="L3418" s="44"/>
    </row>
    <row r="3419" spans="12:12" x14ac:dyDescent="0.2">
      <c r="L3419" s="44"/>
    </row>
    <row r="3420" spans="12:12" x14ac:dyDescent="0.2">
      <c r="L3420" s="44"/>
    </row>
    <row r="3421" spans="12:12" x14ac:dyDescent="0.2">
      <c r="L3421" s="44"/>
    </row>
    <row r="3422" spans="12:12" x14ac:dyDescent="0.2">
      <c r="L3422" s="44"/>
    </row>
    <row r="3423" spans="12:12" x14ac:dyDescent="0.2">
      <c r="L3423" s="44"/>
    </row>
    <row r="3424" spans="12:12" x14ac:dyDescent="0.2">
      <c r="L3424" s="44"/>
    </row>
    <row r="3425" spans="12:12" x14ac:dyDescent="0.2">
      <c r="L3425" s="44"/>
    </row>
    <row r="3426" spans="12:12" x14ac:dyDescent="0.2">
      <c r="L3426" s="44"/>
    </row>
    <row r="3427" spans="12:12" x14ac:dyDescent="0.2">
      <c r="L3427" s="44"/>
    </row>
    <row r="3428" spans="12:12" x14ac:dyDescent="0.2">
      <c r="L3428" s="44"/>
    </row>
    <row r="3429" spans="12:12" x14ac:dyDescent="0.2">
      <c r="L3429" s="44"/>
    </row>
    <row r="3430" spans="12:12" x14ac:dyDescent="0.2">
      <c r="L3430" s="44"/>
    </row>
    <row r="3431" spans="12:12" x14ac:dyDescent="0.2">
      <c r="L3431" s="44"/>
    </row>
    <row r="3432" spans="12:12" x14ac:dyDescent="0.2">
      <c r="L3432" s="44"/>
    </row>
    <row r="3433" spans="12:12" x14ac:dyDescent="0.2">
      <c r="L3433" s="44"/>
    </row>
    <row r="3434" spans="12:12" x14ac:dyDescent="0.2">
      <c r="L3434" s="44"/>
    </row>
    <row r="3435" spans="12:12" x14ac:dyDescent="0.2">
      <c r="L3435" s="44"/>
    </row>
    <row r="3436" spans="12:12" x14ac:dyDescent="0.2">
      <c r="L3436" s="44"/>
    </row>
    <row r="3437" spans="12:12" x14ac:dyDescent="0.2">
      <c r="L3437" s="44"/>
    </row>
    <row r="3438" spans="12:12" x14ac:dyDescent="0.2">
      <c r="L3438" s="44"/>
    </row>
    <row r="3439" spans="12:12" x14ac:dyDescent="0.2">
      <c r="L3439" s="44"/>
    </row>
    <row r="3440" spans="12:12" x14ac:dyDescent="0.2">
      <c r="L3440" s="44"/>
    </row>
    <row r="3441" spans="12:12" x14ac:dyDescent="0.2">
      <c r="L3441" s="44"/>
    </row>
    <row r="3442" spans="12:12" x14ac:dyDescent="0.2">
      <c r="L3442" s="44"/>
    </row>
    <row r="3443" spans="12:12" x14ac:dyDescent="0.2">
      <c r="L3443" s="44"/>
    </row>
    <row r="3444" spans="12:12" x14ac:dyDescent="0.2">
      <c r="L3444" s="44"/>
    </row>
    <row r="3445" spans="12:12" x14ac:dyDescent="0.2">
      <c r="L3445" s="44"/>
    </row>
    <row r="3446" spans="12:12" x14ac:dyDescent="0.2">
      <c r="L3446" s="44"/>
    </row>
    <row r="3447" spans="12:12" x14ac:dyDescent="0.2">
      <c r="L3447" s="44"/>
    </row>
    <row r="3448" spans="12:12" x14ac:dyDescent="0.2">
      <c r="L3448" s="44"/>
    </row>
    <row r="3449" spans="12:12" x14ac:dyDescent="0.2">
      <c r="L3449" s="44"/>
    </row>
    <row r="3450" spans="12:12" x14ac:dyDescent="0.2">
      <c r="L3450" s="44"/>
    </row>
    <row r="3451" spans="12:12" x14ac:dyDescent="0.2">
      <c r="L3451" s="44"/>
    </row>
    <row r="3452" spans="12:12" x14ac:dyDescent="0.2">
      <c r="L3452" s="44"/>
    </row>
    <row r="3453" spans="12:12" x14ac:dyDescent="0.2">
      <c r="L3453" s="44"/>
    </row>
    <row r="3454" spans="12:12" x14ac:dyDescent="0.2">
      <c r="L3454" s="44"/>
    </row>
    <row r="3455" spans="12:12" x14ac:dyDescent="0.2">
      <c r="L3455" s="44"/>
    </row>
    <row r="3456" spans="12:12" x14ac:dyDescent="0.2">
      <c r="L3456" s="44"/>
    </row>
    <row r="3457" spans="12:12" x14ac:dyDescent="0.2">
      <c r="L3457" s="44"/>
    </row>
    <row r="3458" spans="12:12" x14ac:dyDescent="0.2">
      <c r="L3458" s="44"/>
    </row>
    <row r="3459" spans="12:12" x14ac:dyDescent="0.2">
      <c r="L3459" s="44"/>
    </row>
    <row r="3460" spans="12:12" x14ac:dyDescent="0.2">
      <c r="L3460" s="44"/>
    </row>
    <row r="3461" spans="12:12" x14ac:dyDescent="0.2">
      <c r="L3461" s="44"/>
    </row>
    <row r="3462" spans="12:12" x14ac:dyDescent="0.2">
      <c r="L3462" s="44"/>
    </row>
    <row r="3463" spans="12:12" x14ac:dyDescent="0.2">
      <c r="L3463" s="44"/>
    </row>
    <row r="3464" spans="12:12" x14ac:dyDescent="0.2">
      <c r="L3464" s="44"/>
    </row>
    <row r="3465" spans="12:12" x14ac:dyDescent="0.2">
      <c r="L3465" s="44"/>
    </row>
    <row r="3466" spans="12:12" x14ac:dyDescent="0.2">
      <c r="L3466" s="44"/>
    </row>
    <row r="3467" spans="12:12" x14ac:dyDescent="0.2">
      <c r="L3467" s="44"/>
    </row>
    <row r="3468" spans="12:12" x14ac:dyDescent="0.2">
      <c r="L3468" s="44"/>
    </row>
    <row r="3469" spans="12:12" x14ac:dyDescent="0.2">
      <c r="L3469" s="44"/>
    </row>
    <row r="3470" spans="12:12" x14ac:dyDescent="0.2">
      <c r="L3470" s="44"/>
    </row>
    <row r="3471" spans="12:12" x14ac:dyDescent="0.2">
      <c r="L3471" s="44"/>
    </row>
    <row r="3472" spans="12:12" x14ac:dyDescent="0.2">
      <c r="L3472" s="44"/>
    </row>
    <row r="3473" spans="12:12" x14ac:dyDescent="0.2">
      <c r="L3473" s="44"/>
    </row>
    <row r="3474" spans="12:12" x14ac:dyDescent="0.2">
      <c r="L3474" s="44"/>
    </row>
    <row r="3475" spans="12:12" x14ac:dyDescent="0.2">
      <c r="L3475" s="44"/>
    </row>
    <row r="3476" spans="12:12" x14ac:dyDescent="0.2">
      <c r="L3476" s="44"/>
    </row>
    <row r="3477" spans="12:12" x14ac:dyDescent="0.2">
      <c r="L3477" s="44"/>
    </row>
    <row r="3478" spans="12:12" x14ac:dyDescent="0.2">
      <c r="L3478" s="44"/>
    </row>
    <row r="3479" spans="12:12" x14ac:dyDescent="0.2">
      <c r="L3479" s="44"/>
    </row>
    <row r="3480" spans="12:12" x14ac:dyDescent="0.2">
      <c r="L3480" s="44"/>
    </row>
    <row r="3481" spans="12:12" x14ac:dyDescent="0.2">
      <c r="L3481" s="44"/>
    </row>
    <row r="3482" spans="12:12" x14ac:dyDescent="0.2">
      <c r="L3482" s="44"/>
    </row>
    <row r="3483" spans="12:12" x14ac:dyDescent="0.2">
      <c r="L3483" s="44"/>
    </row>
    <row r="3484" spans="12:12" x14ac:dyDescent="0.2">
      <c r="L3484" s="44"/>
    </row>
    <row r="3485" spans="12:12" x14ac:dyDescent="0.2">
      <c r="L3485" s="44"/>
    </row>
    <row r="3486" spans="12:12" x14ac:dyDescent="0.2">
      <c r="L3486" s="44"/>
    </row>
    <row r="3487" spans="12:12" x14ac:dyDescent="0.2">
      <c r="L3487" s="44"/>
    </row>
    <row r="3488" spans="12:12" x14ac:dyDescent="0.2">
      <c r="L3488" s="44"/>
    </row>
    <row r="3489" spans="12:12" x14ac:dyDescent="0.2">
      <c r="L3489" s="44"/>
    </row>
    <row r="3490" spans="12:12" x14ac:dyDescent="0.2">
      <c r="L3490" s="44"/>
    </row>
    <row r="3491" spans="12:12" x14ac:dyDescent="0.2">
      <c r="L3491" s="44"/>
    </row>
    <row r="3492" spans="12:12" x14ac:dyDescent="0.2">
      <c r="L3492" s="44"/>
    </row>
    <row r="3493" spans="12:12" x14ac:dyDescent="0.2">
      <c r="L3493" s="44"/>
    </row>
    <row r="3494" spans="12:12" x14ac:dyDescent="0.2">
      <c r="L3494" s="44"/>
    </row>
    <row r="3495" spans="12:12" x14ac:dyDescent="0.2">
      <c r="L3495" s="44"/>
    </row>
    <row r="3496" spans="12:12" x14ac:dyDescent="0.2">
      <c r="L3496" s="44"/>
    </row>
    <row r="3497" spans="12:12" x14ac:dyDescent="0.2">
      <c r="L3497" s="44"/>
    </row>
    <row r="3498" spans="12:12" x14ac:dyDescent="0.2">
      <c r="L3498" s="44"/>
    </row>
    <row r="3499" spans="12:12" x14ac:dyDescent="0.2">
      <c r="L3499" s="44"/>
    </row>
    <row r="3500" spans="12:12" x14ac:dyDescent="0.2">
      <c r="L3500" s="44"/>
    </row>
    <row r="3501" spans="12:12" x14ac:dyDescent="0.2">
      <c r="L3501" s="44"/>
    </row>
    <row r="3502" spans="12:12" x14ac:dyDescent="0.2">
      <c r="L3502" s="44"/>
    </row>
    <row r="3503" spans="12:12" x14ac:dyDescent="0.2">
      <c r="L3503" s="44"/>
    </row>
    <row r="3504" spans="12:12" x14ac:dyDescent="0.2">
      <c r="L3504" s="44"/>
    </row>
    <row r="3505" spans="12:12" x14ac:dyDescent="0.2">
      <c r="L3505" s="44"/>
    </row>
    <row r="3506" spans="12:12" x14ac:dyDescent="0.2">
      <c r="L3506" s="44"/>
    </row>
    <row r="3507" spans="12:12" x14ac:dyDescent="0.2">
      <c r="L3507" s="44"/>
    </row>
    <row r="3508" spans="12:12" x14ac:dyDescent="0.2">
      <c r="L3508" s="44"/>
    </row>
    <row r="3509" spans="12:12" x14ac:dyDescent="0.2">
      <c r="L3509" s="44"/>
    </row>
    <row r="3510" spans="12:12" x14ac:dyDescent="0.2">
      <c r="L3510" s="44"/>
    </row>
    <row r="3511" spans="12:12" x14ac:dyDescent="0.2">
      <c r="L3511" s="44"/>
    </row>
    <row r="3512" spans="12:12" x14ac:dyDescent="0.2">
      <c r="L3512" s="44"/>
    </row>
    <row r="3513" spans="12:12" x14ac:dyDescent="0.2">
      <c r="L3513" s="44"/>
    </row>
    <row r="3514" spans="12:12" x14ac:dyDescent="0.2">
      <c r="L3514" s="44"/>
    </row>
    <row r="3515" spans="12:12" x14ac:dyDescent="0.2">
      <c r="L3515" s="44"/>
    </row>
    <row r="3516" spans="12:12" x14ac:dyDescent="0.2">
      <c r="L3516" s="44"/>
    </row>
    <row r="3517" spans="12:12" x14ac:dyDescent="0.2">
      <c r="L3517" s="44"/>
    </row>
    <row r="3518" spans="12:12" x14ac:dyDescent="0.2">
      <c r="L3518" s="44"/>
    </row>
    <row r="3519" spans="12:12" x14ac:dyDescent="0.2">
      <c r="L3519" s="44"/>
    </row>
    <row r="3520" spans="12:12" x14ac:dyDescent="0.2">
      <c r="L3520" s="44"/>
    </row>
    <row r="3521" spans="12:12" x14ac:dyDescent="0.2">
      <c r="L3521" s="44"/>
    </row>
    <row r="3522" spans="12:12" x14ac:dyDescent="0.2">
      <c r="L3522" s="44"/>
    </row>
    <row r="3523" spans="12:12" x14ac:dyDescent="0.2">
      <c r="L3523" s="44"/>
    </row>
    <row r="3524" spans="12:12" x14ac:dyDescent="0.2">
      <c r="L3524" s="44"/>
    </row>
    <row r="3525" spans="12:12" x14ac:dyDescent="0.2">
      <c r="L3525" s="44"/>
    </row>
    <row r="3526" spans="12:12" x14ac:dyDescent="0.2">
      <c r="L3526" s="44"/>
    </row>
    <row r="3527" spans="12:12" x14ac:dyDescent="0.2">
      <c r="L3527" s="44"/>
    </row>
    <row r="3528" spans="12:12" x14ac:dyDescent="0.2">
      <c r="L3528" s="44"/>
    </row>
    <row r="3529" spans="12:12" x14ac:dyDescent="0.2">
      <c r="L3529" s="44"/>
    </row>
    <row r="3530" spans="12:12" x14ac:dyDescent="0.2">
      <c r="L3530" s="44"/>
    </row>
    <row r="3531" spans="12:12" x14ac:dyDescent="0.2">
      <c r="L3531" s="44"/>
    </row>
    <row r="3532" spans="12:12" x14ac:dyDescent="0.2">
      <c r="L3532" s="44"/>
    </row>
    <row r="3533" spans="12:12" x14ac:dyDescent="0.2">
      <c r="L3533" s="44"/>
    </row>
    <row r="3534" spans="12:12" x14ac:dyDescent="0.2">
      <c r="L3534" s="44"/>
    </row>
    <row r="3535" spans="12:12" x14ac:dyDescent="0.2">
      <c r="L3535" s="44"/>
    </row>
    <row r="3536" spans="12:12" x14ac:dyDescent="0.2">
      <c r="L3536" s="44"/>
    </row>
    <row r="3537" spans="12:12" x14ac:dyDescent="0.2">
      <c r="L3537" s="44"/>
    </row>
    <row r="3538" spans="12:12" x14ac:dyDescent="0.2">
      <c r="L3538" s="44"/>
    </row>
    <row r="3539" spans="12:12" x14ac:dyDescent="0.2">
      <c r="L3539" s="44"/>
    </row>
    <row r="3540" spans="12:12" x14ac:dyDescent="0.2">
      <c r="L3540" s="44"/>
    </row>
    <row r="3541" spans="12:12" x14ac:dyDescent="0.2">
      <c r="L3541" s="44"/>
    </row>
    <row r="3542" spans="12:12" x14ac:dyDescent="0.2">
      <c r="L3542" s="44"/>
    </row>
    <row r="3543" spans="12:12" x14ac:dyDescent="0.2">
      <c r="L3543" s="44"/>
    </row>
    <row r="3544" spans="12:12" x14ac:dyDescent="0.2">
      <c r="L3544" s="44"/>
    </row>
    <row r="3545" spans="12:12" x14ac:dyDescent="0.2">
      <c r="L3545" s="44"/>
    </row>
    <row r="3546" spans="12:12" x14ac:dyDescent="0.2">
      <c r="L3546" s="44"/>
    </row>
    <row r="3547" spans="12:12" x14ac:dyDescent="0.2">
      <c r="L3547" s="44"/>
    </row>
    <row r="3548" spans="12:12" x14ac:dyDescent="0.2">
      <c r="L3548" s="44"/>
    </row>
    <row r="3549" spans="12:12" x14ac:dyDescent="0.2">
      <c r="L3549" s="44"/>
    </row>
    <row r="3550" spans="12:12" x14ac:dyDescent="0.2">
      <c r="L3550" s="44"/>
    </row>
    <row r="3551" spans="12:12" x14ac:dyDescent="0.2">
      <c r="L3551" s="44"/>
    </row>
    <row r="3552" spans="12:12" x14ac:dyDescent="0.2">
      <c r="L3552" s="44"/>
    </row>
    <row r="3553" spans="12:12" x14ac:dyDescent="0.2">
      <c r="L3553" s="44"/>
    </row>
    <row r="3554" spans="12:12" x14ac:dyDescent="0.2">
      <c r="L3554" s="44"/>
    </row>
    <row r="3555" spans="12:12" x14ac:dyDescent="0.2">
      <c r="L3555" s="44"/>
    </row>
    <row r="3556" spans="12:12" x14ac:dyDescent="0.2">
      <c r="L3556" s="44"/>
    </row>
    <row r="3557" spans="12:12" x14ac:dyDescent="0.2">
      <c r="L3557" s="44"/>
    </row>
    <row r="3558" spans="12:12" x14ac:dyDescent="0.2">
      <c r="L3558" s="44"/>
    </row>
    <row r="3559" spans="12:12" x14ac:dyDescent="0.2">
      <c r="L3559" s="44"/>
    </row>
    <row r="3560" spans="12:12" x14ac:dyDescent="0.2">
      <c r="L3560" s="44"/>
    </row>
    <row r="3561" spans="12:12" x14ac:dyDescent="0.2">
      <c r="L3561" s="44"/>
    </row>
    <row r="3562" spans="12:12" x14ac:dyDescent="0.2">
      <c r="L3562" s="44"/>
    </row>
    <row r="3563" spans="12:12" x14ac:dyDescent="0.2">
      <c r="L3563" s="44"/>
    </row>
    <row r="3564" spans="12:12" x14ac:dyDescent="0.2">
      <c r="L3564" s="44"/>
    </row>
    <row r="3565" spans="12:12" x14ac:dyDescent="0.2">
      <c r="L3565" s="44"/>
    </row>
    <row r="3566" spans="12:12" x14ac:dyDescent="0.2">
      <c r="L3566" s="44"/>
    </row>
    <row r="3567" spans="12:12" x14ac:dyDescent="0.2">
      <c r="L3567" s="44"/>
    </row>
    <row r="3568" spans="12:12" x14ac:dyDescent="0.2">
      <c r="L3568" s="44"/>
    </row>
    <row r="3569" spans="12:12" x14ac:dyDescent="0.2">
      <c r="L3569" s="44"/>
    </row>
    <row r="3570" spans="12:12" x14ac:dyDescent="0.2">
      <c r="L3570" s="44"/>
    </row>
    <row r="3571" spans="12:12" x14ac:dyDescent="0.2">
      <c r="L3571" s="44"/>
    </row>
    <row r="3572" spans="12:12" x14ac:dyDescent="0.2">
      <c r="L3572" s="44"/>
    </row>
    <row r="3573" spans="12:12" x14ac:dyDescent="0.2">
      <c r="L3573" s="44"/>
    </row>
    <row r="3574" spans="12:12" x14ac:dyDescent="0.2">
      <c r="L3574" s="44"/>
    </row>
    <row r="3575" spans="12:12" x14ac:dyDescent="0.2">
      <c r="L3575" s="44"/>
    </row>
    <row r="3576" spans="12:12" x14ac:dyDescent="0.2">
      <c r="L3576" s="44"/>
    </row>
    <row r="3577" spans="12:12" x14ac:dyDescent="0.2">
      <c r="L3577" s="44"/>
    </row>
    <row r="3578" spans="12:12" x14ac:dyDescent="0.2">
      <c r="L3578" s="44"/>
    </row>
    <row r="3579" spans="12:12" x14ac:dyDescent="0.2">
      <c r="L3579" s="44"/>
    </row>
    <row r="3580" spans="12:12" x14ac:dyDescent="0.2">
      <c r="L3580" s="44"/>
    </row>
    <row r="3581" spans="12:12" x14ac:dyDescent="0.2">
      <c r="L3581" s="44"/>
    </row>
    <row r="3582" spans="12:12" x14ac:dyDescent="0.2">
      <c r="L3582" s="44"/>
    </row>
    <row r="3583" spans="12:12" x14ac:dyDescent="0.2">
      <c r="L3583" s="44"/>
    </row>
    <row r="3584" spans="12:12" x14ac:dyDescent="0.2">
      <c r="L3584" s="44"/>
    </row>
    <row r="3585" spans="12:12" x14ac:dyDescent="0.2">
      <c r="L3585" s="44"/>
    </row>
    <row r="3586" spans="12:12" x14ac:dyDescent="0.2">
      <c r="L3586" s="44"/>
    </row>
    <row r="3587" spans="12:12" x14ac:dyDescent="0.2">
      <c r="L3587" s="44"/>
    </row>
    <row r="3588" spans="12:12" x14ac:dyDescent="0.2">
      <c r="L3588" s="44"/>
    </row>
    <row r="3589" spans="12:12" x14ac:dyDescent="0.2">
      <c r="L3589" s="44"/>
    </row>
    <row r="3590" spans="12:12" x14ac:dyDescent="0.2">
      <c r="L3590" s="44"/>
    </row>
    <row r="3591" spans="12:12" x14ac:dyDescent="0.2">
      <c r="L3591" s="44"/>
    </row>
    <row r="3592" spans="12:12" x14ac:dyDescent="0.2">
      <c r="L3592" s="44"/>
    </row>
    <row r="3593" spans="12:12" x14ac:dyDescent="0.2">
      <c r="L3593" s="44"/>
    </row>
    <row r="3594" spans="12:12" x14ac:dyDescent="0.2">
      <c r="L3594" s="44"/>
    </row>
    <row r="3595" spans="12:12" x14ac:dyDescent="0.2">
      <c r="L3595" s="44"/>
    </row>
    <row r="3596" spans="12:12" x14ac:dyDescent="0.2">
      <c r="L3596" s="44"/>
    </row>
    <row r="3597" spans="12:12" x14ac:dyDescent="0.2">
      <c r="L3597" s="44"/>
    </row>
    <row r="3598" spans="12:12" x14ac:dyDescent="0.2">
      <c r="L3598" s="44"/>
    </row>
    <row r="3599" spans="12:12" x14ac:dyDescent="0.2">
      <c r="L3599" s="44"/>
    </row>
    <row r="3600" spans="12:12" x14ac:dyDescent="0.2">
      <c r="L3600" s="44"/>
    </row>
    <row r="3601" spans="12:12" x14ac:dyDescent="0.2">
      <c r="L3601" s="44"/>
    </row>
    <row r="3602" spans="12:12" x14ac:dyDescent="0.2">
      <c r="L3602" s="44"/>
    </row>
    <row r="3603" spans="12:12" x14ac:dyDescent="0.2">
      <c r="L3603" s="44"/>
    </row>
    <row r="3604" spans="12:12" x14ac:dyDescent="0.2">
      <c r="L3604" s="44"/>
    </row>
    <row r="3605" spans="12:12" x14ac:dyDescent="0.2">
      <c r="L3605" s="44"/>
    </row>
    <row r="3606" spans="12:12" x14ac:dyDescent="0.2">
      <c r="L3606" s="44"/>
    </row>
    <row r="3607" spans="12:12" x14ac:dyDescent="0.2">
      <c r="L3607" s="44"/>
    </row>
    <row r="3608" spans="12:12" x14ac:dyDescent="0.2">
      <c r="L3608" s="44"/>
    </row>
    <row r="3609" spans="12:12" x14ac:dyDescent="0.2">
      <c r="L3609" s="44"/>
    </row>
    <row r="3610" spans="12:12" x14ac:dyDescent="0.2">
      <c r="L3610" s="44"/>
    </row>
    <row r="3611" spans="12:12" x14ac:dyDescent="0.2">
      <c r="L3611" s="44"/>
    </row>
    <row r="3612" spans="12:12" x14ac:dyDescent="0.2">
      <c r="L3612" s="44"/>
    </row>
    <row r="3613" spans="12:12" x14ac:dyDescent="0.2">
      <c r="L3613" s="44"/>
    </row>
    <row r="3614" spans="12:12" x14ac:dyDescent="0.2">
      <c r="L3614" s="44"/>
    </row>
    <row r="3615" spans="12:12" x14ac:dyDescent="0.2">
      <c r="L3615" s="44"/>
    </row>
    <row r="3616" spans="12:12" x14ac:dyDescent="0.2">
      <c r="L3616" s="44"/>
    </row>
    <row r="3617" spans="12:12" x14ac:dyDescent="0.2">
      <c r="L3617" s="44"/>
    </row>
    <row r="3618" spans="12:12" x14ac:dyDescent="0.2">
      <c r="L3618" s="44"/>
    </row>
    <row r="3619" spans="12:12" x14ac:dyDescent="0.2">
      <c r="L3619" s="44"/>
    </row>
    <row r="3620" spans="12:12" x14ac:dyDescent="0.2">
      <c r="L3620" s="44"/>
    </row>
    <row r="3621" spans="12:12" x14ac:dyDescent="0.2">
      <c r="L3621" s="44"/>
    </row>
    <row r="3622" spans="12:12" x14ac:dyDescent="0.2">
      <c r="L3622" s="44"/>
    </row>
    <row r="3623" spans="12:12" x14ac:dyDescent="0.2">
      <c r="L3623" s="44"/>
    </row>
    <row r="3624" spans="12:12" x14ac:dyDescent="0.2">
      <c r="L3624" s="44"/>
    </row>
    <row r="3625" spans="12:12" x14ac:dyDescent="0.2">
      <c r="L3625" s="44"/>
    </row>
    <row r="3626" spans="12:12" x14ac:dyDescent="0.2">
      <c r="L3626" s="44"/>
    </row>
    <row r="3627" spans="12:12" x14ac:dyDescent="0.2">
      <c r="L3627" s="44"/>
    </row>
    <row r="3628" spans="12:12" x14ac:dyDescent="0.2">
      <c r="L3628" s="44"/>
    </row>
    <row r="3629" spans="12:12" x14ac:dyDescent="0.2">
      <c r="L3629" s="44"/>
    </row>
    <row r="3630" spans="12:12" x14ac:dyDescent="0.2">
      <c r="L3630" s="44"/>
    </row>
    <row r="3631" spans="12:12" x14ac:dyDescent="0.2">
      <c r="L3631" s="44"/>
    </row>
    <row r="3632" spans="12:12" x14ac:dyDescent="0.2">
      <c r="L3632" s="44"/>
    </row>
    <row r="3633" spans="12:12" x14ac:dyDescent="0.2">
      <c r="L3633" s="44"/>
    </row>
    <row r="3634" spans="12:12" x14ac:dyDescent="0.2">
      <c r="L3634" s="44"/>
    </row>
    <row r="3635" spans="12:12" x14ac:dyDescent="0.2">
      <c r="L3635" s="44"/>
    </row>
    <row r="3636" spans="12:12" x14ac:dyDescent="0.2">
      <c r="L3636" s="44"/>
    </row>
    <row r="3637" spans="12:12" x14ac:dyDescent="0.2">
      <c r="L3637" s="44"/>
    </row>
    <row r="3638" spans="12:12" x14ac:dyDescent="0.2">
      <c r="L3638" s="44"/>
    </row>
    <row r="3639" spans="12:12" x14ac:dyDescent="0.2">
      <c r="L3639" s="44"/>
    </row>
    <row r="3640" spans="12:12" x14ac:dyDescent="0.2">
      <c r="L3640" s="44"/>
    </row>
    <row r="3641" spans="12:12" x14ac:dyDescent="0.2">
      <c r="L3641" s="44"/>
    </row>
    <row r="3642" spans="12:12" x14ac:dyDescent="0.2">
      <c r="L3642" s="44"/>
    </row>
    <row r="3643" spans="12:12" x14ac:dyDescent="0.2">
      <c r="L3643" s="44"/>
    </row>
    <row r="3644" spans="12:12" x14ac:dyDescent="0.2">
      <c r="L3644" s="44"/>
    </row>
    <row r="3645" spans="12:12" x14ac:dyDescent="0.2">
      <c r="L3645" s="44"/>
    </row>
    <row r="3646" spans="12:12" x14ac:dyDescent="0.2">
      <c r="L3646" s="44"/>
    </row>
    <row r="3647" spans="12:12" x14ac:dyDescent="0.2">
      <c r="L3647" s="44"/>
    </row>
    <row r="3648" spans="12:12" x14ac:dyDescent="0.2">
      <c r="L3648" s="44"/>
    </row>
    <row r="3649" spans="12:12" x14ac:dyDescent="0.2">
      <c r="L3649" s="44"/>
    </row>
    <row r="3650" spans="12:12" x14ac:dyDescent="0.2">
      <c r="L3650" s="44"/>
    </row>
    <row r="3651" spans="12:12" x14ac:dyDescent="0.2">
      <c r="L3651" s="44"/>
    </row>
    <row r="3652" spans="12:12" x14ac:dyDescent="0.2">
      <c r="L3652" s="44"/>
    </row>
    <row r="3653" spans="12:12" x14ac:dyDescent="0.2">
      <c r="L3653" s="44"/>
    </row>
    <row r="3654" spans="12:12" x14ac:dyDescent="0.2">
      <c r="L3654" s="44"/>
    </row>
    <row r="3655" spans="12:12" x14ac:dyDescent="0.2">
      <c r="L3655" s="44"/>
    </row>
    <row r="3656" spans="12:12" x14ac:dyDescent="0.2">
      <c r="L3656" s="44"/>
    </row>
    <row r="3657" spans="12:12" x14ac:dyDescent="0.2">
      <c r="L3657" s="44"/>
    </row>
    <row r="3658" spans="12:12" x14ac:dyDescent="0.2">
      <c r="L3658" s="44"/>
    </row>
    <row r="3659" spans="12:12" x14ac:dyDescent="0.2">
      <c r="L3659" s="44"/>
    </row>
    <row r="3660" spans="12:12" x14ac:dyDescent="0.2">
      <c r="L3660" s="44"/>
    </row>
    <row r="3661" spans="12:12" x14ac:dyDescent="0.2">
      <c r="L3661" s="44"/>
    </row>
    <row r="3662" spans="12:12" x14ac:dyDescent="0.2">
      <c r="L3662" s="44"/>
    </row>
    <row r="3663" spans="12:12" x14ac:dyDescent="0.2">
      <c r="L3663" s="44"/>
    </row>
    <row r="3664" spans="12:12" x14ac:dyDescent="0.2">
      <c r="L3664" s="44"/>
    </row>
    <row r="3665" spans="12:12" x14ac:dyDescent="0.2">
      <c r="L3665" s="44"/>
    </row>
    <row r="3666" spans="12:12" x14ac:dyDescent="0.2">
      <c r="L3666" s="44"/>
    </row>
    <row r="3667" spans="12:12" x14ac:dyDescent="0.2">
      <c r="L3667" s="44"/>
    </row>
    <row r="3668" spans="12:12" x14ac:dyDescent="0.2">
      <c r="L3668" s="44"/>
    </row>
    <row r="3669" spans="12:12" x14ac:dyDescent="0.2">
      <c r="L3669" s="44"/>
    </row>
    <row r="3670" spans="12:12" x14ac:dyDescent="0.2">
      <c r="L3670" s="44"/>
    </row>
    <row r="3671" spans="12:12" x14ac:dyDescent="0.2">
      <c r="L3671" s="44"/>
    </row>
    <row r="3672" spans="12:12" x14ac:dyDescent="0.2">
      <c r="L3672" s="44"/>
    </row>
    <row r="3673" spans="12:12" x14ac:dyDescent="0.2">
      <c r="L3673" s="44"/>
    </row>
    <row r="3674" spans="12:12" x14ac:dyDescent="0.2">
      <c r="L3674" s="44"/>
    </row>
    <row r="3675" spans="12:12" x14ac:dyDescent="0.2">
      <c r="L3675" s="44"/>
    </row>
    <row r="3676" spans="12:12" x14ac:dyDescent="0.2">
      <c r="L3676" s="44"/>
    </row>
    <row r="3677" spans="12:12" x14ac:dyDescent="0.2">
      <c r="L3677" s="44"/>
    </row>
    <row r="3678" spans="12:12" x14ac:dyDescent="0.2">
      <c r="L3678" s="44"/>
    </row>
    <row r="3679" spans="12:12" x14ac:dyDescent="0.2">
      <c r="L3679" s="44"/>
    </row>
    <row r="3680" spans="12:12" x14ac:dyDescent="0.2">
      <c r="L3680" s="44"/>
    </row>
    <row r="3681" spans="12:12" x14ac:dyDescent="0.2">
      <c r="L3681" s="44"/>
    </row>
    <row r="3682" spans="12:12" x14ac:dyDescent="0.2">
      <c r="L3682" s="44"/>
    </row>
    <row r="3683" spans="12:12" x14ac:dyDescent="0.2">
      <c r="L3683" s="44"/>
    </row>
    <row r="3684" spans="12:12" x14ac:dyDescent="0.2">
      <c r="L3684" s="44"/>
    </row>
    <row r="3685" spans="12:12" x14ac:dyDescent="0.2">
      <c r="L3685" s="44"/>
    </row>
    <row r="3686" spans="12:12" x14ac:dyDescent="0.2">
      <c r="L3686" s="44"/>
    </row>
    <row r="3687" spans="12:12" x14ac:dyDescent="0.2">
      <c r="L3687" s="44"/>
    </row>
    <row r="3688" spans="12:12" x14ac:dyDescent="0.2">
      <c r="L3688" s="44"/>
    </row>
    <row r="3689" spans="12:12" x14ac:dyDescent="0.2">
      <c r="L3689" s="44"/>
    </row>
    <row r="3690" spans="12:12" x14ac:dyDescent="0.2">
      <c r="L3690" s="44"/>
    </row>
    <row r="3691" spans="12:12" x14ac:dyDescent="0.2">
      <c r="L3691" s="44"/>
    </row>
    <row r="3692" spans="12:12" x14ac:dyDescent="0.2">
      <c r="L3692" s="44"/>
    </row>
    <row r="3693" spans="12:12" x14ac:dyDescent="0.2">
      <c r="L3693" s="44"/>
    </row>
    <row r="3694" spans="12:12" x14ac:dyDescent="0.2">
      <c r="L3694" s="44"/>
    </row>
    <row r="3695" spans="12:12" x14ac:dyDescent="0.2">
      <c r="L3695" s="44"/>
    </row>
    <row r="3696" spans="12:12" x14ac:dyDescent="0.2">
      <c r="L3696" s="44"/>
    </row>
    <row r="3697" spans="12:12" x14ac:dyDescent="0.2">
      <c r="L3697" s="44"/>
    </row>
    <row r="3698" spans="12:12" x14ac:dyDescent="0.2">
      <c r="L3698" s="44"/>
    </row>
    <row r="3699" spans="12:12" x14ac:dyDescent="0.2">
      <c r="L3699" s="44"/>
    </row>
    <row r="3700" spans="12:12" x14ac:dyDescent="0.2">
      <c r="L3700" s="44"/>
    </row>
    <row r="3701" spans="12:12" x14ac:dyDescent="0.2">
      <c r="L3701" s="44"/>
    </row>
    <row r="3702" spans="12:12" x14ac:dyDescent="0.2">
      <c r="L3702" s="44"/>
    </row>
    <row r="3703" spans="12:12" x14ac:dyDescent="0.2">
      <c r="L3703" s="44"/>
    </row>
    <row r="3704" spans="12:12" x14ac:dyDescent="0.2">
      <c r="L3704" s="44"/>
    </row>
    <row r="3705" spans="12:12" x14ac:dyDescent="0.2">
      <c r="L3705" s="44"/>
    </row>
    <row r="3706" spans="12:12" x14ac:dyDescent="0.2">
      <c r="L3706" s="44"/>
    </row>
    <row r="3707" spans="12:12" x14ac:dyDescent="0.2">
      <c r="L3707" s="44"/>
    </row>
    <row r="3708" spans="12:12" x14ac:dyDescent="0.2">
      <c r="L3708" s="44"/>
    </row>
    <row r="3709" spans="12:12" x14ac:dyDescent="0.2">
      <c r="L3709" s="44"/>
    </row>
    <row r="3710" spans="12:12" x14ac:dyDescent="0.2">
      <c r="L3710" s="44"/>
    </row>
    <row r="3711" spans="12:12" x14ac:dyDescent="0.2">
      <c r="L3711" s="44"/>
    </row>
    <row r="3712" spans="12:12" x14ac:dyDescent="0.2">
      <c r="L3712" s="44"/>
    </row>
    <row r="3713" spans="12:12" x14ac:dyDescent="0.2">
      <c r="L3713" s="44"/>
    </row>
    <row r="3714" spans="12:12" x14ac:dyDescent="0.2">
      <c r="L3714" s="44"/>
    </row>
    <row r="3715" spans="12:12" x14ac:dyDescent="0.2">
      <c r="L3715" s="44"/>
    </row>
    <row r="3716" spans="12:12" x14ac:dyDescent="0.2">
      <c r="L3716" s="44"/>
    </row>
    <row r="3717" spans="12:12" x14ac:dyDescent="0.2">
      <c r="L3717" s="44"/>
    </row>
    <row r="3718" spans="12:12" x14ac:dyDescent="0.2">
      <c r="L3718" s="44"/>
    </row>
    <row r="3719" spans="12:12" x14ac:dyDescent="0.2">
      <c r="L3719" s="44"/>
    </row>
    <row r="3720" spans="12:12" x14ac:dyDescent="0.2">
      <c r="L3720" s="44"/>
    </row>
    <row r="3721" spans="12:12" x14ac:dyDescent="0.2">
      <c r="L3721" s="44"/>
    </row>
    <row r="3722" spans="12:12" x14ac:dyDescent="0.2">
      <c r="L3722" s="44"/>
    </row>
    <row r="3723" spans="12:12" x14ac:dyDescent="0.2">
      <c r="L3723" s="44"/>
    </row>
    <row r="3724" spans="12:12" x14ac:dyDescent="0.2">
      <c r="L3724" s="44"/>
    </row>
    <row r="3725" spans="12:12" x14ac:dyDescent="0.2">
      <c r="L3725" s="44"/>
    </row>
    <row r="3726" spans="12:12" x14ac:dyDescent="0.2">
      <c r="L3726" s="44"/>
    </row>
    <row r="3727" spans="12:12" x14ac:dyDescent="0.2">
      <c r="L3727" s="44"/>
    </row>
    <row r="3728" spans="12:12" x14ac:dyDescent="0.2">
      <c r="L3728" s="44"/>
    </row>
    <row r="3729" spans="12:12" x14ac:dyDescent="0.2">
      <c r="L3729" s="44"/>
    </row>
    <row r="3730" spans="12:12" x14ac:dyDescent="0.2">
      <c r="L3730" s="44"/>
    </row>
    <row r="3731" spans="12:12" x14ac:dyDescent="0.2">
      <c r="L3731" s="44"/>
    </row>
    <row r="3732" spans="12:12" x14ac:dyDescent="0.2">
      <c r="L3732" s="44"/>
    </row>
    <row r="3733" spans="12:12" x14ac:dyDescent="0.2">
      <c r="L3733" s="44"/>
    </row>
    <row r="3734" spans="12:12" x14ac:dyDescent="0.2">
      <c r="L3734" s="44"/>
    </row>
    <row r="3735" spans="12:12" x14ac:dyDescent="0.2">
      <c r="L3735" s="44"/>
    </row>
    <row r="3736" spans="12:12" x14ac:dyDescent="0.2">
      <c r="L3736" s="44"/>
    </row>
    <row r="3737" spans="12:12" x14ac:dyDescent="0.2">
      <c r="L3737" s="44"/>
    </row>
    <row r="3738" spans="12:12" x14ac:dyDescent="0.2">
      <c r="L3738" s="44"/>
    </row>
    <row r="3739" spans="12:12" x14ac:dyDescent="0.2">
      <c r="L3739" s="44"/>
    </row>
    <row r="3740" spans="12:12" x14ac:dyDescent="0.2">
      <c r="L3740" s="44"/>
    </row>
    <row r="3741" spans="12:12" x14ac:dyDescent="0.2">
      <c r="L3741" s="44"/>
    </row>
    <row r="3742" spans="12:12" x14ac:dyDescent="0.2">
      <c r="L3742" s="44"/>
    </row>
    <row r="3743" spans="12:12" x14ac:dyDescent="0.2">
      <c r="L3743" s="44"/>
    </row>
    <row r="3744" spans="12:12" x14ac:dyDescent="0.2">
      <c r="L3744" s="44"/>
    </row>
    <row r="3745" spans="12:12" x14ac:dyDescent="0.2">
      <c r="L3745" s="44"/>
    </row>
    <row r="3746" spans="12:12" x14ac:dyDescent="0.2">
      <c r="L3746" s="44"/>
    </row>
    <row r="3747" spans="12:12" x14ac:dyDescent="0.2">
      <c r="L3747" s="44"/>
    </row>
    <row r="3748" spans="12:12" x14ac:dyDescent="0.2">
      <c r="L3748" s="44"/>
    </row>
    <row r="3749" spans="12:12" x14ac:dyDescent="0.2">
      <c r="L3749" s="44"/>
    </row>
    <row r="3750" spans="12:12" x14ac:dyDescent="0.2">
      <c r="L3750" s="44"/>
    </row>
    <row r="3751" spans="12:12" x14ac:dyDescent="0.2">
      <c r="L3751" s="44"/>
    </row>
    <row r="3752" spans="12:12" x14ac:dyDescent="0.2">
      <c r="L3752" s="44"/>
    </row>
    <row r="3753" spans="12:12" x14ac:dyDescent="0.2">
      <c r="L3753" s="44"/>
    </row>
    <row r="3754" spans="12:12" x14ac:dyDescent="0.2">
      <c r="L3754" s="44"/>
    </row>
    <row r="3755" spans="12:12" x14ac:dyDescent="0.2">
      <c r="L3755" s="44"/>
    </row>
    <row r="3756" spans="12:12" x14ac:dyDescent="0.2">
      <c r="L3756" s="44"/>
    </row>
    <row r="3757" spans="12:12" x14ac:dyDescent="0.2">
      <c r="L3757" s="44"/>
    </row>
    <row r="3758" spans="12:12" x14ac:dyDescent="0.2">
      <c r="L3758" s="44"/>
    </row>
    <row r="3759" spans="12:12" x14ac:dyDescent="0.2">
      <c r="L3759" s="44"/>
    </row>
    <row r="3760" spans="12:12" x14ac:dyDescent="0.2">
      <c r="L3760" s="44"/>
    </row>
    <row r="3761" spans="12:12" x14ac:dyDescent="0.2">
      <c r="L3761" s="44"/>
    </row>
    <row r="3762" spans="12:12" x14ac:dyDescent="0.2">
      <c r="L3762" s="44"/>
    </row>
    <row r="3763" spans="12:12" x14ac:dyDescent="0.2">
      <c r="L3763" s="44"/>
    </row>
    <row r="3764" spans="12:12" x14ac:dyDescent="0.2">
      <c r="L3764" s="44"/>
    </row>
    <row r="3765" spans="12:12" x14ac:dyDescent="0.2">
      <c r="L3765" s="44"/>
    </row>
    <row r="3766" spans="12:12" x14ac:dyDescent="0.2">
      <c r="L3766" s="44"/>
    </row>
    <row r="3767" spans="12:12" x14ac:dyDescent="0.2">
      <c r="L3767" s="44"/>
    </row>
    <row r="3768" spans="12:12" x14ac:dyDescent="0.2">
      <c r="L3768" s="44"/>
    </row>
    <row r="3769" spans="12:12" x14ac:dyDescent="0.2">
      <c r="L3769" s="44"/>
    </row>
    <row r="3770" spans="12:12" x14ac:dyDescent="0.2">
      <c r="L3770" s="44"/>
    </row>
    <row r="3771" spans="12:12" x14ac:dyDescent="0.2">
      <c r="L3771" s="44"/>
    </row>
    <row r="3772" spans="12:12" x14ac:dyDescent="0.2">
      <c r="L3772" s="44"/>
    </row>
    <row r="3773" spans="12:12" x14ac:dyDescent="0.2">
      <c r="L3773" s="44"/>
    </row>
    <row r="3774" spans="12:12" x14ac:dyDescent="0.2">
      <c r="L3774" s="44"/>
    </row>
    <row r="3775" spans="12:12" x14ac:dyDescent="0.2">
      <c r="L3775" s="44"/>
    </row>
    <row r="3776" spans="12:12" x14ac:dyDescent="0.2">
      <c r="L3776" s="44"/>
    </row>
    <row r="3777" spans="12:12" x14ac:dyDescent="0.2">
      <c r="L3777" s="44"/>
    </row>
    <row r="3778" spans="12:12" x14ac:dyDescent="0.2">
      <c r="L3778" s="44"/>
    </row>
    <row r="3779" spans="12:12" x14ac:dyDescent="0.2">
      <c r="L3779" s="44"/>
    </row>
    <row r="3780" spans="12:12" x14ac:dyDescent="0.2">
      <c r="L3780" s="44"/>
    </row>
    <row r="3781" spans="12:12" x14ac:dyDescent="0.2">
      <c r="L3781" s="44"/>
    </row>
    <row r="3782" spans="12:12" x14ac:dyDescent="0.2">
      <c r="L3782" s="44"/>
    </row>
    <row r="3783" spans="12:12" x14ac:dyDescent="0.2">
      <c r="L3783" s="44"/>
    </row>
    <row r="3784" spans="12:12" x14ac:dyDescent="0.2">
      <c r="L3784" s="44"/>
    </row>
    <row r="3785" spans="12:12" x14ac:dyDescent="0.2">
      <c r="L3785" s="44"/>
    </row>
    <row r="3786" spans="12:12" x14ac:dyDescent="0.2">
      <c r="L3786" s="44"/>
    </row>
    <row r="3787" spans="12:12" x14ac:dyDescent="0.2">
      <c r="L3787" s="44"/>
    </row>
    <row r="3788" spans="12:12" x14ac:dyDescent="0.2">
      <c r="L3788" s="44"/>
    </row>
    <row r="3789" spans="12:12" x14ac:dyDescent="0.2">
      <c r="L3789" s="44"/>
    </row>
  </sheetData>
  <mergeCells count="2">
    <mergeCell ref="F9:H9"/>
    <mergeCell ref="C9:D9"/>
  </mergeCells>
  <conditionalFormatting sqref="H7:I7">
    <cfRule type="cellIs" dxfId="0" priority="1" operator="notBetween">
      <formula>-0.01</formula>
      <formula>0.01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327" r:id="rId4" name="ComboBox1">
          <controlPr defaultSize="0" autoFill="0" autoLine="0" linkedCell="D5" listFillRange="SolveOptions" r:id="rId5">
            <anchor moveWithCells="1">
              <from>
                <xdr:col>3</xdr:col>
                <xdr:colOff>47625</xdr:colOff>
                <xdr:row>3</xdr:row>
                <xdr:rowOff>152400</xdr:rowOff>
              </from>
              <to>
                <xdr:col>4</xdr:col>
                <xdr:colOff>552450</xdr:colOff>
                <xdr:row>5</xdr:row>
                <xdr:rowOff>57150</xdr:rowOff>
              </to>
            </anchor>
          </controlPr>
        </control>
      </mc:Choice>
      <mc:Fallback>
        <control shapeId="9327" r:id="rId4" name="ComboBox1"/>
      </mc:Fallback>
    </mc:AlternateContent>
    <mc:AlternateContent xmlns:mc="http://schemas.openxmlformats.org/markup-compatibility/2006">
      <mc:Choice Requires="x14">
        <control shapeId="9217" r:id="rId6" name="Button 1">
          <controlPr defaultSize="0" print="0" autoFill="0" autoPict="0" macro="[0]!FormKg">
            <anchor moveWithCells="1" sizeWithCells="1">
              <from>
                <xdr:col>1</xdr:col>
                <xdr:colOff>85725</xdr:colOff>
                <xdr:row>3</xdr:row>
                <xdr:rowOff>95250</xdr:rowOff>
              </from>
              <to>
                <xdr:col>3</xdr:col>
                <xdr:colOff>0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325" r:id="rId7" name="Button 109">
          <controlPr defaultSize="0" print="0" autoFill="0" autoPict="0" macro="[0]!AllBeams">
            <anchor moveWithCells="1" sizeWithCells="1">
              <from>
                <xdr:col>11</xdr:col>
                <xdr:colOff>85725</xdr:colOff>
                <xdr:row>3</xdr:row>
                <xdr:rowOff>28575</xdr:rowOff>
              </from>
              <to>
                <xdr:col>13</xdr:col>
                <xdr:colOff>714375</xdr:colOff>
                <xdr:row>5</xdr:row>
                <xdr:rowOff>85725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9"/>
  <sheetViews>
    <sheetView showGridLines="0" workbookViewId="0">
      <selection activeCell="J31" sqref="J31"/>
    </sheetView>
  </sheetViews>
  <sheetFormatPr defaultRowHeight="12.75" x14ac:dyDescent="0.2"/>
  <cols>
    <col min="1" max="1" width="14.5703125" bestFit="1" customWidth="1"/>
  </cols>
  <sheetData>
    <row r="1" spans="1:2" x14ac:dyDescent="0.2">
      <c r="A1" s="3" t="s">
        <v>103</v>
      </c>
    </row>
    <row r="2" spans="1:2" x14ac:dyDescent="0.2">
      <c r="A2" s="4" t="s">
        <v>104</v>
      </c>
    </row>
    <row r="3" spans="1:2" x14ac:dyDescent="0.2">
      <c r="A3" s="4" t="s">
        <v>105</v>
      </c>
    </row>
    <row r="4" spans="1:2" x14ac:dyDescent="0.2">
      <c r="A4" s="4" t="s">
        <v>135</v>
      </c>
    </row>
    <row r="6" spans="1:2" x14ac:dyDescent="0.2">
      <c r="A6" s="5" t="s">
        <v>54</v>
      </c>
      <c r="B6">
        <v>0.9</v>
      </c>
    </row>
    <row r="7" spans="1:2" x14ac:dyDescent="0.2">
      <c r="A7" s="34" t="s">
        <v>55</v>
      </c>
      <c r="B7" s="24"/>
    </row>
    <row r="8" spans="1:2" x14ac:dyDescent="0.2">
      <c r="A8" s="34" t="s">
        <v>56</v>
      </c>
    </row>
    <row r="9" spans="1:2" x14ac:dyDescent="0.2">
      <c r="A9" s="4" t="s">
        <v>70</v>
      </c>
      <c r="B9">
        <v>200000</v>
      </c>
    </row>
  </sheetData>
  <pageMargins left="0.7" right="0.7" top="0.75" bottom="0.75" header="0.3" footer="0.3"/>
  <pageSetup paperSize="9" orientation="portrait" verticalDpi="0" r:id="rId1"/>
  <rowBreaks count="1" manualBreakCount="1">
    <brk id="5" max="16383" man="1"/>
  </rowBreaks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Draw">
                <anchor moveWithCells="1" sizeWithCells="1">
                  <from>
                    <xdr:col>0</xdr:col>
                    <xdr:colOff>161925</xdr:colOff>
                    <xdr:row>9</xdr:row>
                    <xdr:rowOff>114300</xdr:rowOff>
                  </from>
                  <to>
                    <xdr:col>1</xdr:col>
                    <xdr:colOff>342900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rawDeflect2">
                <anchor moveWithCells="1" sizeWithCells="1">
                  <from>
                    <xdr:col>0</xdr:col>
                    <xdr:colOff>104775</xdr:colOff>
                    <xdr:row>16</xdr:row>
                    <xdr:rowOff>38100</xdr:rowOff>
                  </from>
                  <to>
                    <xdr:col>1</xdr:col>
                    <xdr:colOff>571500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ReDraw">
                <anchor moveWithCells="1" sizeWithCells="1">
                  <from>
                    <xdr:col>0</xdr:col>
                    <xdr:colOff>161925</xdr:colOff>
                    <xdr:row>13</xdr:row>
                    <xdr:rowOff>76200</xdr:rowOff>
                  </from>
                  <to>
                    <xdr:col>1</xdr:col>
                    <xdr:colOff>361950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1616"/>
  <sheetViews>
    <sheetView showGridLines="0" topLeftCell="A7" workbookViewId="0">
      <selection activeCell="C3" sqref="C3:F3"/>
    </sheetView>
  </sheetViews>
  <sheetFormatPr defaultRowHeight="12.75" x14ac:dyDescent="0.2"/>
  <cols>
    <col min="13" max="13" width="9.140625" style="149"/>
    <col min="14" max="14" width="9.140625" style="91"/>
    <col min="15" max="15" width="9.140625" style="149"/>
    <col min="16" max="16" width="9.140625" style="92"/>
    <col min="17" max="17" width="9.140625" style="149"/>
    <col min="18" max="18" width="9.140625" style="92"/>
    <col min="19" max="19" width="9.140625" style="149"/>
    <col min="20" max="20" width="9.140625" style="92"/>
    <col min="21" max="21" width="9.140625" style="149"/>
    <col min="22" max="22" width="9.140625" style="92"/>
    <col min="23" max="23" width="9.140625" style="149"/>
    <col min="24" max="24" width="9.140625" style="92"/>
  </cols>
  <sheetData>
    <row r="1" spans="1:24" x14ac:dyDescent="0.2">
      <c r="A1" s="178" t="s">
        <v>102</v>
      </c>
      <c r="B1" s="178"/>
      <c r="C1" s="178"/>
      <c r="D1" s="178"/>
      <c r="E1" s="178"/>
      <c r="F1" s="178"/>
      <c r="G1" s="179" t="s">
        <v>140</v>
      </c>
      <c r="H1" s="180"/>
      <c r="I1" s="180"/>
      <c r="J1" s="180"/>
      <c r="K1" s="180"/>
      <c r="L1" s="180"/>
      <c r="M1" s="180"/>
      <c r="N1" s="180"/>
      <c r="O1" s="91"/>
      <c r="P1" s="91"/>
      <c r="Q1" s="91"/>
      <c r="R1" s="91"/>
      <c r="S1" s="91"/>
      <c r="T1" s="91"/>
      <c r="U1" s="91"/>
      <c r="V1" s="91"/>
      <c r="W1" s="91"/>
      <c r="X1" s="91"/>
    </row>
    <row r="2" spans="1:24" s="159" customFormat="1" x14ac:dyDescent="0.2">
      <c r="A2" s="91"/>
      <c r="B2" s="165"/>
      <c r="C2" s="94" t="s">
        <v>95</v>
      </c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</row>
    <row r="3" spans="1:24" s="156" customFormat="1" x14ac:dyDescent="0.2">
      <c r="A3" s="155"/>
      <c r="B3" s="166" t="s">
        <v>96</v>
      </c>
      <c r="C3" s="161">
        <v>15</v>
      </c>
      <c r="D3" s="151">
        <v>16</v>
      </c>
      <c r="E3" s="161">
        <v>17</v>
      </c>
      <c r="F3" s="151">
        <v>18</v>
      </c>
      <c r="G3" s="151"/>
      <c r="H3" s="151"/>
      <c r="I3" s="151"/>
      <c r="J3" s="151"/>
      <c r="K3" s="151"/>
      <c r="L3" s="151"/>
      <c r="M3" s="151"/>
      <c r="N3" s="160"/>
    </row>
    <row r="4" spans="1:24" s="157" customFormat="1" x14ac:dyDescent="0.2">
      <c r="A4" s="164"/>
      <c r="B4" s="166" t="s">
        <v>97</v>
      </c>
      <c r="C4" s="162"/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</row>
    <row r="5" spans="1:24" s="157" customFormat="1" x14ac:dyDescent="0.2">
      <c r="A5" s="164"/>
      <c r="B5" s="166" t="s">
        <v>98</v>
      </c>
      <c r="C5" s="16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</row>
    <row r="6" spans="1:24" s="157" customFormat="1" x14ac:dyDescent="0.2">
      <c r="A6" s="164"/>
      <c r="B6" s="166" t="s">
        <v>99</v>
      </c>
      <c r="C6" s="16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</row>
    <row r="7" spans="1:24" s="157" customFormat="1" x14ac:dyDescent="0.2">
      <c r="A7" s="164"/>
      <c r="B7" s="166" t="s">
        <v>100</v>
      </c>
      <c r="C7" s="16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</row>
    <row r="8" spans="1:24" s="158" customFormat="1" x14ac:dyDescent="0.2">
      <c r="A8" s="164"/>
      <c r="B8" s="166" t="s">
        <v>101</v>
      </c>
      <c r="C8" s="16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24" x14ac:dyDescent="0.2">
      <c r="A9" s="4"/>
      <c r="M9" s="91"/>
      <c r="O9" s="91"/>
      <c r="P9" s="91"/>
      <c r="Q9" s="91"/>
      <c r="R9" s="91"/>
      <c r="S9" s="91"/>
      <c r="T9" s="91"/>
      <c r="U9" s="91"/>
      <c r="V9" s="91"/>
      <c r="W9" s="91"/>
      <c r="X9" s="91"/>
    </row>
    <row r="10" spans="1:24" x14ac:dyDescent="0.2">
      <c r="A10" s="177" t="s">
        <v>94</v>
      </c>
      <c r="B10" s="177"/>
      <c r="C10" s="4"/>
      <c r="E10" t="str">
        <f>CHOOSE(Format!A8-2,"Shear Force, kN", "Bending Moment, kNm","Axial Force, kN", "X Deflection, m", "Y Deflection, m", "Z Rotation, radians")</f>
        <v>Y Deflection, m</v>
      </c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</row>
    <row r="11" spans="1:24" x14ac:dyDescent="0.2">
      <c r="L11" s="4"/>
      <c r="M11" s="173" t="s">
        <v>128</v>
      </c>
      <c r="N11" s="170"/>
      <c r="O11" s="173" t="s">
        <v>141</v>
      </c>
      <c r="P11" s="170"/>
      <c r="Q11" s="173" t="s">
        <v>142</v>
      </c>
      <c r="R11" s="170"/>
      <c r="S11" s="173" t="s">
        <v>143</v>
      </c>
      <c r="T11" s="170"/>
      <c r="U11" s="173" t="s">
        <v>144</v>
      </c>
      <c r="V11" s="170"/>
      <c r="W11" s="173" t="s">
        <v>145</v>
      </c>
      <c r="X11" s="170"/>
    </row>
    <row r="12" spans="1:24" x14ac:dyDescent="0.2">
      <c r="M12" s="127" t="s">
        <v>26</v>
      </c>
      <c r="N12" s="145" t="s">
        <v>89</v>
      </c>
      <c r="O12" s="90"/>
      <c r="P12" s="154"/>
      <c r="Q12" s="127"/>
      <c r="R12" s="145"/>
      <c r="S12" s="127"/>
      <c r="T12" s="145"/>
      <c r="U12" s="127"/>
      <c r="V12" s="145"/>
      <c r="W12" s="127"/>
      <c r="X12" s="154"/>
    </row>
    <row r="13" spans="1:24" x14ac:dyDescent="0.2">
      <c r="M13" s="93">
        <v>0</v>
      </c>
      <c r="N13" s="88">
        <v>-7.3300306861887708E-8</v>
      </c>
      <c r="Q13" s="93"/>
      <c r="R13" s="89"/>
      <c r="S13" s="93"/>
      <c r="T13" s="89"/>
      <c r="U13" s="93"/>
      <c r="V13" s="89"/>
      <c r="W13" s="93"/>
      <c r="X13" s="89"/>
    </row>
    <row r="14" spans="1:24" x14ac:dyDescent="0.2">
      <c r="M14" s="149">
        <v>1.2500000000000001E-2</v>
      </c>
      <c r="N14" s="91">
        <v>-8.0463543413188808E-8</v>
      </c>
    </row>
    <row r="15" spans="1:24" x14ac:dyDescent="0.2">
      <c r="M15" s="149">
        <v>2.5000000000000001E-2</v>
      </c>
      <c r="N15" s="91">
        <v>-8.8098038679430728E-8</v>
      </c>
    </row>
    <row r="16" spans="1:24" x14ac:dyDescent="0.2">
      <c r="M16" s="149">
        <v>3.7500000000000006E-2</v>
      </c>
      <c r="N16" s="91">
        <v>-9.6195915386133329E-8</v>
      </c>
    </row>
    <row r="17" spans="13:14" x14ac:dyDescent="0.2">
      <c r="M17" s="149">
        <v>0.05</v>
      </c>
      <c r="N17" s="91">
        <v>-1.047493371842418E-7</v>
      </c>
    </row>
    <row r="18" spans="13:14" x14ac:dyDescent="0.2">
      <c r="M18" s="149">
        <v>6.25E-2</v>
      </c>
      <c r="N18" s="91">
        <v>-1.1375050865012673E-7</v>
      </c>
    </row>
    <row r="19" spans="13:14" x14ac:dyDescent="0.2">
      <c r="M19" s="149">
        <v>7.4999999999999997E-2</v>
      </c>
      <c r="N19" s="91">
        <v>-1.2319167528558406E-7</v>
      </c>
    </row>
    <row r="20" spans="13:14" x14ac:dyDescent="0.2">
      <c r="M20" s="149">
        <v>8.7499999999999994E-2</v>
      </c>
      <c r="N20" s="91">
        <v>-1.3306512351783503E-7</v>
      </c>
    </row>
    <row r="21" spans="13:14" x14ac:dyDescent="0.2">
      <c r="M21" s="149">
        <v>9.9999999999999992E-2</v>
      </c>
      <c r="N21" s="91">
        <v>-1.4336318069952637E-7</v>
      </c>
    </row>
    <row r="22" spans="13:14" x14ac:dyDescent="0.2">
      <c r="M22" s="149">
        <v>0.11249999999999999</v>
      </c>
      <c r="N22" s="91">
        <v>-1.5407821510873007E-7</v>
      </c>
    </row>
    <row r="23" spans="13:14" x14ac:dyDescent="0.2">
      <c r="M23" s="149">
        <v>0.12499999999999999</v>
      </c>
      <c r="N23" s="91">
        <v>-1.652026359489435E-7</v>
      </c>
    </row>
    <row r="24" spans="13:14" x14ac:dyDescent="0.2">
      <c r="M24" s="149">
        <v>0.13749999999999998</v>
      </c>
      <c r="N24" s="91">
        <v>-1.7672889334908941E-7</v>
      </c>
    </row>
    <row r="25" spans="13:14" x14ac:dyDescent="0.2">
      <c r="M25" s="149">
        <v>0.15</v>
      </c>
      <c r="N25" s="91">
        <v>-1.8864947836351594E-7</v>
      </c>
    </row>
    <row r="26" spans="13:14" x14ac:dyDescent="0.2">
      <c r="M26" s="149">
        <v>0.16250000000000001</v>
      </c>
      <c r="N26" s="91">
        <v>-2.0095692297199656E-7</v>
      </c>
    </row>
    <row r="27" spans="13:14" x14ac:dyDescent="0.2">
      <c r="M27" s="149">
        <v>0.17500000000000002</v>
      </c>
      <c r="N27" s="91">
        <v>-2.1364380007973007E-7</v>
      </c>
    </row>
    <row r="28" spans="13:14" x14ac:dyDescent="0.2">
      <c r="M28" s="149">
        <v>0.18750000000000003</v>
      </c>
      <c r="N28" s="91">
        <v>-2.2670272351734069E-7</v>
      </c>
    </row>
    <row r="29" spans="13:14" x14ac:dyDescent="0.2">
      <c r="M29" s="149">
        <v>0.20000000000000004</v>
      </c>
      <c r="N29" s="91">
        <v>-2.4012634804087792E-7</v>
      </c>
    </row>
    <row r="30" spans="13:14" x14ac:dyDescent="0.2">
      <c r="M30" s="149">
        <v>0.21250000000000005</v>
      </c>
      <c r="N30" s="91">
        <v>-2.5390736933181675E-7</v>
      </c>
    </row>
    <row r="31" spans="13:14" x14ac:dyDescent="0.2">
      <c r="M31" s="149">
        <v>0.22500000000000006</v>
      </c>
      <c r="N31" s="91">
        <v>-2.6803852399705746E-7</v>
      </c>
    </row>
    <row r="32" spans="13:14" x14ac:dyDescent="0.2">
      <c r="M32" s="149">
        <v>0.23750000000000007</v>
      </c>
      <c r="N32" s="91">
        <v>-2.8251258956892569E-7</v>
      </c>
    </row>
    <row r="33" spans="13:14" x14ac:dyDescent="0.2">
      <c r="M33" s="149">
        <v>0.25000000000000006</v>
      </c>
      <c r="N33" s="91">
        <v>-2.9732238450517234E-7</v>
      </c>
    </row>
    <row r="34" spans="13:14" x14ac:dyDescent="0.2">
      <c r="M34" s="149">
        <v>0.26250000000000007</v>
      </c>
      <c r="N34" s="91">
        <v>-3.1246076818897396E-7</v>
      </c>
    </row>
    <row r="35" spans="13:14" x14ac:dyDescent="0.2">
      <c r="M35" s="149">
        <v>0.27500000000000008</v>
      </c>
      <c r="N35" s="91">
        <v>-3.2792064092893223E-7</v>
      </c>
    </row>
    <row r="36" spans="13:14" x14ac:dyDescent="0.2">
      <c r="M36" s="149">
        <v>0.28750000000000009</v>
      </c>
      <c r="N36" s="91">
        <v>-3.4369494395907419E-7</v>
      </c>
    </row>
    <row r="37" spans="13:14" x14ac:dyDescent="0.2">
      <c r="M37" s="149">
        <v>0.3000000000000001</v>
      </c>
      <c r="N37" s="91">
        <v>-3.5977665943885228E-7</v>
      </c>
    </row>
    <row r="38" spans="13:14" x14ac:dyDescent="0.2">
      <c r="M38" s="149">
        <v>0.31250000000000011</v>
      </c>
      <c r="N38" s="91">
        <v>-3.7615881045314439E-7</v>
      </c>
    </row>
    <row r="39" spans="13:14" x14ac:dyDescent="0.2">
      <c r="M39" s="149">
        <v>0.32500000000000012</v>
      </c>
      <c r="N39" s="91">
        <v>-3.9283446101225364E-7</v>
      </c>
    </row>
    <row r="40" spans="13:14" x14ac:dyDescent="0.2">
      <c r="M40" s="149">
        <v>0.33750000000000013</v>
      </c>
      <c r="N40" s="91">
        <v>-4.0979671605190864E-7</v>
      </c>
    </row>
    <row r="41" spans="13:14" x14ac:dyDescent="0.2">
      <c r="M41" s="149">
        <v>0.35000000000000014</v>
      </c>
      <c r="N41" s="91">
        <v>-4.2703872143326324E-7</v>
      </c>
    </row>
    <row r="42" spans="13:14" x14ac:dyDescent="0.2">
      <c r="M42" s="149">
        <v>0.36250000000000016</v>
      </c>
      <c r="N42" s="91">
        <v>-4.4455366394289685E-7</v>
      </c>
    </row>
    <row r="43" spans="13:14" x14ac:dyDescent="0.2">
      <c r="M43" s="149">
        <v>0.37500000000000017</v>
      </c>
      <c r="N43" s="91">
        <v>-4.6233477129281392E-7</v>
      </c>
    </row>
    <row r="44" spans="13:14" x14ac:dyDescent="0.2">
      <c r="M44" s="149">
        <v>0.38750000000000018</v>
      </c>
      <c r="N44" s="91">
        <v>-4.8037531212044449E-7</v>
      </c>
    </row>
    <row r="45" spans="13:14" x14ac:dyDescent="0.2">
      <c r="M45" s="149">
        <v>0.40000000000000019</v>
      </c>
      <c r="N45" s="91">
        <v>-4.9866859598864393E-7</v>
      </c>
    </row>
    <row r="46" spans="13:14" x14ac:dyDescent="0.2">
      <c r="M46" s="149">
        <v>0.4125000000000002</v>
      </c>
      <c r="N46" s="91">
        <v>-5.1720797338569308E-7</v>
      </c>
    </row>
    <row r="47" spans="13:14" x14ac:dyDescent="0.2">
      <c r="M47" s="149">
        <v>0.42500000000000021</v>
      </c>
      <c r="N47" s="91">
        <v>-5.3598683572529793E-7</v>
      </c>
    </row>
    <row r="48" spans="13:14" x14ac:dyDescent="0.2">
      <c r="M48" s="149">
        <v>0.43750000000000022</v>
      </c>
      <c r="N48" s="91">
        <v>-5.5499861534658993E-7</v>
      </c>
    </row>
    <row r="49" spans="13:14" x14ac:dyDescent="0.2">
      <c r="M49" s="149">
        <v>0.45000000000000023</v>
      </c>
      <c r="N49" s="91">
        <v>-5.7423678551412578E-7</v>
      </c>
    </row>
    <row r="50" spans="13:14" x14ac:dyDescent="0.2">
      <c r="M50" s="149">
        <v>0.46250000000000024</v>
      </c>
      <c r="N50" s="91">
        <v>-5.9369486041788764E-7</v>
      </c>
    </row>
    <row r="51" spans="13:14" x14ac:dyDescent="0.2">
      <c r="M51" s="149">
        <v>0.47500000000000026</v>
      </c>
      <c r="N51" s="91">
        <v>-6.1336639517328334E-7</v>
      </c>
    </row>
    <row r="52" spans="13:14" x14ac:dyDescent="0.2">
      <c r="M52" s="149">
        <v>0.48750000000000027</v>
      </c>
      <c r="N52" s="91">
        <v>-6.3324498582114556E-7</v>
      </c>
    </row>
    <row r="53" spans="13:14" x14ac:dyDescent="0.2">
      <c r="M53" s="149">
        <v>0.50000000000000022</v>
      </c>
      <c r="N53" s="91">
        <v>-6.5332426932773251E-7</v>
      </c>
    </row>
    <row r="54" spans="13:14" x14ac:dyDescent="0.2">
      <c r="M54" s="149">
        <v>0.51250000000000018</v>
      </c>
      <c r="N54" s="91">
        <v>-6.7359792358472789E-7</v>
      </c>
    </row>
    <row r="55" spans="13:14" x14ac:dyDescent="0.2">
      <c r="M55" s="149">
        <v>0.52500000000000013</v>
      </c>
      <c r="N55" s="91">
        <v>-6.9405966740924055E-7</v>
      </c>
    </row>
    <row r="56" spans="13:14" x14ac:dyDescent="0.2">
      <c r="M56" s="149">
        <v>0.53750000000000009</v>
      </c>
      <c r="N56" s="91">
        <v>-7.1470326054380509E-7</v>
      </c>
    </row>
    <row r="57" spans="13:14" x14ac:dyDescent="0.2">
      <c r="M57" s="149">
        <v>0.55000000000000004</v>
      </c>
      <c r="N57" s="91">
        <v>-7.3552250365638106E-7</v>
      </c>
    </row>
    <row r="58" spans="13:14" x14ac:dyDescent="0.2">
      <c r="M58" s="149">
        <v>0.5625</v>
      </c>
      <c r="N58" s="91">
        <v>-7.5651123834035359E-7</v>
      </c>
    </row>
    <row r="59" spans="13:14" x14ac:dyDescent="0.2">
      <c r="M59" s="149">
        <v>0.57499999999999996</v>
      </c>
      <c r="N59" s="91">
        <v>-7.7766334711453294E-7</v>
      </c>
    </row>
    <row r="60" spans="13:14" x14ac:dyDescent="0.2">
      <c r="M60" s="149">
        <v>0.58749999999999991</v>
      </c>
      <c r="N60" s="91">
        <v>-7.9897275342315516E-7</v>
      </c>
    </row>
    <row r="61" spans="13:14" x14ac:dyDescent="0.2">
      <c r="M61" s="149">
        <v>0.59999999999999987</v>
      </c>
      <c r="N61" s="91">
        <v>-8.204334216358812E-7</v>
      </c>
    </row>
    <row r="62" spans="13:14" x14ac:dyDescent="0.2">
      <c r="M62" s="149">
        <v>0.61249999999999982</v>
      </c>
      <c r="N62" s="91">
        <v>-8.4203935704779784E-7</v>
      </c>
    </row>
    <row r="63" spans="13:14" x14ac:dyDescent="0.2">
      <c r="M63" s="149">
        <v>0.62499999999999978</v>
      </c>
      <c r="N63" s="91">
        <v>-8.6378460587941676E-7</v>
      </c>
    </row>
    <row r="64" spans="13:14" x14ac:dyDescent="0.2">
      <c r="M64" s="149">
        <v>0.63749999999999973</v>
      </c>
      <c r="N64" s="91">
        <v>-8.8566325527667522E-7</v>
      </c>
    </row>
    <row r="65" spans="13:14" x14ac:dyDescent="0.2">
      <c r="M65" s="149">
        <v>0.64999999999999969</v>
      </c>
      <c r="N65" s="91">
        <v>-9.0766943331093593E-7</v>
      </c>
    </row>
    <row r="66" spans="13:14" x14ac:dyDescent="0.2">
      <c r="M66" s="149">
        <v>0.66249999999999964</v>
      </c>
      <c r="N66" s="91">
        <v>-9.2979730897898676E-7</v>
      </c>
    </row>
    <row r="67" spans="13:14" x14ac:dyDescent="0.2">
      <c r="M67" s="149">
        <v>0.6749999999999996</v>
      </c>
      <c r="N67" s="91">
        <v>-9.5204109220304093E-7</v>
      </c>
    </row>
    <row r="68" spans="13:14" x14ac:dyDescent="0.2">
      <c r="M68" s="149">
        <v>0.68749999999999956</v>
      </c>
      <c r="N68" s="91">
        <v>-9.7439503383073733E-7</v>
      </c>
    </row>
    <row r="69" spans="13:14" x14ac:dyDescent="0.2">
      <c r="M69" s="149">
        <v>0.69999999999999951</v>
      </c>
      <c r="N69" s="91">
        <v>-9.968534256351401E-7</v>
      </c>
    </row>
    <row r="70" spans="13:14" x14ac:dyDescent="0.2">
      <c r="M70" s="149">
        <v>0.71249999999999947</v>
      </c>
      <c r="N70" s="91">
        <v>-1.0194106003147384E-6</v>
      </c>
    </row>
    <row r="71" spans="13:14" x14ac:dyDescent="0.2">
      <c r="M71" s="149">
        <v>0.72499999999999942</v>
      </c>
      <c r="N71" s="91">
        <v>-1.0420609314934471E-6</v>
      </c>
    </row>
    <row r="72" spans="13:14" x14ac:dyDescent="0.2">
      <c r="M72" s="149">
        <v>0.73749999999999938</v>
      </c>
      <c r="N72" s="91">
        <v>-1.0647988337206066E-6</v>
      </c>
    </row>
    <row r="73" spans="13:14" x14ac:dyDescent="0.2">
      <c r="M73" s="149">
        <v>0.74999999999999933</v>
      </c>
      <c r="N73" s="91">
        <v>-1.0876187624709819E-6</v>
      </c>
    </row>
    <row r="74" spans="13:14" x14ac:dyDescent="0.2">
      <c r="M74" s="149">
        <v>0.76249999999999929</v>
      </c>
      <c r="N74" s="91">
        <v>-1.1105152141447644E-6</v>
      </c>
    </row>
    <row r="75" spans="13:14" x14ac:dyDescent="0.2">
      <c r="M75" s="149">
        <v>0.77499999999999925</v>
      </c>
      <c r="N75" s="91">
        <v>-1.13348272606757E-6</v>
      </c>
    </row>
    <row r="76" spans="13:14" x14ac:dyDescent="0.2">
      <c r="M76" s="149">
        <v>0.7874999999999992</v>
      </c>
      <c r="N76" s="91">
        <v>-1.1565158764904406E-6</v>
      </c>
    </row>
    <row r="77" spans="13:14" x14ac:dyDescent="0.2">
      <c r="M77" s="149">
        <v>0.79999999999999916</v>
      </c>
      <c r="N77" s="91">
        <v>-1.1796092845898427E-6</v>
      </c>
    </row>
    <row r="78" spans="13:14" x14ac:dyDescent="0.2">
      <c r="M78" s="149">
        <v>0.81249999999999911</v>
      </c>
      <c r="N78" s="91">
        <v>-1.202757610467669E-6</v>
      </c>
    </row>
    <row r="79" spans="13:14" x14ac:dyDescent="0.2">
      <c r="M79" s="149">
        <v>0.82499999999999907</v>
      </c>
      <c r="N79" s="91">
        <v>-1.2259555551512369E-6</v>
      </c>
    </row>
    <row r="80" spans="13:14" x14ac:dyDescent="0.2">
      <c r="M80" s="149">
        <v>0.83749999999999902</v>
      </c>
      <c r="N80" s="91">
        <v>-1.2491978605932895E-6</v>
      </c>
    </row>
    <row r="81" spans="13:14" x14ac:dyDescent="0.2">
      <c r="M81" s="149">
        <v>0.84999999999999898</v>
      </c>
      <c r="N81" s="91">
        <v>-1.2724793096719958E-6</v>
      </c>
    </row>
    <row r="82" spans="13:14" x14ac:dyDescent="0.2">
      <c r="M82" s="149">
        <v>0.86249999999999893</v>
      </c>
      <c r="N82" s="91">
        <v>-1.2957947261909488E-6</v>
      </c>
    </row>
    <row r="83" spans="13:14" x14ac:dyDescent="0.2">
      <c r="M83" s="149">
        <v>0.87499999999999889</v>
      </c>
      <c r="N83" s="91">
        <v>-1.319138974879168E-6</v>
      </c>
    </row>
    <row r="84" spans="13:14" x14ac:dyDescent="0.2">
      <c r="M84" s="149">
        <v>0.88749999999999885</v>
      </c>
      <c r="N84" s="91">
        <v>-1.3425069613910978E-6</v>
      </c>
    </row>
    <row r="85" spans="13:14" x14ac:dyDescent="0.2">
      <c r="M85" s="149">
        <v>0.8999999999999988</v>
      </c>
      <c r="N85" s="91">
        <v>-1.3658936323066082E-6</v>
      </c>
    </row>
    <row r="86" spans="13:14" x14ac:dyDescent="0.2">
      <c r="M86" s="149">
        <v>0.91249999999999876</v>
      </c>
      <c r="N86" s="91">
        <v>-1.3892939751309941E-6</v>
      </c>
    </row>
    <row r="87" spans="13:14" x14ac:dyDescent="0.2">
      <c r="M87" s="149">
        <v>0.92499999999999871</v>
      </c>
      <c r="N87" s="91">
        <v>-1.4127030182949762E-6</v>
      </c>
    </row>
    <row r="88" spans="13:14" x14ac:dyDescent="0.2">
      <c r="M88" s="149">
        <v>0.93749999999999867</v>
      </c>
      <c r="N88" s="91">
        <v>-1.4361158311547011E-6</v>
      </c>
    </row>
    <row r="89" spans="13:14" x14ac:dyDescent="0.2">
      <c r="M89" s="149">
        <v>0.94999999999999862</v>
      </c>
      <c r="N89" s="91">
        <v>-1.4595275239917387E-6</v>
      </c>
    </row>
    <row r="90" spans="13:14" x14ac:dyDescent="0.2">
      <c r="M90" s="149">
        <v>0.96249999999999858</v>
      </c>
      <c r="N90" s="91">
        <v>-1.482933248013087E-6</v>
      </c>
    </row>
    <row r="91" spans="13:14" x14ac:dyDescent="0.2">
      <c r="M91" s="149">
        <v>0.97499999999999853</v>
      </c>
      <c r="N91" s="91">
        <v>-1.5063281953511676E-6</v>
      </c>
    </row>
    <row r="92" spans="13:14" x14ac:dyDescent="0.2">
      <c r="M92" s="149">
        <v>0.98749999999999849</v>
      </c>
      <c r="N92" s="91">
        <v>-1.5297075990638278E-6</v>
      </c>
    </row>
    <row r="93" spans="13:14" x14ac:dyDescent="0.2">
      <c r="M93" s="149">
        <v>0.99999999999999845</v>
      </c>
      <c r="N93" s="91">
        <v>-1.55306673313434E-6</v>
      </c>
    </row>
    <row r="94" spans="13:14" x14ac:dyDescent="0.2">
      <c r="M94" s="149">
        <v>1.0124999999999984</v>
      </c>
      <c r="N94" s="91">
        <v>-1.5764009124714028E-6</v>
      </c>
    </row>
    <row r="95" spans="13:14" x14ac:dyDescent="0.2">
      <c r="M95" s="149">
        <v>1.0249999999999984</v>
      </c>
      <c r="N95" s="91">
        <v>-1.5997054929091399E-6</v>
      </c>
    </row>
    <row r="96" spans="13:14" x14ac:dyDescent="0.2">
      <c r="M96" s="149">
        <v>1.0374999999999983</v>
      </c>
      <c r="N96" s="91">
        <v>-1.6229758712070996E-6</v>
      </c>
    </row>
    <row r="97" spans="13:14" x14ac:dyDescent="0.2">
      <c r="M97" s="149">
        <v>1.0499999999999983</v>
      </c>
      <c r="N97" s="91">
        <v>-1.6462074850502563E-6</v>
      </c>
    </row>
    <row r="98" spans="13:14" x14ac:dyDescent="0.2">
      <c r="M98" s="149">
        <v>1.0624999999999982</v>
      </c>
      <c r="N98" s="91">
        <v>-1.66939581304901E-6</v>
      </c>
    </row>
    <row r="99" spans="13:14" x14ac:dyDescent="0.2">
      <c r="M99" s="149">
        <v>1.0749999999999982</v>
      </c>
      <c r="N99" s="91">
        <v>-1.6925363747391852E-6</v>
      </c>
    </row>
    <row r="100" spans="13:14" x14ac:dyDescent="0.2">
      <c r="M100" s="149">
        <v>1.0874999999999981</v>
      </c>
      <c r="N100" s="91">
        <v>-1.715624730582032E-6</v>
      </c>
    </row>
    <row r="101" spans="13:14" x14ac:dyDescent="0.2">
      <c r="M101" s="149">
        <v>1.0999999999999981</v>
      </c>
      <c r="N101" s="91">
        <v>-1.7386564819642263E-6</v>
      </c>
    </row>
    <row r="102" spans="13:14" x14ac:dyDescent="0.2">
      <c r="M102" s="149">
        <v>1.112499999999998</v>
      </c>
      <c r="N102" s="91">
        <v>-1.7616272711978692E-6</v>
      </c>
    </row>
    <row r="103" spans="13:14" x14ac:dyDescent="0.2">
      <c r="M103" s="149">
        <v>1.124999999999998</v>
      </c>
      <c r="N103" s="91">
        <v>-1.7845327815204872E-6</v>
      </c>
    </row>
    <row r="104" spans="13:14" x14ac:dyDescent="0.2">
      <c r="M104" s="149">
        <v>1.137499999999998</v>
      </c>
      <c r="N104" s="91">
        <v>-1.8073687370950314E-6</v>
      </c>
    </row>
    <row r="105" spans="13:14" x14ac:dyDescent="0.2">
      <c r="M105" s="149">
        <v>1.1499999999999979</v>
      </c>
      <c r="N105" s="91">
        <v>-1.8301309030098794E-6</v>
      </c>
    </row>
    <row r="106" spans="13:14" x14ac:dyDescent="0.2">
      <c r="M106" s="149">
        <v>1.1624999999999979</v>
      </c>
      <c r="N106" s="91">
        <v>-1.8528150852788342E-6</v>
      </c>
    </row>
    <row r="107" spans="13:14" x14ac:dyDescent="0.2">
      <c r="M107" s="149">
        <v>1.1749999999999978</v>
      </c>
      <c r="N107" s="91">
        <v>-1.8754171308411227E-6</v>
      </c>
    </row>
    <row r="108" spans="13:14" x14ac:dyDescent="0.2">
      <c r="M108" s="149">
        <v>1.1874999999999978</v>
      </c>
      <c r="N108" s="91">
        <v>-1.8979329275613984E-6</v>
      </c>
    </row>
    <row r="109" spans="13:14" x14ac:dyDescent="0.2">
      <c r="M109" s="149">
        <v>1.1999999999999977</v>
      </c>
      <c r="N109" s="91">
        <v>-1.9203584042297401E-6</v>
      </c>
    </row>
    <row r="110" spans="13:14" x14ac:dyDescent="0.2">
      <c r="M110" s="149">
        <v>1.2124999999999977</v>
      </c>
      <c r="N110" s="91">
        <v>-1.9426895305616519E-6</v>
      </c>
    </row>
    <row r="111" spans="13:14" x14ac:dyDescent="0.2">
      <c r="M111" s="149">
        <v>1.2249999999999976</v>
      </c>
      <c r="N111" s="91">
        <v>-1.9649223171980621E-6</v>
      </c>
    </row>
    <row r="112" spans="13:14" x14ac:dyDescent="0.2">
      <c r="M112" s="149">
        <v>1.2374999999999976</v>
      </c>
      <c r="N112" s="91">
        <v>-1.9870528157053261E-6</v>
      </c>
    </row>
    <row r="113" spans="13:14" x14ac:dyDescent="0.2">
      <c r="M113" s="149">
        <v>1.2499999999999976</v>
      </c>
      <c r="N113" s="91">
        <v>-2.0090771185752236E-6</v>
      </c>
    </row>
    <row r="114" spans="13:14" x14ac:dyDescent="0.2">
      <c r="M114" s="149">
        <v>1.2624999999999975</v>
      </c>
      <c r="N114" s="91">
        <v>-2.0309913592249603E-6</v>
      </c>
    </row>
    <row r="115" spans="13:14" x14ac:dyDescent="0.2">
      <c r="M115" s="149">
        <v>1.2749999999999975</v>
      </c>
      <c r="N115" s="91">
        <v>-2.0527917119971667E-6</v>
      </c>
    </row>
    <row r="116" spans="13:14" x14ac:dyDescent="0.2">
      <c r="M116" s="149">
        <v>1.2874999999999974</v>
      </c>
      <c r="N116" s="91">
        <v>-2.0744743921599E-6</v>
      </c>
    </row>
    <row r="117" spans="13:14" x14ac:dyDescent="0.2">
      <c r="M117" s="149">
        <v>1.2999999999999974</v>
      </c>
      <c r="N117" s="91">
        <v>-2.0960356559066401E-6</v>
      </c>
    </row>
    <row r="118" spans="13:14" x14ac:dyDescent="0.2">
      <c r="M118" s="149">
        <v>1.3124999999999973</v>
      </c>
      <c r="N118" s="91">
        <v>-2.1174718003562936E-6</v>
      </c>
    </row>
    <row r="119" spans="13:14" x14ac:dyDescent="0.2">
      <c r="M119" s="149">
        <v>1.3249999999999973</v>
      </c>
      <c r="N119" s="91">
        <v>-2.1387791635531939E-6</v>
      </c>
    </row>
    <row r="120" spans="13:14" x14ac:dyDescent="0.2">
      <c r="M120" s="149">
        <v>1.3374999999999972</v>
      </c>
      <c r="N120" s="91">
        <v>-2.1599541244670985E-6</v>
      </c>
    </row>
    <row r="121" spans="13:14" x14ac:dyDescent="0.2">
      <c r="M121" s="149">
        <v>1.3499999999999972</v>
      </c>
      <c r="N121" s="91">
        <v>-2.1809931029931899E-6</v>
      </c>
    </row>
    <row r="122" spans="13:14" x14ac:dyDescent="0.2">
      <c r="M122" s="149">
        <v>1.3624999999999972</v>
      </c>
      <c r="N122" s="91">
        <v>-2.2018925599520759E-6</v>
      </c>
    </row>
    <row r="123" spans="13:14" x14ac:dyDescent="0.2">
      <c r="M123" s="149">
        <v>1.3749999999999971</v>
      </c>
      <c r="N123" s="91">
        <v>-2.2226489970897904E-6</v>
      </c>
    </row>
    <row r="124" spans="13:14" x14ac:dyDescent="0.2">
      <c r="M124" s="149">
        <v>1.3874999999999971</v>
      </c>
      <c r="N124" s="91">
        <v>-2.2432589570777926E-6</v>
      </c>
    </row>
    <row r="125" spans="13:14" x14ac:dyDescent="0.2">
      <c r="M125" s="149">
        <v>1.399999999999997</v>
      </c>
      <c r="N125" s="91">
        <v>-2.2637190235129679E-6</v>
      </c>
    </row>
    <row r="126" spans="13:14" x14ac:dyDescent="0.2">
      <c r="M126" s="149">
        <v>1.412499999999997</v>
      </c>
      <c r="N126" s="91">
        <v>-2.284025820917624E-6</v>
      </c>
    </row>
    <row r="127" spans="13:14" x14ac:dyDescent="0.2">
      <c r="M127" s="149">
        <v>1.4249999999999969</v>
      </c>
      <c r="N127" s="91">
        <v>-2.3041760147394969E-6</v>
      </c>
    </row>
    <row r="128" spans="13:14" x14ac:dyDescent="0.2">
      <c r="M128" s="149">
        <v>1.4374999999999969</v>
      </c>
      <c r="N128" s="91">
        <v>-2.3241663113517474E-6</v>
      </c>
    </row>
    <row r="129" spans="13:14" x14ac:dyDescent="0.2">
      <c r="M129" s="149">
        <v>1.4499999999999968</v>
      </c>
      <c r="N129" s="91">
        <v>-2.3439934580529609E-6</v>
      </c>
    </row>
    <row r="130" spans="13:14" x14ac:dyDescent="0.2">
      <c r="M130" s="149">
        <v>1.4624999999999968</v>
      </c>
      <c r="N130" s="91">
        <v>-2.3636542430671486E-6</v>
      </c>
    </row>
    <row r="131" spans="13:14" x14ac:dyDescent="0.2">
      <c r="M131" s="149">
        <v>1.4749999999999968</v>
      </c>
      <c r="N131" s="91">
        <v>-2.3831454955437478E-6</v>
      </c>
    </row>
    <row r="132" spans="13:14" x14ac:dyDescent="0.2">
      <c r="M132" s="149">
        <v>1.4874999999999967</v>
      </c>
      <c r="N132" s="91">
        <v>-2.4024640855576199E-6</v>
      </c>
    </row>
    <row r="133" spans="13:14" x14ac:dyDescent="0.2">
      <c r="M133" s="149">
        <v>1.4999999999999967</v>
      </c>
      <c r="N133" s="91">
        <v>-2.4216069241090516E-6</v>
      </c>
    </row>
    <row r="134" spans="13:14" x14ac:dyDescent="0.2">
      <c r="M134" s="149">
        <v>1.5124999999999966</v>
      </c>
      <c r="N134" s="91">
        <v>-2.4405709631237555E-6</v>
      </c>
    </row>
    <row r="135" spans="13:14" x14ac:dyDescent="0.2">
      <c r="M135" s="149">
        <v>1.5249999999999966</v>
      </c>
      <c r="N135" s="91">
        <v>-2.4593531954528698E-6</v>
      </c>
    </row>
    <row r="136" spans="13:14" x14ac:dyDescent="0.2">
      <c r="M136" s="149">
        <v>1.5374999999999965</v>
      </c>
      <c r="N136" s="91">
        <v>-2.4779506548729587E-6</v>
      </c>
    </row>
    <row r="137" spans="13:14" x14ac:dyDescent="0.2">
      <c r="M137" s="149">
        <v>1.5499999999999965</v>
      </c>
      <c r="N137" s="91">
        <v>-2.4963604160860098E-6</v>
      </c>
    </row>
    <row r="138" spans="13:14" x14ac:dyDescent="0.2">
      <c r="M138" s="149">
        <v>1.5624999999999964</v>
      </c>
      <c r="N138" s="91">
        <v>-2.5145795947194375E-6</v>
      </c>
    </row>
    <row r="139" spans="13:14" x14ac:dyDescent="0.2">
      <c r="M139" s="149">
        <v>1.5749999999999964</v>
      </c>
      <c r="N139" s="91">
        <v>-2.532605347326082E-6</v>
      </c>
    </row>
    <row r="140" spans="13:14" x14ac:dyDescent="0.2">
      <c r="M140" s="149">
        <v>1.5874999999999964</v>
      </c>
      <c r="N140" s="91">
        <v>-2.5504348713842067E-6</v>
      </c>
    </row>
    <row r="141" spans="13:14" x14ac:dyDescent="0.2">
      <c r="M141" s="149">
        <v>1.5999999999999963</v>
      </c>
      <c r="N141" s="91">
        <v>-2.5680654052975023E-6</v>
      </c>
    </row>
    <row r="142" spans="13:14" x14ac:dyDescent="0.2">
      <c r="M142" s="149">
        <v>1.6124999999999963</v>
      </c>
      <c r="N142" s="91">
        <v>-2.5854942283950848E-6</v>
      </c>
    </row>
    <row r="143" spans="13:14" x14ac:dyDescent="0.2">
      <c r="M143" s="149">
        <v>1.6249999999999962</v>
      </c>
      <c r="N143" s="91">
        <v>-2.6027186609314957E-6</v>
      </c>
    </row>
    <row r="144" spans="13:14" x14ac:dyDescent="0.2">
      <c r="M144" s="149">
        <v>1.6374999999999962</v>
      </c>
      <c r="N144" s="91">
        <v>-2.619736064086699E-6</v>
      </c>
    </row>
    <row r="145" spans="13:14" x14ac:dyDescent="0.2">
      <c r="M145" s="149">
        <v>1.6499999999999961</v>
      </c>
      <c r="N145" s="91">
        <v>-2.6365438399660889E-6</v>
      </c>
    </row>
    <row r="146" spans="13:14" x14ac:dyDescent="0.2">
      <c r="M146" s="149">
        <v>1.6624999999999961</v>
      </c>
      <c r="N146" s="91">
        <v>-2.6531394316004803E-6</v>
      </c>
    </row>
    <row r="147" spans="13:14" x14ac:dyDescent="0.2">
      <c r="M147" s="149">
        <v>1.674999999999996</v>
      </c>
      <c r="N147" s="91">
        <v>-2.6695203229461166E-6</v>
      </c>
    </row>
    <row r="148" spans="13:14" x14ac:dyDescent="0.2">
      <c r="M148" s="149">
        <v>1.687499999999996</v>
      </c>
      <c r="N148" s="91">
        <v>-2.6856840388846657E-6</v>
      </c>
    </row>
    <row r="149" spans="13:14" x14ac:dyDescent="0.2">
      <c r="M149" s="149">
        <v>1.699999999999996</v>
      </c>
      <c r="N149" s="91">
        <v>-2.7016281452232199E-6</v>
      </c>
    </row>
    <row r="150" spans="13:14" x14ac:dyDescent="0.2">
      <c r="M150" s="149">
        <v>1.7124999999999959</v>
      </c>
      <c r="N150" s="91">
        <v>-2.7173502486942976E-6</v>
      </c>
    </row>
    <row r="151" spans="13:14" x14ac:dyDescent="0.2">
      <c r="M151" s="149">
        <v>1.7249999999999959</v>
      </c>
      <c r="N151" s="91">
        <v>-2.7328479969558427E-6</v>
      </c>
    </row>
    <row r="152" spans="13:14" x14ac:dyDescent="0.2">
      <c r="M152" s="149">
        <v>1.7374999999999958</v>
      </c>
      <c r="N152" s="91">
        <v>-2.7481190785912251E-6</v>
      </c>
    </row>
    <row r="153" spans="13:14" x14ac:dyDescent="0.2">
      <c r="M153" s="149">
        <v>1.7499999999999958</v>
      </c>
      <c r="N153" s="91">
        <v>-2.763161223109239E-6</v>
      </c>
    </row>
    <row r="154" spans="13:14" x14ac:dyDescent="0.2">
      <c r="M154" s="149">
        <v>1.7624999999999957</v>
      </c>
      <c r="N154" s="91">
        <v>-2.7779722009441032E-6</v>
      </c>
    </row>
    <row r="155" spans="13:14" x14ac:dyDescent="0.2">
      <c r="M155" s="149">
        <v>1.7749999999999957</v>
      </c>
      <c r="N155" s="91">
        <v>-2.7925498234554644E-6</v>
      </c>
    </row>
    <row r="156" spans="13:14" x14ac:dyDescent="0.2">
      <c r="M156" s="149">
        <v>1.7874999999999956</v>
      </c>
      <c r="N156" s="91">
        <v>-2.8068919429283925E-6</v>
      </c>
    </row>
    <row r="157" spans="13:14" x14ac:dyDescent="0.2">
      <c r="M157" s="149">
        <v>1.7999999999999956</v>
      </c>
      <c r="N157" s="91">
        <v>-2.8209964525733837E-6</v>
      </c>
    </row>
    <row r="158" spans="13:14" x14ac:dyDescent="0.2">
      <c r="M158" s="149">
        <v>1.8124999999999956</v>
      </c>
      <c r="N158" s="91">
        <v>-2.8348612865263591E-6</v>
      </c>
    </row>
    <row r="159" spans="13:14" x14ac:dyDescent="0.2">
      <c r="M159" s="149">
        <v>1.8249999999999955</v>
      </c>
      <c r="N159" s="91">
        <v>-2.848484419848665E-6</v>
      </c>
    </row>
    <row r="160" spans="13:14" x14ac:dyDescent="0.2">
      <c r="M160" s="149">
        <v>1.8374999999999955</v>
      </c>
      <c r="N160" s="91">
        <v>-2.8618638685270737E-6</v>
      </c>
    </row>
    <row r="161" spans="13:14" x14ac:dyDescent="0.2">
      <c r="M161" s="149">
        <v>1.8499999999999954</v>
      </c>
      <c r="N161" s="91">
        <v>-2.8749976894737836E-6</v>
      </c>
    </row>
    <row r="162" spans="13:14" x14ac:dyDescent="0.2">
      <c r="M162" s="149">
        <v>1.8624999999999954</v>
      </c>
      <c r="N162" s="91">
        <v>-2.8878839805264168E-6</v>
      </c>
    </row>
    <row r="163" spans="13:14" x14ac:dyDescent="0.2">
      <c r="M163" s="149">
        <v>1.8749999999999953</v>
      </c>
      <c r="N163" s="91">
        <v>-2.9005208804480202E-6</v>
      </c>
    </row>
    <row r="164" spans="13:14" x14ac:dyDescent="0.2">
      <c r="M164" s="149">
        <v>1.8874999999999953</v>
      </c>
      <c r="N164" s="91">
        <v>-2.9129065689270693E-6</v>
      </c>
    </row>
    <row r="165" spans="13:14" x14ac:dyDescent="0.2">
      <c r="M165" s="149">
        <v>1.8999999999999952</v>
      </c>
      <c r="N165" s="91">
        <v>-2.925039266577462E-6</v>
      </c>
    </row>
    <row r="166" spans="13:14" x14ac:dyDescent="0.2">
      <c r="M166" s="149">
        <v>1.9124999999999952</v>
      </c>
      <c r="N166" s="91">
        <v>-2.9369172349385229E-6</v>
      </c>
    </row>
    <row r="167" spans="13:14" x14ac:dyDescent="0.2">
      <c r="M167" s="149">
        <v>1.9249999999999952</v>
      </c>
      <c r="N167" s="91">
        <v>-2.9485387764750003E-6</v>
      </c>
    </row>
    <row r="168" spans="13:14" x14ac:dyDescent="0.2">
      <c r="M168" s="149">
        <v>1.9374999999999951</v>
      </c>
      <c r="N168" s="91">
        <v>-2.9599022345770701E-6</v>
      </c>
    </row>
    <row r="169" spans="13:14" x14ac:dyDescent="0.2">
      <c r="M169" s="149">
        <v>1.9499999999999951</v>
      </c>
      <c r="N169" s="91">
        <v>-2.9710059935603335E-6</v>
      </c>
    </row>
    <row r="170" spans="13:14" x14ac:dyDescent="0.2">
      <c r="M170" s="149">
        <v>1.962499999999995</v>
      </c>
      <c r="N170" s="91">
        <v>-2.9818484786658148E-6</v>
      </c>
    </row>
    <row r="171" spans="13:14" x14ac:dyDescent="0.2">
      <c r="M171" s="149">
        <v>1.974999999999995</v>
      </c>
      <c r="N171" s="91">
        <v>-2.9924281560599657E-6</v>
      </c>
    </row>
    <row r="172" spans="13:14" x14ac:dyDescent="0.2">
      <c r="M172" s="149">
        <v>1.9874999999999949</v>
      </c>
      <c r="N172" s="91">
        <v>-3.0027435328346625E-6</v>
      </c>
    </row>
    <row r="173" spans="13:14" x14ac:dyDescent="0.2">
      <c r="M173" s="149">
        <v>1.9999999999999949</v>
      </c>
      <c r="N173" s="91">
        <v>-3.012793157007206E-6</v>
      </c>
    </row>
    <row r="174" spans="13:14" x14ac:dyDescent="0.2">
      <c r="M174" s="149">
        <v>2.0124999999999948</v>
      </c>
      <c r="N174" s="91">
        <v>-3.0225756175203243E-6</v>
      </c>
    </row>
    <row r="175" spans="13:14" x14ac:dyDescent="0.2">
      <c r="M175" s="149">
        <v>2.024999999999995</v>
      </c>
      <c r="N175" s="91">
        <v>-3.0320895442421705E-6</v>
      </c>
    </row>
    <row r="176" spans="13:14" x14ac:dyDescent="0.2">
      <c r="M176" s="149">
        <v>2.0374999999999952</v>
      </c>
      <c r="N176" s="91">
        <v>-3.0413336079663219E-6</v>
      </c>
    </row>
    <row r="177" spans="13:14" x14ac:dyDescent="0.2">
      <c r="M177" s="149">
        <v>2.0499999999999954</v>
      </c>
      <c r="N177" s="91">
        <v>-3.050306520411781E-6</v>
      </c>
    </row>
    <row r="178" spans="13:14" x14ac:dyDescent="0.2">
      <c r="M178" s="149">
        <v>2.0624999999999956</v>
      </c>
      <c r="N178" s="91">
        <v>-3.0590070342229765E-6</v>
      </c>
    </row>
    <row r="179" spans="13:14" x14ac:dyDescent="0.2">
      <c r="M179" s="149">
        <v>2.0749999999999957</v>
      </c>
      <c r="N179" s="91">
        <v>-3.0674339429697635E-6</v>
      </c>
    </row>
    <row r="180" spans="13:14" x14ac:dyDescent="0.2">
      <c r="M180" s="149">
        <v>2.0874999999999959</v>
      </c>
      <c r="N180" s="91">
        <v>-3.0755860811474211E-6</v>
      </c>
    </row>
    <row r="181" spans="13:14" x14ac:dyDescent="0.2">
      <c r="M181" s="149">
        <v>2.0999999999999961</v>
      </c>
      <c r="N181" s="91">
        <v>-3.0834623241766524E-6</v>
      </c>
    </row>
    <row r="182" spans="13:14" x14ac:dyDescent="0.2">
      <c r="M182" s="149">
        <v>2.1124999999999963</v>
      </c>
      <c r="N182" s="91">
        <v>-3.0910615884035878E-6</v>
      </c>
    </row>
    <row r="183" spans="13:14" x14ac:dyDescent="0.2">
      <c r="M183" s="149">
        <v>2.1249999999999964</v>
      </c>
      <c r="N183" s="91">
        <v>-3.0983828310997846E-6</v>
      </c>
    </row>
    <row r="184" spans="13:14" x14ac:dyDescent="0.2">
      <c r="M184" s="149">
        <v>2.1374999999999966</v>
      </c>
      <c r="N184" s="91">
        <v>-3.1054250504622212E-6</v>
      </c>
    </row>
    <row r="185" spans="13:14" x14ac:dyDescent="0.2">
      <c r="M185" s="149">
        <v>2.1499999999999968</v>
      </c>
      <c r="N185" s="91">
        <v>-3.1121872856133052E-6</v>
      </c>
    </row>
    <row r="186" spans="13:14" x14ac:dyDescent="0.2">
      <c r="M186" s="149">
        <v>2.162499999999997</v>
      </c>
      <c r="N186" s="91">
        <v>-3.1186686166008678E-6</v>
      </c>
    </row>
    <row r="187" spans="13:14" x14ac:dyDescent="0.2">
      <c r="M187" s="149">
        <v>2.1749999999999972</v>
      </c>
      <c r="N187" s="91">
        <v>-3.1248681643981648E-6</v>
      </c>
    </row>
    <row r="188" spans="13:14" x14ac:dyDescent="0.2">
      <c r="M188" s="149">
        <v>2.1874999999999973</v>
      </c>
      <c r="N188" s="91">
        <v>-3.1307850909038821E-6</v>
      </c>
    </row>
    <row r="189" spans="13:14" x14ac:dyDescent="0.2">
      <c r="M189" s="149">
        <v>2.1999999999999975</v>
      </c>
      <c r="N189" s="91">
        <v>-3.1364185989421214E-6</v>
      </c>
    </row>
    <row r="190" spans="13:14" x14ac:dyDescent="0.2">
      <c r="M190" s="149">
        <v>2.2124999999999977</v>
      </c>
      <c r="N190" s="91">
        <v>-3.1417679322624187E-6</v>
      </c>
    </row>
    <row r="191" spans="13:14" x14ac:dyDescent="0.2">
      <c r="M191" s="149">
        <v>2.2249999999999979</v>
      </c>
      <c r="N191" s="91">
        <v>-3.1468323755397327E-6</v>
      </c>
    </row>
    <row r="192" spans="13:14" x14ac:dyDescent="0.2">
      <c r="M192" s="149">
        <v>2.237499999999998</v>
      </c>
      <c r="N192" s="91">
        <v>-3.1516112543744474E-6</v>
      </c>
    </row>
    <row r="193" spans="13:14" x14ac:dyDescent="0.2">
      <c r="M193" s="149">
        <v>2.2499999999999982</v>
      </c>
      <c r="N193" s="91">
        <v>-3.1561039352923701E-6</v>
      </c>
    </row>
    <row r="194" spans="13:14" x14ac:dyDescent="0.2">
      <c r="M194" s="149">
        <v>2.2624999999999984</v>
      </c>
      <c r="N194" s="91">
        <v>-3.1603098257447376E-6</v>
      </c>
    </row>
    <row r="195" spans="13:14" x14ac:dyDescent="0.2">
      <c r="M195" s="149">
        <v>2.2749999999999986</v>
      </c>
      <c r="N195" s="91">
        <v>-3.1642283741082063E-6</v>
      </c>
    </row>
    <row r="196" spans="13:14" x14ac:dyDescent="0.2">
      <c r="M196" s="149">
        <v>2.2874999999999988</v>
      </c>
      <c r="N196" s="91">
        <v>-3.1678590696848624E-6</v>
      </c>
    </row>
    <row r="197" spans="13:14" x14ac:dyDescent="0.2">
      <c r="M197" s="149">
        <v>2.2999999999999989</v>
      </c>
      <c r="N197" s="91">
        <v>-3.1712014427022159E-6</v>
      </c>
    </row>
    <row r="198" spans="13:14" x14ac:dyDescent="0.2">
      <c r="M198" s="149">
        <v>2.3124999999999991</v>
      </c>
      <c r="N198" s="91">
        <v>-3.1742550643132077E-6</v>
      </c>
    </row>
    <row r="199" spans="13:14" x14ac:dyDescent="0.2">
      <c r="M199" s="149">
        <v>2.3249999999999993</v>
      </c>
      <c r="N199" s="91">
        <v>-3.1770195465961937E-6</v>
      </c>
    </row>
    <row r="200" spans="13:14" x14ac:dyDescent="0.2">
      <c r="M200" s="149">
        <v>2.3374999999999995</v>
      </c>
      <c r="N200" s="91">
        <v>-3.17949454255496E-6</v>
      </c>
    </row>
    <row r="201" spans="13:14" x14ac:dyDescent="0.2">
      <c r="M201" s="149">
        <v>2.3499999999999996</v>
      </c>
      <c r="N201" s="91">
        <v>-3.1816797461187218E-6</v>
      </c>
    </row>
    <row r="202" spans="13:14" x14ac:dyDescent="0.2">
      <c r="M202" s="149">
        <v>2.3624999999999998</v>
      </c>
      <c r="N202" s="91">
        <v>-3.1835748921421142E-6</v>
      </c>
    </row>
    <row r="203" spans="13:14" x14ac:dyDescent="0.2">
      <c r="M203" s="149">
        <v>2.375</v>
      </c>
      <c r="N203" s="91">
        <v>-3.1851797564052014E-6</v>
      </c>
    </row>
    <row r="204" spans="13:14" x14ac:dyDescent="0.2">
      <c r="M204" s="149">
        <v>2.3875000000000002</v>
      </c>
      <c r="N204" s="91">
        <v>-3.1864941556134691E-6</v>
      </c>
    </row>
    <row r="205" spans="13:14" x14ac:dyDescent="0.2">
      <c r="M205" s="149">
        <v>2.4000000000000004</v>
      </c>
      <c r="N205" s="91">
        <v>-3.1875179473978331E-6</v>
      </c>
    </row>
    <row r="206" spans="13:14" x14ac:dyDescent="0.2">
      <c r="M206" s="149">
        <v>2.4125000000000005</v>
      </c>
      <c r="N206" s="91">
        <v>-3.1882510303146313E-6</v>
      </c>
    </row>
    <row r="207" spans="13:14" x14ac:dyDescent="0.2">
      <c r="M207" s="149">
        <v>2.4250000000000007</v>
      </c>
      <c r="N207" s="91">
        <v>-3.188693343845627E-6</v>
      </c>
    </row>
    <row r="208" spans="13:14" x14ac:dyDescent="0.2">
      <c r="M208" s="149">
        <v>2.4375000000000009</v>
      </c>
      <c r="N208" s="91">
        <v>-3.1888448683980093E-6</v>
      </c>
    </row>
    <row r="209" spans="13:14" x14ac:dyDescent="0.2">
      <c r="M209" s="149">
        <v>2.4500000000000011</v>
      </c>
      <c r="N209" s="91">
        <v>-3.1887056253043949E-6</v>
      </c>
    </row>
    <row r="210" spans="13:14" x14ac:dyDescent="0.2">
      <c r="M210" s="149">
        <v>2.4625000000000012</v>
      </c>
      <c r="N210" s="91">
        <v>-3.1882756768228229E-6</v>
      </c>
    </row>
    <row r="211" spans="13:14" x14ac:dyDescent="0.2">
      <c r="M211" s="149">
        <v>2.4750000000000014</v>
      </c>
      <c r="N211" s="91">
        <v>-3.1875551261367588E-6</v>
      </c>
    </row>
    <row r="212" spans="13:14" x14ac:dyDescent="0.2">
      <c r="M212" s="149">
        <v>2.4875000000000016</v>
      </c>
      <c r="N212" s="91">
        <v>-3.1865441173550933E-6</v>
      </c>
    </row>
    <row r="213" spans="13:14" x14ac:dyDescent="0.2">
      <c r="M213" s="149">
        <v>2.5000000000000018</v>
      </c>
      <c r="N213" s="91">
        <v>-3.1852428355121441E-6</v>
      </c>
    </row>
    <row r="214" spans="13:14" x14ac:dyDescent="0.2">
      <c r="M214" s="149">
        <v>2.512500000000002</v>
      </c>
      <c r="N214" s="91">
        <v>-3.1836515065676503E-6</v>
      </c>
    </row>
    <row r="215" spans="13:14" x14ac:dyDescent="0.2">
      <c r="M215" s="149">
        <v>2.5250000000000021</v>
      </c>
      <c r="N215" s="91">
        <v>-3.1817703974067798E-6</v>
      </c>
    </row>
    <row r="216" spans="13:14" x14ac:dyDescent="0.2">
      <c r="M216" s="149">
        <v>2.5375000000000023</v>
      </c>
      <c r="N216" s="91">
        <v>-3.1795998158401274E-6</v>
      </c>
    </row>
    <row r="217" spans="13:14" x14ac:dyDescent="0.2">
      <c r="M217" s="149">
        <v>2.5500000000000025</v>
      </c>
      <c r="N217" s="91">
        <v>-3.1771401106037092E-6</v>
      </c>
    </row>
    <row r="218" spans="13:14" x14ac:dyDescent="0.2">
      <c r="M218" s="149">
        <v>2.5625000000000027</v>
      </c>
      <c r="N218" s="91">
        <v>-3.1743916713589637E-6</v>
      </c>
    </row>
    <row r="219" spans="13:14" x14ac:dyDescent="0.2">
      <c r="M219" s="149">
        <v>2.5750000000000028</v>
      </c>
      <c r="N219" s="91">
        <v>-3.1713549286927656E-6</v>
      </c>
    </row>
    <row r="220" spans="13:14" x14ac:dyDescent="0.2">
      <c r="M220" s="149">
        <v>2.587500000000003</v>
      </c>
      <c r="N220" s="91">
        <v>-3.1680303541174083E-6</v>
      </c>
    </row>
    <row r="221" spans="13:14" x14ac:dyDescent="0.2">
      <c r="M221" s="149">
        <v>2.6000000000000032</v>
      </c>
      <c r="N221" s="91">
        <v>-3.1644184600706093E-6</v>
      </c>
    </row>
    <row r="222" spans="13:14" x14ac:dyDescent="0.2">
      <c r="M222" s="149">
        <v>2.6125000000000034</v>
      </c>
      <c r="N222" s="91">
        <v>-3.1605197999155109E-6</v>
      </c>
    </row>
    <row r="223" spans="13:14" x14ac:dyDescent="0.2">
      <c r="M223" s="149">
        <v>2.6250000000000036</v>
      </c>
      <c r="N223" s="91">
        <v>-3.1563349679406861E-6</v>
      </c>
    </row>
    <row r="224" spans="13:14" x14ac:dyDescent="0.2">
      <c r="M224" s="149">
        <v>2.6375000000000037</v>
      </c>
      <c r="N224" s="91">
        <v>-3.1518645993601299E-6</v>
      </c>
    </row>
    <row r="225" spans="13:14" x14ac:dyDescent="0.2">
      <c r="M225" s="149">
        <v>2.6500000000000039</v>
      </c>
      <c r="N225" s="91">
        <v>-3.1471093703132605E-6</v>
      </c>
    </row>
    <row r="226" spans="13:14" x14ac:dyDescent="0.2">
      <c r="M226" s="149">
        <v>2.6625000000000041</v>
      </c>
      <c r="N226" s="91">
        <v>-3.1420699978649276E-6</v>
      </c>
    </row>
    <row r="227" spans="13:14" x14ac:dyDescent="0.2">
      <c r="M227" s="149">
        <v>2.6750000000000043</v>
      </c>
      <c r="N227" s="91">
        <v>-3.1367472400054009E-6</v>
      </c>
    </row>
    <row r="228" spans="13:14" x14ac:dyDescent="0.2">
      <c r="M228" s="149">
        <v>2.6875000000000044</v>
      </c>
      <c r="N228" s="91">
        <v>-3.1311418956503756E-6</v>
      </c>
    </row>
    <row r="229" spans="13:14" x14ac:dyDescent="0.2">
      <c r="M229" s="149">
        <v>2.7000000000000046</v>
      </c>
      <c r="N229" s="91">
        <v>-3.1252548046409756E-6</v>
      </c>
    </row>
    <row r="230" spans="13:14" x14ac:dyDescent="0.2">
      <c r="M230" s="149">
        <v>2.7125000000000048</v>
      </c>
      <c r="N230" s="91">
        <v>-3.1190868477437459E-6</v>
      </c>
    </row>
    <row r="231" spans="13:14" x14ac:dyDescent="0.2">
      <c r="M231" s="149">
        <v>2.725000000000005</v>
      </c>
      <c r="N231" s="91">
        <v>-3.112638946650662E-6</v>
      </c>
    </row>
    <row r="232" spans="13:14" x14ac:dyDescent="0.2">
      <c r="M232" s="149">
        <v>2.7375000000000052</v>
      </c>
      <c r="N232" s="91">
        <v>-3.1059120639791218E-6</v>
      </c>
    </row>
    <row r="233" spans="13:14" x14ac:dyDescent="0.2">
      <c r="M233" s="149">
        <v>2.7500000000000053</v>
      </c>
      <c r="N233" s="91">
        <v>-3.0989072032719459E-6</v>
      </c>
    </row>
    <row r="234" spans="13:14" x14ac:dyDescent="0.2">
      <c r="M234" s="149">
        <v>2.7625000000000055</v>
      </c>
      <c r="N234" s="91">
        <v>-3.0916254089973864E-6</v>
      </c>
    </row>
    <row r="235" spans="13:14" x14ac:dyDescent="0.2">
      <c r="M235" s="149">
        <v>2.7750000000000057</v>
      </c>
      <c r="N235" s="91">
        <v>-3.0840677665491162E-6</v>
      </c>
    </row>
    <row r="236" spans="13:14" x14ac:dyDescent="0.2">
      <c r="M236" s="149">
        <v>2.7875000000000059</v>
      </c>
      <c r="N236" s="91">
        <v>-3.0762354022462348E-6</v>
      </c>
    </row>
    <row r="237" spans="13:14" x14ac:dyDescent="0.2">
      <c r="M237" s="149">
        <v>2.800000000000006</v>
      </c>
      <c r="N237" s="91">
        <v>-3.0681294833332704E-6</v>
      </c>
    </row>
    <row r="238" spans="13:14" x14ac:dyDescent="0.2">
      <c r="M238" s="149">
        <v>2.8125000000000062</v>
      </c>
      <c r="N238" s="91">
        <v>-3.0597512179801652E-6</v>
      </c>
    </row>
    <row r="239" spans="13:14" x14ac:dyDescent="0.2">
      <c r="M239" s="149">
        <v>2.8250000000000064</v>
      </c>
      <c r="N239" s="91">
        <v>-3.0511018552823071E-6</v>
      </c>
    </row>
    <row r="240" spans="13:14" x14ac:dyDescent="0.2">
      <c r="M240" s="149">
        <v>2.8375000000000066</v>
      </c>
      <c r="N240" s="91">
        <v>-3.0421826852604851E-6</v>
      </c>
    </row>
    <row r="241" spans="13:14" x14ac:dyDescent="0.2">
      <c r="M241" s="149">
        <v>2.8500000000000068</v>
      </c>
      <c r="N241" s="91">
        <v>-3.0329950388609302E-6</v>
      </c>
    </row>
    <row r="242" spans="13:14" x14ac:dyDescent="0.2">
      <c r="M242" s="149">
        <v>2.8625000000000069</v>
      </c>
      <c r="N242" s="91">
        <v>-3.0235402879552995E-6</v>
      </c>
    </row>
    <row r="243" spans="13:14" x14ac:dyDescent="0.2">
      <c r="M243" s="149">
        <v>2.8750000000000071</v>
      </c>
      <c r="N243" s="91">
        <v>-3.0138198453406594E-6</v>
      </c>
    </row>
    <row r="244" spans="13:14" x14ac:dyDescent="0.2">
      <c r="M244" s="149">
        <v>2.8875000000000073</v>
      </c>
      <c r="N244" s="91">
        <v>-3.0038351647395229E-6</v>
      </c>
    </row>
    <row r="245" spans="13:14" x14ac:dyDescent="0.2">
      <c r="M245" s="149">
        <v>2.9000000000000075</v>
      </c>
      <c r="N245" s="91">
        <v>-2.9935877407998079E-6</v>
      </c>
    </row>
    <row r="246" spans="13:14" x14ac:dyDescent="0.2">
      <c r="M246" s="149">
        <v>2.9125000000000076</v>
      </c>
      <c r="N246" s="91">
        <v>-2.9830791090948781E-6</v>
      </c>
    </row>
    <row r="247" spans="13:14" x14ac:dyDescent="0.2">
      <c r="M247" s="149">
        <v>2.9250000000000078</v>
      </c>
      <c r="N247" s="91">
        <v>-2.9723108461235038E-6</v>
      </c>
    </row>
    <row r="248" spans="13:14" x14ac:dyDescent="0.2">
      <c r="M248" s="149">
        <v>2.937500000000008</v>
      </c>
      <c r="N248" s="91">
        <v>-2.9612845693098931E-6</v>
      </c>
    </row>
    <row r="249" spans="13:14" x14ac:dyDescent="0.2">
      <c r="M249" s="149">
        <v>2.9500000000000082</v>
      </c>
      <c r="N249" s="91">
        <v>-2.9500019370036785E-6</v>
      </c>
    </row>
    <row r="250" spans="13:14" x14ac:dyDescent="0.2">
      <c r="M250" s="149">
        <v>2.9625000000000083</v>
      </c>
      <c r="N250" s="91">
        <v>-2.9384646484799026E-6</v>
      </c>
    </row>
    <row r="251" spans="13:14" x14ac:dyDescent="0.2">
      <c r="M251" s="149">
        <v>2.9750000000000085</v>
      </c>
      <c r="N251" s="91">
        <v>-2.9266744439390584E-6</v>
      </c>
    </row>
    <row r="252" spans="13:14" x14ac:dyDescent="0.2">
      <c r="M252" s="149">
        <v>2.9875000000000087</v>
      </c>
      <c r="N252" s="91">
        <v>-2.9146331045070435E-6</v>
      </c>
    </row>
    <row r="253" spans="13:14" x14ac:dyDescent="0.2">
      <c r="M253" s="149">
        <v>3.0000000000000089</v>
      </c>
      <c r="N253" s="91">
        <v>-2.9023424522351952E-6</v>
      </c>
    </row>
    <row r="254" spans="13:14" x14ac:dyDescent="0.2">
      <c r="M254" s="149">
        <v>3.0125000000000091</v>
      </c>
      <c r="N254" s="91">
        <v>-2.889804350100263E-6</v>
      </c>
    </row>
    <row r="255" spans="13:14" x14ac:dyDescent="0.2">
      <c r="M255" s="149">
        <v>3.0250000000000092</v>
      </c>
      <c r="N255" s="91">
        <v>-2.8770207020044322E-6</v>
      </c>
    </row>
    <row r="256" spans="13:14" x14ac:dyDescent="0.2">
      <c r="M256" s="149">
        <v>3.0375000000000094</v>
      </c>
      <c r="N256" s="91">
        <v>-2.8639934527753045E-6</v>
      </c>
    </row>
    <row r="257" spans="13:14" x14ac:dyDescent="0.2">
      <c r="M257" s="149">
        <v>3.0500000000000096</v>
      </c>
      <c r="N257" s="91">
        <v>-2.8507245881659201E-6</v>
      </c>
    </row>
    <row r="258" spans="13:14" x14ac:dyDescent="0.2">
      <c r="M258" s="149">
        <v>3.0625000000000098</v>
      </c>
      <c r="N258" s="91">
        <v>-2.837216134854735E-6</v>
      </c>
    </row>
    <row r="259" spans="13:14" x14ac:dyDescent="0.2">
      <c r="M259" s="149">
        <v>3.0750000000000099</v>
      </c>
      <c r="N259" s="91">
        <v>-2.8234701604456239E-6</v>
      </c>
    </row>
    <row r="260" spans="13:14" x14ac:dyDescent="0.2">
      <c r="M260" s="149">
        <v>3.0875000000000101</v>
      </c>
      <c r="N260" s="91">
        <v>-2.8094887734679037E-6</v>
      </c>
    </row>
    <row r="261" spans="13:14" x14ac:dyDescent="0.2">
      <c r="M261" s="149">
        <v>3.1000000000000103</v>
      </c>
      <c r="N261" s="91">
        <v>-2.7952741233763037E-6</v>
      </c>
    </row>
    <row r="262" spans="13:14" x14ac:dyDescent="0.2">
      <c r="M262" s="149">
        <v>3.1125000000000105</v>
      </c>
      <c r="N262" s="91">
        <v>-2.7808284005509905E-6</v>
      </c>
    </row>
    <row r="263" spans="13:14" x14ac:dyDescent="0.2">
      <c r="M263" s="149">
        <v>3.1250000000000107</v>
      </c>
      <c r="N263" s="91">
        <v>-2.7661538362975374E-6</v>
      </c>
    </row>
    <row r="264" spans="13:14" x14ac:dyDescent="0.2">
      <c r="M264" s="149">
        <v>3.1375000000000108</v>
      </c>
      <c r="N264" s="91">
        <v>-2.7512527028469614E-6</v>
      </c>
    </row>
    <row r="265" spans="13:14" x14ac:dyDescent="0.2">
      <c r="M265" s="149">
        <v>3.150000000000011</v>
      </c>
      <c r="N265" s="91">
        <v>-2.7361273133556935E-6</v>
      </c>
    </row>
    <row r="266" spans="13:14" x14ac:dyDescent="0.2">
      <c r="M266" s="149">
        <v>3.1625000000000112</v>
      </c>
      <c r="N266" s="91">
        <v>-2.7207800219056007E-6</v>
      </c>
    </row>
    <row r="267" spans="13:14" x14ac:dyDescent="0.2">
      <c r="M267" s="149">
        <v>3.1750000000000114</v>
      </c>
      <c r="N267" s="91">
        <v>-2.7052132235039577E-6</v>
      </c>
    </row>
    <row r="268" spans="13:14" x14ac:dyDescent="0.2">
      <c r="M268" s="149">
        <v>3.1875000000000115</v>
      </c>
      <c r="N268" s="91">
        <v>-2.6894293540834836E-6</v>
      </c>
    </row>
    <row r="269" spans="13:14" x14ac:dyDescent="0.2">
      <c r="M269" s="149">
        <v>3.2000000000000117</v>
      </c>
      <c r="N269" s="91">
        <v>-2.6734308905023165E-6</v>
      </c>
    </row>
    <row r="270" spans="13:14" x14ac:dyDescent="0.2">
      <c r="M270" s="149">
        <v>3.2125000000000119</v>
      </c>
      <c r="N270" s="91">
        <v>-2.657220350544015E-6</v>
      </c>
    </row>
    <row r="271" spans="13:14" x14ac:dyDescent="0.2">
      <c r="M271" s="149">
        <v>3.2250000000000121</v>
      </c>
      <c r="N271" s="91">
        <v>-2.64080029291757E-6</v>
      </c>
    </row>
    <row r="272" spans="13:14" x14ac:dyDescent="0.2">
      <c r="M272" s="149">
        <v>3.2375000000000123</v>
      </c>
      <c r="N272" s="91">
        <v>-2.6241733172573865E-6</v>
      </c>
    </row>
    <row r="273" spans="13:14" x14ac:dyDescent="0.2">
      <c r="M273" s="149">
        <v>3.2500000000000124</v>
      </c>
      <c r="N273" s="91">
        <v>-2.6073420641233103E-6</v>
      </c>
    </row>
    <row r="274" spans="13:14" x14ac:dyDescent="0.2">
      <c r="M274" s="149">
        <v>3.2625000000000126</v>
      </c>
      <c r="N274" s="91">
        <v>-2.5903092150005968E-6</v>
      </c>
    </row>
    <row r="275" spans="13:14" x14ac:dyDescent="0.2">
      <c r="M275" s="149">
        <v>3.2750000000000128</v>
      </c>
      <c r="N275" s="91">
        <v>-2.5730774922999438E-6</v>
      </c>
    </row>
    <row r="276" spans="13:14" x14ac:dyDescent="0.2">
      <c r="M276" s="149">
        <v>3.287500000000013</v>
      </c>
      <c r="N276" s="91">
        <v>-2.5556496593574593E-6</v>
      </c>
    </row>
    <row r="277" spans="13:14" x14ac:dyDescent="0.2">
      <c r="M277" s="149">
        <v>3.3000000000000131</v>
      </c>
      <c r="N277" s="91">
        <v>-2.5380285204346827E-6</v>
      </c>
    </row>
    <row r="278" spans="13:14" x14ac:dyDescent="0.2">
      <c r="M278" s="149">
        <v>3.3125000000000133</v>
      </c>
      <c r="N278" s="91">
        <v>-2.5202169207185795E-6</v>
      </c>
    </row>
    <row r="279" spans="13:14" x14ac:dyDescent="0.2">
      <c r="M279" s="149">
        <v>3.3250000000000135</v>
      </c>
      <c r="N279" s="91">
        <v>-2.5022177463215419E-6</v>
      </c>
    </row>
    <row r="280" spans="13:14" x14ac:dyDescent="0.2">
      <c r="M280" s="149">
        <v>3.3375000000000137</v>
      </c>
      <c r="N280" s="91">
        <v>-2.4840339242813925E-6</v>
      </c>
    </row>
    <row r="281" spans="13:14" x14ac:dyDescent="0.2">
      <c r="M281" s="149">
        <v>3.3500000000000139</v>
      </c>
      <c r="N281" s="91">
        <v>-2.4656684225613554E-6</v>
      </c>
    </row>
    <row r="282" spans="13:14" x14ac:dyDescent="0.2">
      <c r="M282" s="149">
        <v>3.362500000000014</v>
      </c>
      <c r="N282" s="91">
        <v>-2.4471242500501083E-6</v>
      </c>
    </row>
    <row r="283" spans="13:14" x14ac:dyDescent="0.2">
      <c r="M283" s="149">
        <v>3.3750000000000142</v>
      </c>
      <c r="N283" s="91">
        <v>-2.4284044565617425E-6</v>
      </c>
    </row>
    <row r="284" spans="13:14" x14ac:dyDescent="0.2">
      <c r="M284" s="149">
        <v>3.3875000000000144</v>
      </c>
      <c r="N284" s="91">
        <v>-2.4095121328357682E-6</v>
      </c>
    </row>
    <row r="285" spans="13:14" x14ac:dyDescent="0.2">
      <c r="M285" s="149">
        <v>3.4000000000000146</v>
      </c>
      <c r="N285" s="91">
        <v>-2.3904504105371346E-6</v>
      </c>
    </row>
    <row r="286" spans="13:14" x14ac:dyDescent="0.2">
      <c r="M286" s="149">
        <v>3.4125000000000147</v>
      </c>
      <c r="N286" s="91">
        <v>-2.3712224622562082E-6</v>
      </c>
    </row>
    <row r="287" spans="13:14" x14ac:dyDescent="0.2">
      <c r="M287" s="149">
        <v>3.4250000000000149</v>
      </c>
      <c r="N287" s="91">
        <v>-2.3518315015087804E-6</v>
      </c>
    </row>
    <row r="288" spans="13:14" x14ac:dyDescent="0.2">
      <c r="M288" s="149">
        <v>3.4375000000000151</v>
      </c>
      <c r="N288" s="91">
        <v>-2.3322807827360704E-6</v>
      </c>
    </row>
    <row r="289" spans="13:14" x14ac:dyDescent="0.2">
      <c r="M289" s="149">
        <v>3.4500000000000153</v>
      </c>
      <c r="N289" s="91">
        <v>-2.3125736013047179E-6</v>
      </c>
    </row>
    <row r="290" spans="13:14" x14ac:dyDescent="0.2">
      <c r="M290" s="149">
        <v>3.4625000000000155</v>
      </c>
      <c r="N290" s="91">
        <v>-2.292713293506803E-6</v>
      </c>
    </row>
    <row r="291" spans="13:14" x14ac:dyDescent="0.2">
      <c r="M291" s="149">
        <v>3.4750000000000156</v>
      </c>
      <c r="N291" s="91">
        <v>-2.2727032365598123E-6</v>
      </c>
    </row>
    <row r="292" spans="13:14" x14ac:dyDescent="0.2">
      <c r="M292" s="149">
        <v>3.4875000000000158</v>
      </c>
      <c r="N292" s="91">
        <v>-2.2525468486066621E-6</v>
      </c>
    </row>
    <row r="293" spans="13:14" x14ac:dyDescent="0.2">
      <c r="M293" s="149">
        <v>3.500000000000016</v>
      </c>
      <c r="N293" s="91">
        <v>-2.2322475887157012E-6</v>
      </c>
    </row>
    <row r="294" spans="13:14" x14ac:dyDescent="0.2">
      <c r="M294" s="149">
        <v>3.5125000000000162</v>
      </c>
      <c r="N294" s="91">
        <v>-2.211808956880708E-6</v>
      </c>
    </row>
    <row r="295" spans="13:14" x14ac:dyDescent="0.2">
      <c r="M295" s="149">
        <v>3.5250000000000163</v>
      </c>
      <c r="N295" s="91">
        <v>-2.1912344940208652E-6</v>
      </c>
    </row>
    <row r="296" spans="13:14" x14ac:dyDescent="0.2">
      <c r="M296" s="149">
        <v>3.5375000000000165</v>
      </c>
      <c r="N296" s="91">
        <v>-2.1705277819808041E-6</v>
      </c>
    </row>
    <row r="297" spans="13:14" x14ac:dyDescent="0.2">
      <c r="M297" s="149">
        <v>3.5500000000000167</v>
      </c>
      <c r="N297" s="91">
        <v>-2.1496924435305651E-6</v>
      </c>
    </row>
    <row r="298" spans="13:14" x14ac:dyDescent="0.2">
      <c r="M298" s="149">
        <v>3.5625000000000169</v>
      </c>
      <c r="N298" s="91">
        <v>-2.1287321423656315E-6</v>
      </c>
    </row>
    <row r="299" spans="13:14" x14ac:dyDescent="0.2">
      <c r="M299" s="149">
        <v>3.5750000000000171</v>
      </c>
      <c r="N299" s="91">
        <v>-2.1076505831068881E-6</v>
      </c>
    </row>
    <row r="300" spans="13:14" x14ac:dyDescent="0.2">
      <c r="M300" s="149">
        <v>3.5875000000000172</v>
      </c>
      <c r="N300" s="91">
        <v>-2.0864515113006588E-6</v>
      </c>
    </row>
    <row r="301" spans="13:14" x14ac:dyDescent="0.2">
      <c r="M301" s="149">
        <v>3.6000000000000174</v>
      </c>
      <c r="N301" s="91">
        <v>-2.0651387134186957E-6</v>
      </c>
    </row>
    <row r="302" spans="13:14" x14ac:dyDescent="0.2">
      <c r="M302" s="149">
        <v>3.6125000000000176</v>
      </c>
      <c r="N302" s="91">
        <v>-2.0437160168581715E-6</v>
      </c>
    </row>
    <row r="303" spans="13:14" x14ac:dyDescent="0.2">
      <c r="M303" s="149">
        <v>3.6250000000000178</v>
      </c>
      <c r="N303" s="91">
        <v>-2.0221872899416841E-6</v>
      </c>
    </row>
    <row r="304" spans="13:14" x14ac:dyDescent="0.2">
      <c r="M304" s="149">
        <v>3.6375000000000179</v>
      </c>
      <c r="N304" s="91">
        <v>-2.0005564419172603E-6</v>
      </c>
    </row>
    <row r="305" spans="13:14" x14ac:dyDescent="0.2">
      <c r="M305" s="149">
        <v>3.6500000000000181</v>
      </c>
      <c r="N305" s="91">
        <v>-1.9788274229583527E-6</v>
      </c>
    </row>
    <row r="306" spans="13:14" x14ac:dyDescent="0.2">
      <c r="M306" s="149">
        <v>3.6625000000000183</v>
      </c>
      <c r="N306" s="91">
        <v>-1.9570042241638265E-6</v>
      </c>
    </row>
    <row r="307" spans="13:14" x14ac:dyDescent="0.2">
      <c r="M307" s="149">
        <v>3.6750000000000185</v>
      </c>
      <c r="N307" s="91">
        <v>-1.9350908775579907E-6</v>
      </c>
    </row>
    <row r="308" spans="13:14" x14ac:dyDescent="0.2">
      <c r="M308" s="149">
        <v>3.6875000000000187</v>
      </c>
      <c r="N308" s="91">
        <v>-1.9130914560905655E-6</v>
      </c>
    </row>
    <row r="309" spans="13:14" x14ac:dyDescent="0.2">
      <c r="M309" s="149">
        <v>3.7000000000000188</v>
      </c>
      <c r="N309" s="91">
        <v>-1.8910100736367053E-6</v>
      </c>
    </row>
    <row r="310" spans="13:14" x14ac:dyDescent="0.2">
      <c r="M310" s="149">
        <v>3.712500000000019</v>
      </c>
      <c r="N310" s="91">
        <v>-1.8688508849969791E-6</v>
      </c>
    </row>
    <row r="311" spans="13:14" x14ac:dyDescent="0.2">
      <c r="M311" s="149">
        <v>3.7250000000000192</v>
      </c>
      <c r="N311" s="91">
        <v>-1.846618085897404E-6</v>
      </c>
    </row>
    <row r="312" spans="13:14" x14ac:dyDescent="0.2">
      <c r="M312" s="149">
        <v>3.7375000000000194</v>
      </c>
      <c r="N312" s="91">
        <v>-1.8243159129893965E-6</v>
      </c>
    </row>
    <row r="313" spans="13:14" x14ac:dyDescent="0.2">
      <c r="M313" s="149">
        <v>3.7500000000000195</v>
      </c>
      <c r="N313" s="91">
        <v>-1.8019486438498057E-6</v>
      </c>
    </row>
    <row r="314" spans="13:14" x14ac:dyDescent="0.2">
      <c r="M314" s="149">
        <v>3.7625000000000197</v>
      </c>
      <c r="N314" s="91">
        <v>-1.7795205969809207E-6</v>
      </c>
    </row>
    <row r="315" spans="13:14" x14ac:dyDescent="0.2">
      <c r="M315" s="149">
        <v>3.7750000000000199</v>
      </c>
      <c r="N315" s="91">
        <v>-1.7570361318104282E-6</v>
      </c>
    </row>
    <row r="316" spans="13:14" x14ac:dyDescent="0.2">
      <c r="M316" s="149">
        <v>3.7875000000000201</v>
      </c>
      <c r="N316" s="91">
        <v>-1.7344996486914758E-6</v>
      </c>
    </row>
    <row r="317" spans="13:14" x14ac:dyDescent="0.2">
      <c r="M317" s="149">
        <v>3.8000000000000203</v>
      </c>
      <c r="N317" s="91">
        <v>-1.7119155889026109E-6</v>
      </c>
    </row>
    <row r="318" spans="13:14" x14ac:dyDescent="0.2">
      <c r="M318" s="149">
        <v>3.8125000000000204</v>
      </c>
      <c r="N318" s="91">
        <v>-1.6892884346478024E-6</v>
      </c>
    </row>
    <row r="319" spans="13:14" x14ac:dyDescent="0.2">
      <c r="M319" s="149">
        <v>3.8250000000000206</v>
      </c>
      <c r="N319" s="91">
        <v>-1.6666227090564628E-6</v>
      </c>
    </row>
    <row r="320" spans="13:14" x14ac:dyDescent="0.2">
      <c r="M320" s="149">
        <v>3.8375000000000208</v>
      </c>
      <c r="N320" s="91">
        <v>-1.6439229761834328E-6</v>
      </c>
    </row>
    <row r="321" spans="13:14" x14ac:dyDescent="0.2">
      <c r="M321" s="149">
        <v>3.850000000000021</v>
      </c>
      <c r="N321" s="91">
        <v>-1.6211938410089466E-6</v>
      </c>
    </row>
    <row r="322" spans="13:14" x14ac:dyDescent="0.2">
      <c r="M322" s="149">
        <v>3.8625000000000211</v>
      </c>
      <c r="N322" s="91">
        <v>-1.5984399494386995E-6</v>
      </c>
    </row>
    <row r="323" spans="13:14" x14ac:dyDescent="0.2">
      <c r="M323" s="149">
        <v>3.8750000000000213</v>
      </c>
      <c r="N323" s="91">
        <v>-1.5756659883037971E-6</v>
      </c>
    </row>
    <row r="324" spans="13:14" x14ac:dyDescent="0.2">
      <c r="M324" s="149">
        <v>3.8875000000000215</v>
      </c>
      <c r="N324" s="91">
        <v>-1.5528766853607674E-6</v>
      </c>
    </row>
    <row r="325" spans="13:14" x14ac:dyDescent="0.2">
      <c r="M325" s="149">
        <v>3.9000000000000217</v>
      </c>
      <c r="N325" s="91">
        <v>-1.5300768092915638E-6</v>
      </c>
    </row>
    <row r="326" spans="13:14" x14ac:dyDescent="0.2">
      <c r="M326" s="149">
        <v>3.9125000000000218</v>
      </c>
      <c r="N326" s="91">
        <v>-1.5072711697035757E-6</v>
      </c>
    </row>
    <row r="327" spans="13:14" x14ac:dyDescent="0.2">
      <c r="M327" s="149">
        <v>3.925000000000022</v>
      </c>
      <c r="N327" s="91">
        <v>-1.4844646171296113E-6</v>
      </c>
    </row>
    <row r="328" spans="13:14" x14ac:dyDescent="0.2">
      <c r="M328" s="149">
        <v>3.9375000000000222</v>
      </c>
      <c r="N328" s="91">
        <v>-1.4616620430278909E-6</v>
      </c>
    </row>
    <row r="329" spans="13:14" x14ac:dyDescent="0.2">
      <c r="M329" s="149">
        <v>3.9500000000000224</v>
      </c>
      <c r="N329" s="91">
        <v>-1.4388683797820849E-6</v>
      </c>
    </row>
    <row r="330" spans="13:14" x14ac:dyDescent="0.2">
      <c r="M330" s="149">
        <v>3.9625000000000226</v>
      </c>
      <c r="N330" s="91">
        <v>-1.4160886007012745E-6</v>
      </c>
    </row>
    <row r="331" spans="13:14" x14ac:dyDescent="0.2">
      <c r="M331" s="149">
        <v>3.9750000000000227</v>
      </c>
      <c r="N331" s="91">
        <v>-1.3933277200199729E-6</v>
      </c>
    </row>
    <row r="332" spans="13:14" x14ac:dyDescent="0.2">
      <c r="M332" s="149">
        <v>3.9875000000000229</v>
      </c>
      <c r="N332" s="91">
        <v>-1.3705907928981045E-6</v>
      </c>
    </row>
    <row r="333" spans="13:14" x14ac:dyDescent="0.2">
      <c r="M333" s="149">
        <v>4.0000000000000231</v>
      </c>
      <c r="N333" s="91">
        <v>-1.3478829154210317E-6</v>
      </c>
    </row>
    <row r="334" spans="13:14" x14ac:dyDescent="0.2">
      <c r="M334" s="149">
        <v>4.0125000000000233</v>
      </c>
      <c r="N334" s="91">
        <v>-1.3252092245995439E-6</v>
      </c>
    </row>
    <row r="335" spans="13:14" x14ac:dyDescent="0.2">
      <c r="M335" s="149">
        <v>4.0250000000000234</v>
      </c>
      <c r="N335" s="91">
        <v>-1.3025748983698527E-6</v>
      </c>
    </row>
    <row r="336" spans="13:14" x14ac:dyDescent="0.2">
      <c r="M336" s="149">
        <v>4.0375000000000236</v>
      </c>
      <c r="N336" s="91">
        <v>-1.2799851555935889E-6</v>
      </c>
    </row>
    <row r="337" spans="13:14" x14ac:dyDescent="0.2">
      <c r="M337" s="149">
        <v>4.0500000000000238</v>
      </c>
      <c r="N337" s="91">
        <v>-1.2574452560578171E-6</v>
      </c>
    </row>
    <row r="338" spans="13:14" x14ac:dyDescent="0.2">
      <c r="M338" s="149">
        <v>4.062500000000024</v>
      </c>
      <c r="N338" s="91">
        <v>-1.2349605004750136E-6</v>
      </c>
    </row>
    <row r="339" spans="13:14" x14ac:dyDescent="0.2">
      <c r="M339" s="149">
        <v>4.0750000000000242</v>
      </c>
      <c r="N339" s="91">
        <v>-1.2125362304831075E-6</v>
      </c>
    </row>
    <row r="340" spans="13:14" x14ac:dyDescent="0.2">
      <c r="M340" s="149">
        <v>4.0875000000000243</v>
      </c>
      <c r="N340" s="91">
        <v>-1.1901778286454301E-6</v>
      </c>
    </row>
    <row r="341" spans="13:14" x14ac:dyDescent="0.2">
      <c r="M341" s="149">
        <v>4.1000000000000245</v>
      </c>
      <c r="N341" s="91">
        <v>-1.1678907184507319E-6</v>
      </c>
    </row>
    <row r="342" spans="13:14" x14ac:dyDescent="0.2">
      <c r="M342" s="149">
        <v>4.1125000000000247</v>
      </c>
      <c r="N342" s="91">
        <v>-1.1456803643132161E-6</v>
      </c>
    </row>
    <row r="343" spans="13:14" x14ac:dyDescent="0.2">
      <c r="M343" s="149">
        <v>4.1250000000000249</v>
      </c>
      <c r="N343" s="91">
        <v>-1.1235522715725038E-6</v>
      </c>
    </row>
    <row r="344" spans="13:14" x14ac:dyDescent="0.2">
      <c r="M344" s="149">
        <v>4.137500000000025</v>
      </c>
      <c r="N344" s="91">
        <v>-1.1015119864935998E-6</v>
      </c>
    </row>
    <row r="345" spans="13:14" x14ac:dyDescent="0.2">
      <c r="M345" s="149">
        <v>4.1500000000000252</v>
      </c>
      <c r="N345" s="91">
        <v>-1.0795650962670039E-6</v>
      </c>
    </row>
    <row r="346" spans="13:14" x14ac:dyDescent="0.2">
      <c r="M346" s="149">
        <v>4.1625000000000254</v>
      </c>
      <c r="N346" s="91">
        <v>-1.0577172290085847E-6</v>
      </c>
    </row>
    <row r="347" spans="13:14" x14ac:dyDescent="0.2">
      <c r="M347" s="149">
        <v>4.1750000000000256</v>
      </c>
      <c r="N347" s="91">
        <v>-1.0359740537596635E-6</v>
      </c>
    </row>
    <row r="348" spans="13:14" x14ac:dyDescent="0.2">
      <c r="M348" s="149">
        <v>4.1875000000000258</v>
      </c>
      <c r="N348" s="91">
        <v>-1.0143412804869783E-6</v>
      </c>
    </row>
    <row r="349" spans="13:14" x14ac:dyDescent="0.2">
      <c r="M349" s="149">
        <v>4.2000000000000259</v>
      </c>
      <c r="N349" s="91">
        <v>-9.9282466008269449E-7</v>
      </c>
    </row>
    <row r="350" spans="13:14" x14ac:dyDescent="0.2">
      <c r="M350" s="149">
        <v>4.2125000000000261</v>
      </c>
      <c r="N350" s="91">
        <v>-9.714299843644146E-7</v>
      </c>
    </row>
    <row r="351" spans="13:14" x14ac:dyDescent="0.2">
      <c r="M351" s="149">
        <v>4.2250000000000263</v>
      </c>
      <c r="N351" s="91">
        <v>-9.5016308607513008E-7</v>
      </c>
    </row>
    <row r="352" spans="13:14" x14ac:dyDescent="0.2">
      <c r="M352" s="149">
        <v>4.2375000000000265</v>
      </c>
      <c r="N352" s="91">
        <v>-9.2902983888330295E-7</v>
      </c>
    </row>
    <row r="353" spans="13:14" x14ac:dyDescent="0.2">
      <c r="M353" s="149">
        <v>4.2500000000000266</v>
      </c>
      <c r="N353" s="91">
        <v>-9.0803615738280331E-7</v>
      </c>
    </row>
    <row r="354" spans="13:14" x14ac:dyDescent="0.2">
      <c r="M354" s="149">
        <v>4.2625000000000268</v>
      </c>
      <c r="N354" s="91">
        <v>-8.8718799709291881E-7</v>
      </c>
    </row>
    <row r="355" spans="13:14" x14ac:dyDescent="0.2">
      <c r="M355" s="149">
        <v>4.275000000000027</v>
      </c>
      <c r="N355" s="91">
        <v>-8.6649135445835469E-7</v>
      </c>
    </row>
    <row r="356" spans="13:14" x14ac:dyDescent="0.2">
      <c r="M356" s="149">
        <v>4.2875000000000272</v>
      </c>
      <c r="N356" s="91">
        <v>-8.4595226684926826E-7</v>
      </c>
    </row>
    <row r="357" spans="13:14" x14ac:dyDescent="0.2">
      <c r="M357" s="149">
        <v>4.3000000000000274</v>
      </c>
      <c r="N357" s="91">
        <v>-8.2557681256121919E-7</v>
      </c>
    </row>
    <row r="358" spans="13:14" x14ac:dyDescent="0.2">
      <c r="M358" s="149">
        <v>4.3125000000000275</v>
      </c>
      <c r="N358" s="91">
        <v>-8.0537111081519549E-7</v>
      </c>
    </row>
    <row r="359" spans="13:14" x14ac:dyDescent="0.2">
      <c r="M359" s="149">
        <v>4.3250000000000277</v>
      </c>
      <c r="N359" s="91">
        <v>-7.8534132175763073E-7</v>
      </c>
    </row>
    <row r="360" spans="13:14" x14ac:dyDescent="0.2">
      <c r="M360" s="149">
        <v>4.3375000000000279</v>
      </c>
      <c r="N360" s="91">
        <v>-7.6549364646037156E-7</v>
      </c>
    </row>
    <row r="361" spans="13:14" x14ac:dyDescent="0.2">
      <c r="M361" s="149">
        <v>4.3500000000000281</v>
      </c>
      <c r="N361" s="91">
        <v>-7.4583432692067899E-7</v>
      </c>
    </row>
    <row r="362" spans="13:14" x14ac:dyDescent="0.2">
      <c r="M362" s="149">
        <v>4.3625000000000282</v>
      </c>
      <c r="N362" s="91">
        <v>-7.2636964606123884E-7</v>
      </c>
    </row>
    <row r="363" spans="13:14" x14ac:dyDescent="0.2">
      <c r="M363" s="149">
        <v>4.3750000000000284</v>
      </c>
      <c r="N363" s="91">
        <v>-7.0710592773019543E-7</v>
      </c>
    </row>
    <row r="364" spans="13:14" x14ac:dyDescent="0.2">
      <c r="M364" s="149">
        <v>4.3875000000000286</v>
      </c>
      <c r="N364" s="91">
        <v>-6.8804953670108984E-7</v>
      </c>
    </row>
    <row r="365" spans="13:14" x14ac:dyDescent="0.2">
      <c r="M365" s="149">
        <v>4.4000000000000288</v>
      </c>
      <c r="N365" s="91">
        <v>-6.6920687867287138E-7</v>
      </c>
    </row>
    <row r="366" spans="13:14" x14ac:dyDescent="0.2">
      <c r="M366" s="149">
        <v>4.412500000000029</v>
      </c>
      <c r="N366" s="91">
        <v>-6.5058440026995725E-7</v>
      </c>
    </row>
    <row r="367" spans="13:14" x14ac:dyDescent="0.2">
      <c r="M367" s="149">
        <v>4.4250000000000291</v>
      </c>
      <c r="N367" s="91">
        <v>-6.3218858904216082E-7</v>
      </c>
    </row>
    <row r="368" spans="13:14" x14ac:dyDescent="0.2">
      <c r="M368" s="149">
        <v>4.4375000000000293</v>
      </c>
      <c r="N368" s="91">
        <v>-6.1402597346472828E-7</v>
      </c>
    </row>
    <row r="369" spans="13:14" x14ac:dyDescent="0.2">
      <c r="M369" s="149">
        <v>4.4500000000000295</v>
      </c>
      <c r="N369" s="91">
        <v>-5.9610312293833812E-7</v>
      </c>
    </row>
    <row r="370" spans="13:14" x14ac:dyDescent="0.2">
      <c r="M370" s="149">
        <v>4.4625000000000297</v>
      </c>
      <c r="N370" s="91">
        <v>-5.7842664778909572E-7</v>
      </c>
    </row>
    <row r="371" spans="13:14" x14ac:dyDescent="0.2">
      <c r="M371" s="149">
        <v>4.4750000000000298</v>
      </c>
      <c r="N371" s="91">
        <v>-5.6100319926851587E-7</v>
      </c>
    </row>
    <row r="372" spans="13:14" x14ac:dyDescent="0.2">
      <c r="M372" s="149">
        <v>4.48750000000003</v>
      </c>
      <c r="N372" s="91">
        <v>-5.4383946955354324E-7</v>
      </c>
    </row>
    <row r="373" spans="13:14" x14ac:dyDescent="0.2">
      <c r="M373" s="149">
        <v>4.5000000000000302</v>
      </c>
      <c r="N373" s="91">
        <v>-5.2694219174654703E-7</v>
      </c>
    </row>
    <row r="374" spans="13:14" x14ac:dyDescent="0.2">
      <c r="M374" s="149">
        <v>4.5125000000000304</v>
      </c>
      <c r="N374" s="91">
        <v>-5.1031813987534741E-7</v>
      </c>
    </row>
    <row r="375" spans="13:14" x14ac:dyDescent="0.2">
      <c r="M375" s="149">
        <v>4.5250000000000306</v>
      </c>
      <c r="N375" s="91">
        <v>-4.939741288931574E-7</v>
      </c>
    </row>
    <row r="376" spans="13:14" x14ac:dyDescent="0.2">
      <c r="M376" s="149">
        <v>4.5375000000000307</v>
      </c>
      <c r="N376" s="91">
        <v>-4.7791701467861728E-7</v>
      </c>
    </row>
    <row r="377" spans="13:14" x14ac:dyDescent="0.2">
      <c r="M377" s="149">
        <v>4.5500000000000309</v>
      </c>
      <c r="N377" s="91">
        <v>-4.6215369403582033E-7</v>
      </c>
    </row>
    <row r="378" spans="13:14" x14ac:dyDescent="0.2">
      <c r="M378" s="149">
        <v>4.5625000000000311</v>
      </c>
      <c r="N378" s="91">
        <v>-4.4669110469426147E-7</v>
      </c>
    </row>
    <row r="379" spans="13:14" x14ac:dyDescent="0.2">
      <c r="M379" s="149">
        <v>4.5750000000000313</v>
      </c>
      <c r="N379" s="91">
        <v>-4.3153622530886826E-7</v>
      </c>
    </row>
    <row r="380" spans="13:14" x14ac:dyDescent="0.2">
      <c r="M380" s="149">
        <v>4.5875000000000314</v>
      </c>
      <c r="N380" s="91">
        <v>-4.1669607545998613E-7</v>
      </c>
    </row>
    <row r="381" spans="13:14" x14ac:dyDescent="0.2">
      <c r="M381" s="149">
        <v>4.6000000000000316</v>
      </c>
      <c r="N381" s="91">
        <v>-4.0217771565340226E-7</v>
      </c>
    </row>
    <row r="382" spans="13:14" x14ac:dyDescent="0.2">
      <c r="M382" s="149">
        <v>4.6125000000000318</v>
      </c>
      <c r="N382" s="91">
        <v>-3.8798824732030187E-7</v>
      </c>
    </row>
    <row r="383" spans="13:14" x14ac:dyDescent="0.2">
      <c r="M383" s="149">
        <v>4.625000000000032</v>
      </c>
      <c r="N383" s="91">
        <v>-3.741348128173362E-7</v>
      </c>
    </row>
    <row r="384" spans="13:14" x14ac:dyDescent="0.2">
      <c r="M384" s="149">
        <v>4.6375000000000322</v>
      </c>
      <c r="N384" s="91">
        <v>-3.6062459542654149E-7</v>
      </c>
    </row>
    <row r="385" spans="13:14" x14ac:dyDescent="0.2">
      <c r="M385" s="149">
        <v>4.6500000000000323</v>
      </c>
      <c r="N385" s="91">
        <v>-3.474648193554033E-7</v>
      </c>
    </row>
    <row r="386" spans="13:14" x14ac:dyDescent="0.2">
      <c r="M386" s="149">
        <v>4.6625000000000325</v>
      </c>
      <c r="N386" s="91">
        <v>-3.3466274973682679E-7</v>
      </c>
    </row>
    <row r="387" spans="13:14" x14ac:dyDescent="0.2">
      <c r="M387" s="149">
        <v>4.6750000000000327</v>
      </c>
      <c r="N387" s="91">
        <v>-3.2222569262913911E-7</v>
      </c>
    </row>
    <row r="388" spans="13:14" x14ac:dyDescent="0.2">
      <c r="M388" s="149">
        <v>4.6875000000000329</v>
      </c>
      <c r="N388" s="91">
        <v>-3.1016099501608931E-7</v>
      </c>
    </row>
    <row r="389" spans="13:14" x14ac:dyDescent="0.2">
      <c r="M389" s="149">
        <v>4.700000000000033</v>
      </c>
      <c r="N389" s="91">
        <v>-2.984760448068585E-7</v>
      </c>
    </row>
    <row r="390" spans="13:14" x14ac:dyDescent="0.2">
      <c r="M390" s="149">
        <v>4.7125000000000332</v>
      </c>
      <c r="N390" s="91">
        <v>-2.8717827083605713E-7</v>
      </c>
    </row>
    <row r="391" spans="13:14" x14ac:dyDescent="0.2">
      <c r="M391" s="149">
        <v>4.7250000000000334</v>
      </c>
      <c r="N391" s="91">
        <v>-2.762751428637297E-7</v>
      </c>
    </row>
    <row r="392" spans="13:14" x14ac:dyDescent="0.2">
      <c r="M392" s="149">
        <v>4.7375000000000336</v>
      </c>
      <c r="N392" s="91">
        <v>-2.6577417157531168E-7</v>
      </c>
    </row>
    <row r="393" spans="13:14" x14ac:dyDescent="0.2">
      <c r="M393" s="149">
        <v>4.7500000000000338</v>
      </c>
      <c r="N393" s="91">
        <v>-2.5568290858167906E-7</v>
      </c>
    </row>
    <row r="394" spans="13:14" x14ac:dyDescent="0.2">
      <c r="M394" s="149">
        <v>4.7625000000000339</v>
      </c>
      <c r="N394" s="91">
        <v>-2.4600894641915977E-7</v>
      </c>
    </row>
    <row r="395" spans="13:14" x14ac:dyDescent="0.2">
      <c r="M395" s="149">
        <v>4.7750000000000341</v>
      </c>
      <c r="N395" s="91">
        <v>-2.3675991854947637E-7</v>
      </c>
    </row>
    <row r="396" spans="13:14" x14ac:dyDescent="0.2">
      <c r="M396" s="149">
        <v>4.7875000000000343</v>
      </c>
      <c r="N396" s="91">
        <v>-2.2794349935977627E-7</v>
      </c>
    </row>
    <row r="397" spans="13:14" x14ac:dyDescent="0.2">
      <c r="M397" s="149">
        <v>4.8000000000000345</v>
      </c>
      <c r="N397" s="91">
        <v>-2.1956740416265977E-7</v>
      </c>
    </row>
    <row r="398" spans="13:14" x14ac:dyDescent="0.2">
      <c r="M398" s="149">
        <v>4.8125000000000346</v>
      </c>
      <c r="N398" s="91">
        <v>-2.1163938919614119E-7</v>
      </c>
    </row>
    <row r="399" spans="13:14" x14ac:dyDescent="0.2">
      <c r="M399" s="149">
        <v>4.8250000000000348</v>
      </c>
      <c r="N399" s="91">
        <v>-2.0416725162362572E-7</v>
      </c>
    </row>
    <row r="400" spans="13:14" x14ac:dyDescent="0.2">
      <c r="M400" s="149">
        <v>4.837500000000035</v>
      </c>
      <c r="N400" s="91">
        <v>-1.9715882953398764E-7</v>
      </c>
    </row>
    <row r="401" spans="13:14" x14ac:dyDescent="0.2">
      <c r="M401" s="149">
        <v>4.8500000000000352</v>
      </c>
      <c r="N401" s="91">
        <v>-1.9062200194151593E-7</v>
      </c>
    </row>
    <row r="402" spans="13:14" x14ac:dyDescent="0.2">
      <c r="M402" s="149">
        <v>4.8625000000000353</v>
      </c>
      <c r="N402" s="91">
        <v>-1.845646887859144E-7</v>
      </c>
    </row>
    <row r="403" spans="13:14" x14ac:dyDescent="0.2">
      <c r="M403" s="149">
        <v>4.8750000000000355</v>
      </c>
      <c r="N403" s="91">
        <v>-1.7899485093232764E-7</v>
      </c>
    </row>
    <row r="404" spans="13:14" x14ac:dyDescent="0.2">
      <c r="M404" s="149">
        <v>4.8875000000000357</v>
      </c>
      <c r="N404" s="91">
        <v>-1.739204901712935E-7</v>
      </c>
    </row>
    <row r="405" spans="13:14" x14ac:dyDescent="0.2">
      <c r="M405" s="149">
        <v>4.9000000000000359</v>
      </c>
      <c r="N405" s="91">
        <v>-1.6934964921882335E-7</v>
      </c>
    </row>
    <row r="406" spans="13:14" x14ac:dyDescent="0.2">
      <c r="M406" s="149">
        <v>4.9125000000000361</v>
      </c>
      <c r="N406" s="91">
        <v>-1.6529041171631806E-7</v>
      </c>
    </row>
    <row r="407" spans="13:14" x14ac:dyDescent="0.2">
      <c r="M407" s="149">
        <v>4.9250000000000362</v>
      </c>
      <c r="N407" s="91">
        <v>-1.6175090223060334E-7</v>
      </c>
    </row>
    <row r="408" spans="13:14" x14ac:dyDescent="0.2">
      <c r="M408" s="149">
        <v>4.9375000000000364</v>
      </c>
      <c r="N408" s="91">
        <v>-1.5873928625396118E-7</v>
      </c>
    </row>
    <row r="409" spans="13:14" x14ac:dyDescent="0.2">
      <c r="M409" s="149">
        <v>4.9500000000000366</v>
      </c>
      <c r="N409" s="91">
        <v>-1.5626377020407196E-7</v>
      </c>
    </row>
    <row r="410" spans="13:14" x14ac:dyDescent="0.2">
      <c r="M410" s="149">
        <v>4.9625000000000368</v>
      </c>
      <c r="N410" s="91">
        <v>-1.5433260142403207E-7</v>
      </c>
    </row>
    <row r="411" spans="13:14" x14ac:dyDescent="0.2">
      <c r="M411" s="149">
        <v>4.9750000000000369</v>
      </c>
      <c r="N411" s="91">
        <v>-1.5295406818240178E-7</v>
      </c>
    </row>
    <row r="412" spans="13:14" x14ac:dyDescent="0.2">
      <c r="M412" s="149">
        <v>4.9875000000000371</v>
      </c>
      <c r="N412" s="91">
        <v>-1.5213649967313686E-7</v>
      </c>
    </row>
    <row r="413" spans="13:14" x14ac:dyDescent="0.2">
      <c r="M413" s="149">
        <v>5.0000000000000373</v>
      </c>
      <c r="N413" s="91">
        <v>-1.5188826601563038E-7</v>
      </c>
    </row>
    <row r="414" spans="13:14" x14ac:dyDescent="0.2">
      <c r="M414" s="149">
        <v>5.0000000000000373</v>
      </c>
      <c r="N414" s="91">
        <v>-1.5188826601561828E-7</v>
      </c>
    </row>
    <row r="415" spans="13:14" x14ac:dyDescent="0.2">
      <c r="M415" s="149">
        <v>5.0125000000000375</v>
      </c>
      <c r="N415" s="91">
        <v>-1.5219874628531564E-7</v>
      </c>
    </row>
    <row r="416" spans="13:14" x14ac:dyDescent="0.2">
      <c r="M416" s="149">
        <v>5.0250000000000377</v>
      </c>
      <c r="N416" s="91">
        <v>-1.5304628394616672E-7</v>
      </c>
    </row>
    <row r="417" spans="13:14" x14ac:dyDescent="0.2">
      <c r="M417" s="149">
        <v>5.0375000000000369</v>
      </c>
      <c r="N417" s="91">
        <v>-1.5442275708842306E-7</v>
      </c>
    </row>
    <row r="418" spans="13:14" x14ac:dyDescent="0.2">
      <c r="M418" s="149">
        <v>5.0500000000000371</v>
      </c>
      <c r="N418" s="91">
        <v>-1.563200847277615E-7</v>
      </c>
    </row>
    <row r="419" spans="13:14" x14ac:dyDescent="0.2">
      <c r="M419" s="149">
        <v>5.0625000000000373</v>
      </c>
      <c r="N419" s="91">
        <v>-1.587302268052843E-7</v>
      </c>
    </row>
    <row r="420" spans="13:14" x14ac:dyDescent="0.2">
      <c r="M420" s="149">
        <v>5.0750000000000375</v>
      </c>
      <c r="N420" s="91">
        <v>-1.6164518418751901E-7</v>
      </c>
    </row>
    <row r="421" spans="13:14" x14ac:dyDescent="0.2">
      <c r="M421" s="149">
        <v>5.0875000000000377</v>
      </c>
      <c r="N421" s="91">
        <v>-1.6505699866641862E-7</v>
      </c>
    </row>
    <row r="422" spans="13:14" x14ac:dyDescent="0.2">
      <c r="M422" s="149">
        <v>5.1000000000000369</v>
      </c>
      <c r="N422" s="91">
        <v>-1.6895775295936142E-7</v>
      </c>
    </row>
    <row r="423" spans="13:14" x14ac:dyDescent="0.2">
      <c r="M423" s="149">
        <v>5.1125000000000371</v>
      </c>
      <c r="N423" s="91">
        <v>-1.7333957070915112E-7</v>
      </c>
    </row>
    <row r="424" spans="13:14" x14ac:dyDescent="0.2">
      <c r="M424" s="149">
        <v>5.1250000000000373</v>
      </c>
      <c r="N424" s="91">
        <v>-1.7819461648401675E-7</v>
      </c>
    </row>
    <row r="425" spans="13:14" x14ac:dyDescent="0.2">
      <c r="M425" s="149">
        <v>5.1375000000000375</v>
      </c>
      <c r="N425" s="91">
        <v>-1.8351509577761271E-7</v>
      </c>
    </row>
    <row r="426" spans="13:14" x14ac:dyDescent="0.2">
      <c r="M426" s="149">
        <v>5.1500000000000377</v>
      </c>
      <c r="N426" s="91">
        <v>-1.8929325500901878E-7</v>
      </c>
    </row>
    <row r="427" spans="13:14" x14ac:dyDescent="0.2">
      <c r="M427" s="149">
        <v>5.1625000000000369</v>
      </c>
      <c r="N427" s="91">
        <v>-1.9552138152274008E-7</v>
      </c>
    </row>
    <row r="428" spans="13:14" x14ac:dyDescent="0.2">
      <c r="M428" s="149">
        <v>5.1750000000000371</v>
      </c>
      <c r="N428" s="91">
        <v>-2.0219180358870713E-7</v>
      </c>
    </row>
    <row r="429" spans="13:14" x14ac:dyDescent="0.2">
      <c r="M429" s="149">
        <v>5.1875000000000373</v>
      </c>
      <c r="N429" s="91">
        <v>-2.0929689040227574E-7</v>
      </c>
    </row>
    <row r="430" spans="13:14" x14ac:dyDescent="0.2">
      <c r="M430" s="149">
        <v>5.2000000000000375</v>
      </c>
      <c r="N430" s="91">
        <v>-2.1682905208422718E-7</v>
      </c>
    </row>
    <row r="431" spans="13:14" x14ac:dyDescent="0.2">
      <c r="M431" s="149">
        <v>5.2125000000000377</v>
      </c>
      <c r="N431" s="91">
        <v>-2.2478073968076796E-7</v>
      </c>
    </row>
    <row r="432" spans="13:14" x14ac:dyDescent="0.2">
      <c r="M432" s="149">
        <v>5.2250000000000369</v>
      </c>
      <c r="N432" s="91">
        <v>-2.331444451635301E-7</v>
      </c>
    </row>
    <row r="433" spans="13:14" x14ac:dyDescent="0.2">
      <c r="M433" s="149">
        <v>5.2375000000000371</v>
      </c>
      <c r="N433" s="91">
        <v>-2.4191270142957083E-7</v>
      </c>
    </row>
    <row r="434" spans="13:14" x14ac:dyDescent="0.2">
      <c r="M434" s="149">
        <v>5.2500000000000373</v>
      </c>
      <c r="N434" s="91">
        <v>-2.5107808230137292E-7</v>
      </c>
    </row>
    <row r="435" spans="13:14" x14ac:dyDescent="0.2">
      <c r="M435" s="149">
        <v>5.2625000000000375</v>
      </c>
      <c r="N435" s="91">
        <v>-2.6063320252684432E-7</v>
      </c>
    </row>
    <row r="436" spans="13:14" x14ac:dyDescent="0.2">
      <c r="M436" s="149">
        <v>5.2750000000000377</v>
      </c>
      <c r="N436" s="91">
        <v>-2.7057071777931846E-7</v>
      </c>
    </row>
    <row r="437" spans="13:14" x14ac:dyDescent="0.2">
      <c r="M437" s="149">
        <v>5.2875000000000369</v>
      </c>
      <c r="N437" s="91">
        <v>-2.80883324657554E-7</v>
      </c>
    </row>
    <row r="438" spans="13:14" x14ac:dyDescent="0.2">
      <c r="M438" s="149">
        <v>5.3000000000000371</v>
      </c>
      <c r="N438" s="91">
        <v>-2.9156376068573525E-7</v>
      </c>
    </row>
    <row r="439" spans="13:14" x14ac:dyDescent="0.2">
      <c r="M439" s="149">
        <v>5.3125000000000373</v>
      </c>
      <c r="N439" s="91">
        <v>-3.0260480431347147E-7</v>
      </c>
    </row>
    <row r="440" spans="13:14" x14ac:dyDescent="0.2">
      <c r="M440" s="149">
        <v>5.3250000000000375</v>
      </c>
      <c r="N440" s="91">
        <v>-3.1399927491579772E-7</v>
      </c>
    </row>
    <row r="441" spans="13:14" x14ac:dyDescent="0.2">
      <c r="M441" s="149">
        <v>5.3375000000000377</v>
      </c>
      <c r="N441" s="91">
        <v>-3.25740032793174E-7</v>
      </c>
    </row>
    <row r="442" spans="13:14" x14ac:dyDescent="0.2">
      <c r="M442" s="149">
        <v>5.3500000000000378</v>
      </c>
      <c r="N442" s="91">
        <v>-3.3781997917148602E-7</v>
      </c>
    </row>
    <row r="443" spans="13:14" x14ac:dyDescent="0.2">
      <c r="M443" s="149">
        <v>5.3625000000000371</v>
      </c>
      <c r="N443" s="91">
        <v>-3.5023205620204465E-7</v>
      </c>
    </row>
    <row r="444" spans="13:14" x14ac:dyDescent="0.2">
      <c r="M444" s="149">
        <v>5.3750000000000373</v>
      </c>
      <c r="N444" s="91">
        <v>-3.629692469615862E-7</v>
      </c>
    </row>
    <row r="445" spans="13:14" x14ac:dyDescent="0.2">
      <c r="M445" s="149">
        <v>5.3875000000000375</v>
      </c>
      <c r="N445" s="91">
        <v>-3.7602457545227237E-7</v>
      </c>
    </row>
    <row r="446" spans="13:14" x14ac:dyDescent="0.2">
      <c r="M446" s="149">
        <v>5.4000000000000377</v>
      </c>
      <c r="N446" s="91">
        <v>-3.8939110660169013E-7</v>
      </c>
    </row>
    <row r="447" spans="13:14" x14ac:dyDescent="0.2">
      <c r="M447" s="149">
        <v>5.4125000000000378</v>
      </c>
      <c r="N447" s="91">
        <v>-4.0306194626285182E-7</v>
      </c>
    </row>
    <row r="448" spans="13:14" x14ac:dyDescent="0.2">
      <c r="M448" s="149">
        <v>5.4250000000000371</v>
      </c>
      <c r="N448" s="91">
        <v>-4.1703024121419525E-7</v>
      </c>
    </row>
    <row r="449" spans="13:14" x14ac:dyDescent="0.2">
      <c r="M449" s="149">
        <v>5.4375000000000373</v>
      </c>
      <c r="N449" s="91">
        <v>-4.3128917915958347E-7</v>
      </c>
    </row>
    <row r="450" spans="13:14" x14ac:dyDescent="0.2">
      <c r="M450" s="149">
        <v>5.4500000000000375</v>
      </c>
      <c r="N450" s="91">
        <v>-4.45831988728305E-7</v>
      </c>
    </row>
    <row r="451" spans="13:14" x14ac:dyDescent="0.2">
      <c r="M451" s="149">
        <v>5.4625000000000377</v>
      </c>
      <c r="N451" s="91">
        <v>-4.606519394750736E-7</v>
      </c>
    </row>
    <row r="452" spans="13:14" x14ac:dyDescent="0.2">
      <c r="M452" s="149">
        <v>5.4750000000000378</v>
      </c>
      <c r="N452" s="91">
        <v>-4.757423418800286E-7</v>
      </c>
    </row>
    <row r="453" spans="13:14" x14ac:dyDescent="0.2">
      <c r="M453" s="149">
        <v>5.487500000000038</v>
      </c>
      <c r="N453" s="91">
        <v>-4.9109654734873449E-7</v>
      </c>
    </row>
    <row r="454" spans="13:14" x14ac:dyDescent="0.2">
      <c r="M454" s="149">
        <v>5.5000000000000373</v>
      </c>
      <c r="N454" s="91">
        <v>-5.06707948212181E-7</v>
      </c>
    </row>
    <row r="455" spans="13:14" x14ac:dyDescent="0.2">
      <c r="M455" s="149">
        <v>5.5125000000000375</v>
      </c>
      <c r="N455" s="91">
        <v>-5.2256997772678362E-7</v>
      </c>
    </row>
    <row r="456" spans="13:14" x14ac:dyDescent="0.2">
      <c r="M456" s="149">
        <v>5.5250000000000377</v>
      </c>
      <c r="N456" s="91">
        <v>-5.3867611007438291E-7</v>
      </c>
    </row>
    <row r="457" spans="13:14" x14ac:dyDescent="0.2">
      <c r="M457" s="149">
        <v>5.5375000000000369</v>
      </c>
      <c r="N457" s="91">
        <v>-5.5501986036224499E-7</v>
      </c>
    </row>
    <row r="458" spans="13:14" x14ac:dyDescent="0.2">
      <c r="M458" s="149">
        <v>5.5500000000000371</v>
      </c>
      <c r="N458" s="91">
        <v>-5.7159478462306101E-7</v>
      </c>
    </row>
    <row r="459" spans="13:14" x14ac:dyDescent="0.2">
      <c r="M459" s="149">
        <v>5.5625000000000373</v>
      </c>
      <c r="N459" s="91">
        <v>-5.8839447981494801E-7</v>
      </c>
    </row>
    <row r="460" spans="13:14" x14ac:dyDescent="0.2">
      <c r="M460" s="149">
        <v>5.5750000000000375</v>
      </c>
      <c r="N460" s="91">
        <v>-6.0541258382144786E-7</v>
      </c>
    </row>
    <row r="461" spans="13:14" x14ac:dyDescent="0.2">
      <c r="M461" s="149">
        <v>5.5875000000000377</v>
      </c>
      <c r="N461" s="91">
        <v>-6.2264277545152809E-7</v>
      </c>
    </row>
    <row r="462" spans="13:14" x14ac:dyDescent="0.2">
      <c r="M462" s="149">
        <v>5.6000000000000369</v>
      </c>
      <c r="N462" s="91">
        <v>-6.400787744395814E-7</v>
      </c>
    </row>
    <row r="463" spans="13:14" x14ac:dyDescent="0.2">
      <c r="M463" s="149">
        <v>5.6125000000000371</v>
      </c>
      <c r="N463" s="91">
        <v>-6.5771434144542625E-7</v>
      </c>
    </row>
    <row r="464" spans="13:14" x14ac:dyDescent="0.2">
      <c r="M464" s="149">
        <v>5.6250000000000373</v>
      </c>
      <c r="N464" s="91">
        <v>-6.7554327805430593E-7</v>
      </c>
    </row>
    <row r="465" spans="13:14" x14ac:dyDescent="0.2">
      <c r="M465" s="149">
        <v>5.6375000000000366</v>
      </c>
      <c r="N465" s="91">
        <v>-6.9355942677688931E-7</v>
      </c>
    </row>
    <row r="466" spans="13:14" x14ac:dyDescent="0.2">
      <c r="M466" s="149">
        <v>5.6500000000000368</v>
      </c>
      <c r="N466" s="91">
        <v>-7.1175667104927091E-7</v>
      </c>
    </row>
    <row r="467" spans="13:14" x14ac:dyDescent="0.2">
      <c r="M467" s="149">
        <v>5.6625000000000369</v>
      </c>
      <c r="N467" s="91">
        <v>-7.3012893523297031E-7</v>
      </c>
    </row>
    <row r="468" spans="13:14" x14ac:dyDescent="0.2">
      <c r="M468" s="149">
        <v>5.6750000000000371</v>
      </c>
      <c r="N468" s="91">
        <v>-7.4867018461493213E-7</v>
      </c>
    </row>
    <row r="469" spans="13:14" x14ac:dyDescent="0.2">
      <c r="M469" s="149">
        <v>5.6875000000000373</v>
      </c>
      <c r="N469" s="91">
        <v>-7.6737442540752717E-7</v>
      </c>
    </row>
    <row r="470" spans="13:14" x14ac:dyDescent="0.2">
      <c r="M470" s="149">
        <v>5.7000000000000366</v>
      </c>
      <c r="N470" s="91">
        <v>-7.8623570474855098E-7</v>
      </c>
    </row>
    <row r="471" spans="13:14" x14ac:dyDescent="0.2">
      <c r="M471" s="149">
        <v>5.7125000000000368</v>
      </c>
      <c r="N471" s="91">
        <v>-8.0524811070122466E-7</v>
      </c>
    </row>
    <row r="472" spans="13:14" x14ac:dyDescent="0.2">
      <c r="M472" s="149">
        <v>5.7250000000000369</v>
      </c>
      <c r="N472" s="91">
        <v>-8.2440577225419445E-7</v>
      </c>
    </row>
    <row r="473" spans="13:14" x14ac:dyDescent="0.2">
      <c r="M473" s="149">
        <v>5.7375000000000362</v>
      </c>
      <c r="N473" s="91">
        <v>-8.437028593215325E-7</v>
      </c>
    </row>
    <row r="474" spans="13:14" x14ac:dyDescent="0.2">
      <c r="M474" s="149">
        <v>5.7500000000000364</v>
      </c>
      <c r="N474" s="91">
        <v>-8.6313358274273587E-7</v>
      </c>
    </row>
    <row r="475" spans="13:14" x14ac:dyDescent="0.2">
      <c r="M475" s="149">
        <v>5.7625000000000366</v>
      </c>
      <c r="N475" s="91">
        <v>-8.8269219428272699E-7</v>
      </c>
    </row>
    <row r="476" spans="13:14" x14ac:dyDescent="0.2">
      <c r="M476" s="149">
        <v>5.7750000000000368</v>
      </c>
      <c r="N476" s="91">
        <v>-9.0237298663185384E-7</v>
      </c>
    </row>
    <row r="477" spans="13:14" x14ac:dyDescent="0.2">
      <c r="M477" s="149">
        <v>5.7875000000000369</v>
      </c>
      <c r="N477" s="91">
        <v>-9.2217029340588967E-7</v>
      </c>
    </row>
    <row r="478" spans="13:14" x14ac:dyDescent="0.2">
      <c r="M478" s="149">
        <v>5.8000000000000362</v>
      </c>
      <c r="N478" s="91">
        <v>-9.4207848914603309E-7</v>
      </c>
    </row>
    <row r="479" spans="13:14" x14ac:dyDescent="0.2">
      <c r="M479" s="149">
        <v>5.8125000000000364</v>
      </c>
      <c r="N479" s="91">
        <v>-9.6209198931890782E-7</v>
      </c>
    </row>
    <row r="480" spans="13:14" x14ac:dyDescent="0.2">
      <c r="M480" s="149">
        <v>5.8250000000000366</v>
      </c>
      <c r="N480" s="91">
        <v>-9.8220525031656362E-7</v>
      </c>
    </row>
    <row r="481" spans="13:14" x14ac:dyDescent="0.2">
      <c r="M481" s="149">
        <v>5.8375000000000359</v>
      </c>
      <c r="N481" s="91">
        <v>-1.0024127694564751E-6</v>
      </c>
    </row>
    <row r="482" spans="13:14" x14ac:dyDescent="0.2">
      <c r="M482" s="149">
        <v>5.8500000000000361</v>
      </c>
      <c r="N482" s="91">
        <v>-1.0227090849815423E-6</v>
      </c>
    </row>
    <row r="483" spans="13:14" x14ac:dyDescent="0.2">
      <c r="M483" s="149">
        <v>5.8625000000000362</v>
      </c>
      <c r="N483" s="91">
        <v>-1.0430887760600906E-6</v>
      </c>
    </row>
    <row r="484" spans="13:14" x14ac:dyDescent="0.2">
      <c r="M484" s="149">
        <v>5.8750000000000364</v>
      </c>
      <c r="N484" s="91">
        <v>-1.0635464627858704E-6</v>
      </c>
    </row>
    <row r="485" spans="13:14" x14ac:dyDescent="0.2">
      <c r="M485" s="149">
        <v>5.8875000000000366</v>
      </c>
      <c r="N485" s="91">
        <v>-1.0840768061780587E-6</v>
      </c>
    </row>
    <row r="486" spans="13:14" x14ac:dyDescent="0.2">
      <c r="M486" s="149">
        <v>5.9000000000000359</v>
      </c>
      <c r="N486" s="91">
        <v>-1.1046745081812564E-6</v>
      </c>
    </row>
    <row r="487" spans="13:14" x14ac:dyDescent="0.2">
      <c r="M487" s="149">
        <v>5.9125000000000361</v>
      </c>
      <c r="N487" s="91">
        <v>-1.1253343116654906E-6</v>
      </c>
    </row>
    <row r="488" spans="13:14" x14ac:dyDescent="0.2">
      <c r="M488" s="149">
        <v>5.9250000000000362</v>
      </c>
      <c r="N488" s="91">
        <v>-1.1460510004262133E-6</v>
      </c>
    </row>
    <row r="489" spans="13:14" x14ac:dyDescent="0.2">
      <c r="M489" s="149">
        <v>5.9375000000000355</v>
      </c>
      <c r="N489" s="91">
        <v>-1.1668193991843027E-6</v>
      </c>
    </row>
    <row r="490" spans="13:14" x14ac:dyDescent="0.2">
      <c r="M490" s="149">
        <v>5.9500000000000357</v>
      </c>
      <c r="N490" s="91">
        <v>-1.187634373586061E-6</v>
      </c>
    </row>
    <row r="491" spans="13:14" x14ac:dyDescent="0.2">
      <c r="M491" s="149">
        <v>5.9625000000000359</v>
      </c>
      <c r="N491" s="91">
        <v>-1.2084908302032167E-6</v>
      </c>
    </row>
    <row r="492" spans="13:14" x14ac:dyDescent="0.2">
      <c r="M492" s="149">
        <v>5.9750000000000361</v>
      </c>
      <c r="N492" s="91">
        <v>-1.2293837165329244E-6</v>
      </c>
    </row>
    <row r="493" spans="13:14" x14ac:dyDescent="0.2">
      <c r="M493" s="149">
        <v>5.9875000000000362</v>
      </c>
      <c r="N493" s="91">
        <v>-1.2503080209977618E-6</v>
      </c>
    </row>
    <row r="494" spans="13:14" x14ac:dyDescent="0.2">
      <c r="M494" s="149">
        <v>6.0000000000000355</v>
      </c>
      <c r="N494" s="91">
        <v>-1.2712587729457343E-6</v>
      </c>
    </row>
    <row r="495" spans="13:14" x14ac:dyDescent="0.2">
      <c r="M495" s="149">
        <v>6.0125000000000357</v>
      </c>
      <c r="N495" s="91">
        <v>-1.2922310426502711E-6</v>
      </c>
    </row>
    <row r="496" spans="13:14" x14ac:dyDescent="0.2">
      <c r="M496" s="149">
        <v>6.0250000000000359</v>
      </c>
      <c r="N496" s="91">
        <v>-1.3132199413102279E-6</v>
      </c>
    </row>
    <row r="497" spans="13:14" x14ac:dyDescent="0.2">
      <c r="M497" s="149">
        <v>6.0375000000000352</v>
      </c>
      <c r="N497" s="91">
        <v>-1.3342206210498845E-6</v>
      </c>
    </row>
    <row r="498" spans="13:14" x14ac:dyDescent="0.2">
      <c r="M498" s="149">
        <v>6.0500000000000353</v>
      </c>
      <c r="N498" s="91">
        <v>-1.3552282749189476E-6</v>
      </c>
    </row>
    <row r="499" spans="13:14" x14ac:dyDescent="0.2">
      <c r="M499" s="149">
        <v>6.0625000000000355</v>
      </c>
      <c r="N499" s="91">
        <v>-1.376238136892548E-6</v>
      </c>
    </row>
    <row r="500" spans="13:14" x14ac:dyDescent="0.2">
      <c r="M500" s="149">
        <v>6.0750000000000357</v>
      </c>
      <c r="N500" s="91">
        <v>-1.3972454818712421E-6</v>
      </c>
    </row>
    <row r="501" spans="13:14" x14ac:dyDescent="0.2">
      <c r="M501" s="149">
        <v>6.0875000000000359</v>
      </c>
      <c r="N501" s="91">
        <v>-1.4182456256810122E-6</v>
      </c>
    </row>
    <row r="502" spans="13:14" x14ac:dyDescent="0.2">
      <c r="M502" s="149">
        <v>6.1000000000000352</v>
      </c>
      <c r="N502" s="91">
        <v>-1.439233925073265E-6</v>
      </c>
    </row>
    <row r="503" spans="13:14" x14ac:dyDescent="0.2">
      <c r="M503" s="149">
        <v>6.1125000000000353</v>
      </c>
      <c r="N503" s="91">
        <v>-1.4602057777248339E-6</v>
      </c>
    </row>
    <row r="504" spans="13:14" x14ac:dyDescent="0.2">
      <c r="M504" s="149">
        <v>6.1250000000000355</v>
      </c>
      <c r="N504" s="91">
        <v>-1.481156622237977E-6</v>
      </c>
    </row>
    <row r="505" spans="13:14" x14ac:dyDescent="0.2">
      <c r="M505" s="149">
        <v>6.1375000000000348</v>
      </c>
      <c r="N505" s="91">
        <v>-1.502081938140377E-6</v>
      </c>
    </row>
    <row r="506" spans="13:14" x14ac:dyDescent="0.2">
      <c r="M506" s="149">
        <v>6.150000000000035</v>
      </c>
      <c r="N506" s="91">
        <v>-1.5229772458851429E-6</v>
      </c>
    </row>
    <row r="507" spans="13:14" x14ac:dyDescent="0.2">
      <c r="M507" s="149">
        <v>6.1625000000000352</v>
      </c>
      <c r="N507" s="91">
        <v>-1.5438381068508095E-6</v>
      </c>
    </row>
    <row r="508" spans="13:14" x14ac:dyDescent="0.2">
      <c r="M508" s="149">
        <v>6.1750000000000353</v>
      </c>
      <c r="N508" s="91">
        <v>-1.5646601233413353E-6</v>
      </c>
    </row>
    <row r="509" spans="13:14" x14ac:dyDescent="0.2">
      <c r="M509" s="149">
        <v>6.1875000000000355</v>
      </c>
      <c r="N509" s="91">
        <v>-1.5854389385861058E-6</v>
      </c>
    </row>
    <row r="510" spans="13:14" x14ac:dyDescent="0.2">
      <c r="M510" s="149">
        <v>6.2000000000000348</v>
      </c>
      <c r="N510" s="91">
        <v>-1.6061702367399311E-6</v>
      </c>
    </row>
    <row r="511" spans="13:14" x14ac:dyDescent="0.2">
      <c r="M511" s="149">
        <v>6.212500000000035</v>
      </c>
      <c r="N511" s="91">
        <v>-1.6268497428830472E-6</v>
      </c>
    </row>
    <row r="512" spans="13:14" x14ac:dyDescent="0.2">
      <c r="M512" s="149">
        <v>6.2250000000000352</v>
      </c>
      <c r="N512" s="91">
        <v>-1.6474732230211143E-6</v>
      </c>
    </row>
    <row r="513" spans="13:14" x14ac:dyDescent="0.2">
      <c r="M513" s="149">
        <v>6.2375000000000345</v>
      </c>
      <c r="N513" s="91">
        <v>-1.6680364840852185E-6</v>
      </c>
    </row>
    <row r="514" spans="13:14" x14ac:dyDescent="0.2">
      <c r="M514" s="149">
        <v>6.2500000000000346</v>
      </c>
      <c r="N514" s="91">
        <v>-1.6885353739318723E-6</v>
      </c>
    </row>
    <row r="515" spans="13:14" x14ac:dyDescent="0.2">
      <c r="M515" s="149">
        <v>6.2625000000000348</v>
      </c>
      <c r="N515" s="91">
        <v>-1.7089657813430123E-6</v>
      </c>
    </row>
    <row r="516" spans="13:14" x14ac:dyDescent="0.2">
      <c r="M516" s="149">
        <v>6.275000000000035</v>
      </c>
      <c r="N516" s="91">
        <v>-1.729323636026001E-6</v>
      </c>
    </row>
    <row r="517" spans="13:14" x14ac:dyDescent="0.2">
      <c r="M517" s="149">
        <v>6.2875000000000352</v>
      </c>
      <c r="N517" s="91">
        <v>-1.7496049086136264E-6</v>
      </c>
    </row>
    <row r="518" spans="13:14" x14ac:dyDescent="0.2">
      <c r="M518" s="149">
        <v>6.3000000000000345</v>
      </c>
      <c r="N518" s="91">
        <v>-1.7698056106641011E-6</v>
      </c>
    </row>
    <row r="519" spans="13:14" x14ac:dyDescent="0.2">
      <c r="M519" s="149">
        <v>6.3125000000000346</v>
      </c>
      <c r="N519" s="91">
        <v>-1.7899217946610636E-6</v>
      </c>
    </row>
    <row r="520" spans="13:14" x14ac:dyDescent="0.2">
      <c r="M520" s="149">
        <v>6.3250000000000348</v>
      </c>
      <c r="N520" s="91">
        <v>-1.8099495540135786E-6</v>
      </c>
    </row>
    <row r="521" spans="13:14" x14ac:dyDescent="0.2">
      <c r="M521" s="149">
        <v>6.3375000000000341</v>
      </c>
      <c r="N521" s="91">
        <v>-1.8298850230561342E-6</v>
      </c>
    </row>
    <row r="522" spans="13:14" x14ac:dyDescent="0.2">
      <c r="M522" s="149">
        <v>6.3500000000000343</v>
      </c>
      <c r="N522" s="91">
        <v>-1.8497243770486454E-6</v>
      </c>
    </row>
    <row r="523" spans="13:14" x14ac:dyDescent="0.2">
      <c r="M523" s="149">
        <v>6.3625000000000345</v>
      </c>
      <c r="N523" s="91">
        <v>-1.8694638321764528E-6</v>
      </c>
    </row>
    <row r="524" spans="13:14" x14ac:dyDescent="0.2">
      <c r="M524" s="149">
        <v>6.3750000000000346</v>
      </c>
      <c r="N524" s="91">
        <v>-1.8890996455503204E-6</v>
      </c>
    </row>
    <row r="525" spans="13:14" x14ac:dyDescent="0.2">
      <c r="M525" s="149">
        <v>6.3875000000000348</v>
      </c>
      <c r="N525" s="91">
        <v>-1.90862811520644E-6</v>
      </c>
    </row>
    <row r="526" spans="13:14" x14ac:dyDescent="0.2">
      <c r="M526" s="149">
        <v>6.4000000000000341</v>
      </c>
      <c r="N526" s="91">
        <v>-1.9280455801064269E-6</v>
      </c>
    </row>
    <row r="527" spans="13:14" x14ac:dyDescent="0.2">
      <c r="M527" s="149">
        <v>6.4125000000000343</v>
      </c>
      <c r="N527" s="91">
        <v>-1.9473484201373225E-6</v>
      </c>
    </row>
    <row r="528" spans="13:14" x14ac:dyDescent="0.2">
      <c r="M528" s="149">
        <v>6.4250000000000345</v>
      </c>
      <c r="N528" s="91">
        <v>-1.9665330561115938E-6</v>
      </c>
    </row>
    <row r="529" spans="13:14" x14ac:dyDescent="0.2">
      <c r="M529" s="149">
        <v>6.4375000000000338</v>
      </c>
      <c r="N529" s="91">
        <v>-1.9855959497671333E-6</v>
      </c>
    </row>
    <row r="530" spans="13:14" x14ac:dyDescent="0.2">
      <c r="M530" s="149">
        <v>6.4500000000000339</v>
      </c>
      <c r="N530" s="91">
        <v>-2.0045336037672578E-6</v>
      </c>
    </row>
    <row r="531" spans="13:14" x14ac:dyDescent="0.2">
      <c r="M531" s="149">
        <v>6.4625000000000341</v>
      </c>
      <c r="N531" s="91">
        <v>-2.02334256170071E-6</v>
      </c>
    </row>
    <row r="532" spans="13:14" x14ac:dyDescent="0.2">
      <c r="M532" s="149">
        <v>6.4750000000000343</v>
      </c>
      <c r="N532" s="91">
        <v>-2.0420194080816588E-6</v>
      </c>
    </row>
    <row r="533" spans="13:14" x14ac:dyDescent="0.2">
      <c r="M533" s="149">
        <v>6.4875000000000345</v>
      </c>
      <c r="N533" s="91">
        <v>-2.0605607683496986E-6</v>
      </c>
    </row>
    <row r="534" spans="13:14" x14ac:dyDescent="0.2">
      <c r="M534" s="149">
        <v>6.5000000000000338</v>
      </c>
      <c r="N534" s="91">
        <v>-2.0789633088698459E-6</v>
      </c>
    </row>
    <row r="535" spans="13:14" x14ac:dyDescent="0.2">
      <c r="M535" s="149">
        <v>6.5125000000000339</v>
      </c>
      <c r="N535" s="91">
        <v>-2.0972237369325457E-6</v>
      </c>
    </row>
    <row r="536" spans="13:14" x14ac:dyDescent="0.2">
      <c r="M536" s="149">
        <v>6.5250000000000341</v>
      </c>
      <c r="N536" s="91">
        <v>-2.1153388007536683E-6</v>
      </c>
    </row>
    <row r="537" spans="13:14" x14ac:dyDescent="0.2">
      <c r="M537" s="149">
        <v>6.5375000000000334</v>
      </c>
      <c r="N537" s="91">
        <v>-2.1333052894745095E-6</v>
      </c>
    </row>
    <row r="538" spans="13:14" x14ac:dyDescent="0.2">
      <c r="M538" s="149">
        <v>6.5500000000000336</v>
      </c>
      <c r="N538" s="91">
        <v>-2.1511200331617886E-6</v>
      </c>
    </row>
    <row r="539" spans="13:14" x14ac:dyDescent="0.2">
      <c r="M539" s="149">
        <v>6.5625000000000338</v>
      </c>
      <c r="N539" s="91">
        <v>-2.1687799028076515E-6</v>
      </c>
    </row>
    <row r="540" spans="13:14" x14ac:dyDescent="0.2">
      <c r="M540" s="149">
        <v>6.5750000000000339</v>
      </c>
      <c r="N540" s="91">
        <v>-2.186281810329669E-6</v>
      </c>
    </row>
    <row r="541" spans="13:14" x14ac:dyDescent="0.2">
      <c r="M541" s="149">
        <v>6.5875000000000341</v>
      </c>
      <c r="N541" s="91">
        <v>-2.2036227085708373E-6</v>
      </c>
    </row>
    <row r="542" spans="13:14" x14ac:dyDescent="0.2">
      <c r="M542" s="149">
        <v>6.6000000000000334</v>
      </c>
      <c r="N542" s="91">
        <v>-2.2207995912995789E-6</v>
      </c>
    </row>
    <row r="543" spans="13:14" x14ac:dyDescent="0.2">
      <c r="M543" s="149">
        <v>6.6125000000000336</v>
      </c>
      <c r="N543" s="91">
        <v>-2.237809493209741E-6</v>
      </c>
    </row>
    <row r="544" spans="13:14" x14ac:dyDescent="0.2">
      <c r="M544" s="149">
        <v>6.6250000000000338</v>
      </c>
      <c r="N544" s="91">
        <v>-2.2546494899205967E-6</v>
      </c>
    </row>
    <row r="545" spans="13:14" x14ac:dyDescent="0.2">
      <c r="M545" s="149">
        <v>6.637500000000033</v>
      </c>
      <c r="N545" s="91">
        <v>-2.2713166979768421E-6</v>
      </c>
    </row>
    <row r="546" spans="13:14" x14ac:dyDescent="0.2">
      <c r="M546" s="149">
        <v>6.6500000000000332</v>
      </c>
      <c r="N546" s="91">
        <v>-2.2878082748486026E-6</v>
      </c>
    </row>
    <row r="547" spans="13:14" x14ac:dyDescent="0.2">
      <c r="M547" s="149">
        <v>6.6625000000000334</v>
      </c>
      <c r="N547" s="91">
        <v>-2.304121418931425E-6</v>
      </c>
    </row>
    <row r="548" spans="13:14" x14ac:dyDescent="0.2">
      <c r="M548" s="149">
        <v>6.6750000000000336</v>
      </c>
      <c r="N548" s="91">
        <v>-2.3202533695462844E-6</v>
      </c>
    </row>
    <row r="549" spans="13:14" x14ac:dyDescent="0.2">
      <c r="M549" s="149">
        <v>6.6875000000000338</v>
      </c>
      <c r="N549" s="91">
        <v>-2.3362014069395798E-6</v>
      </c>
    </row>
    <row r="550" spans="13:14" x14ac:dyDescent="0.2">
      <c r="M550" s="149">
        <v>6.700000000000033</v>
      </c>
      <c r="N550" s="91">
        <v>-2.3519628522831369E-6</v>
      </c>
    </row>
    <row r="551" spans="13:14" x14ac:dyDescent="0.2">
      <c r="M551" s="149">
        <v>6.7125000000000332</v>
      </c>
      <c r="N551" s="91">
        <v>-2.367535067674204E-6</v>
      </c>
    </row>
    <row r="552" spans="13:14" x14ac:dyDescent="0.2">
      <c r="M552" s="149">
        <v>6.7250000000000334</v>
      </c>
      <c r="N552" s="91">
        <v>-2.3829154561354569E-6</v>
      </c>
    </row>
    <row r="553" spans="13:14" x14ac:dyDescent="0.2">
      <c r="M553" s="149">
        <v>6.7375000000000327</v>
      </c>
      <c r="N553" s="91">
        <v>-2.3981014616149968E-6</v>
      </c>
    </row>
    <row r="554" spans="13:14" x14ac:dyDescent="0.2">
      <c r="M554" s="149">
        <v>6.7500000000000329</v>
      </c>
      <c r="N554" s="91">
        <v>-2.4130905689863503E-6</v>
      </c>
    </row>
    <row r="555" spans="13:14" x14ac:dyDescent="0.2">
      <c r="M555" s="149">
        <v>6.762500000000033</v>
      </c>
      <c r="N555" s="91">
        <v>-2.4278803040484679E-6</v>
      </c>
    </row>
    <row r="556" spans="13:14" x14ac:dyDescent="0.2">
      <c r="M556" s="149">
        <v>6.7750000000000332</v>
      </c>
      <c r="N556" s="91">
        <v>-2.4424682335257286E-6</v>
      </c>
    </row>
    <row r="557" spans="13:14" x14ac:dyDescent="0.2">
      <c r="M557" s="149">
        <v>6.7875000000000334</v>
      </c>
      <c r="N557" s="91">
        <v>-2.4568519650679327E-6</v>
      </c>
    </row>
    <row r="558" spans="13:14" x14ac:dyDescent="0.2">
      <c r="M558" s="149">
        <v>6.8000000000000327</v>
      </c>
      <c r="N558" s="91">
        <v>-2.4710291472503077E-6</v>
      </c>
    </row>
    <row r="559" spans="13:14" x14ac:dyDescent="0.2">
      <c r="M559" s="149">
        <v>6.8125000000000329</v>
      </c>
      <c r="N559" s="91">
        <v>-2.4849974695735069E-6</v>
      </c>
    </row>
    <row r="560" spans="13:14" x14ac:dyDescent="0.2">
      <c r="M560" s="149">
        <v>6.825000000000033</v>
      </c>
      <c r="N560" s="91">
        <v>-2.4987546624636093E-6</v>
      </c>
    </row>
    <row r="561" spans="13:14" x14ac:dyDescent="0.2">
      <c r="M561" s="149">
        <v>6.8375000000000323</v>
      </c>
      <c r="N561" s="91">
        <v>-2.5122984972721187E-6</v>
      </c>
    </row>
    <row r="562" spans="13:14" x14ac:dyDescent="0.2">
      <c r="M562" s="149">
        <v>6.8500000000000325</v>
      </c>
      <c r="N562" s="91">
        <v>-2.5256267862759633E-6</v>
      </c>
    </row>
    <row r="563" spans="13:14" x14ac:dyDescent="0.2">
      <c r="M563" s="149">
        <v>6.8625000000000327</v>
      </c>
      <c r="N563" s="91">
        <v>-2.5387373826774987E-6</v>
      </c>
    </row>
    <row r="564" spans="13:14" x14ac:dyDescent="0.2">
      <c r="M564" s="149">
        <v>6.8750000000000329</v>
      </c>
      <c r="N564" s="91">
        <v>-2.5516281806045037E-6</v>
      </c>
    </row>
    <row r="565" spans="13:14" x14ac:dyDescent="0.2">
      <c r="M565" s="149">
        <v>6.887500000000033</v>
      </c>
      <c r="N565" s="91">
        <v>-2.5642971151101829E-6</v>
      </c>
    </row>
    <row r="566" spans="13:14" x14ac:dyDescent="0.2">
      <c r="M566" s="149">
        <v>6.9000000000000323</v>
      </c>
      <c r="N566" s="91">
        <v>-2.5767421621731684E-6</v>
      </c>
    </row>
    <row r="567" spans="13:14" x14ac:dyDescent="0.2">
      <c r="M567" s="149">
        <v>6.9125000000000325</v>
      </c>
      <c r="N567" s="91">
        <v>-2.5889613386975154E-6</v>
      </c>
    </row>
    <row r="568" spans="13:14" x14ac:dyDescent="0.2">
      <c r="M568" s="149">
        <v>6.9250000000000327</v>
      </c>
      <c r="N568" s="91">
        <v>-2.6009527025127043E-6</v>
      </c>
    </row>
    <row r="569" spans="13:14" x14ac:dyDescent="0.2">
      <c r="M569" s="149">
        <v>6.937500000000032</v>
      </c>
      <c r="N569" s="91">
        <v>-2.6127143523736431E-6</v>
      </c>
    </row>
    <row r="570" spans="13:14" x14ac:dyDescent="0.2">
      <c r="M570" s="149">
        <v>6.9500000000000322</v>
      </c>
      <c r="N570" s="91">
        <v>-2.6242444279606638E-6</v>
      </c>
    </row>
    <row r="571" spans="13:14" x14ac:dyDescent="0.2">
      <c r="M571" s="149">
        <v>6.9625000000000323</v>
      </c>
      <c r="N571" s="91">
        <v>-2.6355411098795225E-6</v>
      </c>
    </row>
    <row r="572" spans="13:14" x14ac:dyDescent="0.2">
      <c r="M572" s="149">
        <v>6.9750000000000325</v>
      </c>
      <c r="N572" s="91">
        <v>-2.6466026196614019E-6</v>
      </c>
    </row>
    <row r="573" spans="13:14" x14ac:dyDescent="0.2">
      <c r="M573" s="149">
        <v>6.9875000000000327</v>
      </c>
      <c r="N573" s="91">
        <v>-2.6574272197629115E-6</v>
      </c>
    </row>
    <row r="574" spans="13:14" x14ac:dyDescent="0.2">
      <c r="M574" s="149">
        <v>7.000000000000032</v>
      </c>
      <c r="N574" s="91">
        <v>-2.6680132135660828E-6</v>
      </c>
    </row>
    <row r="575" spans="13:14" x14ac:dyDescent="0.2">
      <c r="M575" s="149">
        <v>7.0125000000000322</v>
      </c>
      <c r="N575" s="91">
        <v>-2.6783589453783765E-6</v>
      </c>
    </row>
    <row r="576" spans="13:14" x14ac:dyDescent="0.2">
      <c r="M576" s="149">
        <v>7.0250000000000323</v>
      </c>
      <c r="N576" s="91">
        <v>-2.6884628004326749E-6</v>
      </c>
    </row>
    <row r="577" spans="13:14" x14ac:dyDescent="0.2">
      <c r="M577" s="149">
        <v>7.0375000000000325</v>
      </c>
      <c r="N577" s="91">
        <v>-2.6983232048872894E-6</v>
      </c>
    </row>
    <row r="578" spans="13:14" x14ac:dyDescent="0.2">
      <c r="M578" s="149">
        <v>7.0500000000000327</v>
      </c>
      <c r="N578" s="91">
        <v>-2.707938625825953E-6</v>
      </c>
    </row>
    <row r="579" spans="13:14" x14ac:dyDescent="0.2">
      <c r="M579" s="149">
        <v>7.0625000000000329</v>
      </c>
      <c r="N579" s="91">
        <v>-2.7173075712578274E-6</v>
      </c>
    </row>
    <row r="580" spans="13:14" x14ac:dyDescent="0.2">
      <c r="M580" s="149">
        <v>7.075000000000033</v>
      </c>
      <c r="N580" s="91">
        <v>-2.7264285901174979E-6</v>
      </c>
    </row>
    <row r="581" spans="13:14" x14ac:dyDescent="0.2">
      <c r="M581" s="149">
        <v>7.0875000000000332</v>
      </c>
      <c r="N581" s="91">
        <v>-2.7353002722649756E-6</v>
      </c>
    </row>
    <row r="582" spans="13:14" x14ac:dyDescent="0.2">
      <c r="M582" s="149">
        <v>7.1000000000000334</v>
      </c>
      <c r="N582" s="91">
        <v>-2.7439212484856951E-6</v>
      </c>
    </row>
    <row r="583" spans="13:14" x14ac:dyDescent="0.2">
      <c r="M583" s="149">
        <v>7.1125000000000336</v>
      </c>
      <c r="N583" s="91">
        <v>-2.7522901904905198E-6</v>
      </c>
    </row>
    <row r="584" spans="13:14" x14ac:dyDescent="0.2">
      <c r="M584" s="149">
        <v>7.1250000000000338</v>
      </c>
      <c r="N584" s="91">
        <v>-2.7604058109157375E-6</v>
      </c>
    </row>
    <row r="585" spans="13:14" x14ac:dyDescent="0.2">
      <c r="M585" s="149">
        <v>7.1375000000000339</v>
      </c>
      <c r="N585" s="91">
        <v>-2.7682668633230575E-6</v>
      </c>
    </row>
    <row r="586" spans="13:14" x14ac:dyDescent="0.2">
      <c r="M586" s="149">
        <v>7.1500000000000341</v>
      </c>
      <c r="N586" s="91">
        <v>-2.775872142199621E-6</v>
      </c>
    </row>
    <row r="587" spans="13:14" x14ac:dyDescent="0.2">
      <c r="M587" s="149">
        <v>7.1625000000000343</v>
      </c>
      <c r="N587" s="91">
        <v>-2.783220482957989E-6</v>
      </c>
    </row>
    <row r="588" spans="13:14" x14ac:dyDescent="0.2">
      <c r="M588" s="149">
        <v>7.1750000000000345</v>
      </c>
      <c r="N588" s="91">
        <v>-2.7903107619361516E-6</v>
      </c>
    </row>
    <row r="589" spans="13:14" x14ac:dyDescent="0.2">
      <c r="M589" s="149">
        <v>7.1875000000000346</v>
      </c>
      <c r="N589" s="91">
        <v>-2.797141896397523E-6</v>
      </c>
    </row>
    <row r="590" spans="13:14" x14ac:dyDescent="0.2">
      <c r="M590" s="149">
        <v>7.2000000000000348</v>
      </c>
      <c r="N590" s="91">
        <v>-2.8037128445309376E-6</v>
      </c>
    </row>
    <row r="591" spans="13:14" x14ac:dyDescent="0.2">
      <c r="M591" s="149">
        <v>7.212500000000035</v>
      </c>
      <c r="N591" s="91">
        <v>-2.8100226054506647E-6</v>
      </c>
    </row>
    <row r="592" spans="13:14" x14ac:dyDescent="0.2">
      <c r="M592" s="149">
        <v>7.2250000000000352</v>
      </c>
      <c r="N592" s="91">
        <v>-2.8160702191963932E-6</v>
      </c>
    </row>
    <row r="593" spans="13:14" x14ac:dyDescent="0.2">
      <c r="M593" s="149">
        <v>7.2375000000000353</v>
      </c>
      <c r="N593" s="91">
        <v>-2.8218547667332388E-6</v>
      </c>
    </row>
    <row r="594" spans="13:14" x14ac:dyDescent="0.2">
      <c r="M594" s="149">
        <v>7.2500000000000355</v>
      </c>
      <c r="N594" s="91">
        <v>-2.8273753699517403E-6</v>
      </c>
    </row>
    <row r="595" spans="13:14" x14ac:dyDescent="0.2">
      <c r="M595" s="149">
        <v>7.2625000000000357</v>
      </c>
      <c r="N595" s="91">
        <v>-2.8326311916678681E-6</v>
      </c>
    </row>
    <row r="596" spans="13:14" x14ac:dyDescent="0.2">
      <c r="M596" s="149">
        <v>7.2750000000000359</v>
      </c>
      <c r="N596" s="91">
        <v>-2.8376214356230085E-6</v>
      </c>
    </row>
    <row r="597" spans="13:14" x14ac:dyDescent="0.2">
      <c r="M597" s="149">
        <v>7.2875000000000361</v>
      </c>
      <c r="N597" s="91">
        <v>-2.8423453464839788E-6</v>
      </c>
    </row>
    <row r="598" spans="13:14" x14ac:dyDescent="0.2">
      <c r="M598" s="149">
        <v>7.3000000000000362</v>
      </c>
      <c r="N598" s="91">
        <v>-2.8468022098430234E-6</v>
      </c>
    </row>
    <row r="599" spans="13:14" x14ac:dyDescent="0.2">
      <c r="M599" s="149">
        <v>7.3125000000000364</v>
      </c>
      <c r="N599" s="91">
        <v>-2.8509913522178097E-6</v>
      </c>
    </row>
    <row r="600" spans="13:14" x14ac:dyDescent="0.2">
      <c r="M600" s="149">
        <v>7.3250000000000366</v>
      </c>
      <c r="N600" s="91">
        <v>-2.8549121410514309E-6</v>
      </c>
    </row>
    <row r="601" spans="13:14" x14ac:dyDescent="0.2">
      <c r="M601" s="149">
        <v>7.3375000000000368</v>
      </c>
      <c r="N601" s="91">
        <v>-2.8585639847124011E-6</v>
      </c>
    </row>
    <row r="602" spans="13:14" x14ac:dyDescent="0.2">
      <c r="M602" s="149">
        <v>7.3500000000000369</v>
      </c>
      <c r="N602" s="91">
        <v>-2.8619463324946698E-6</v>
      </c>
    </row>
    <row r="603" spans="13:14" x14ac:dyDescent="0.2">
      <c r="M603" s="149">
        <v>7.3625000000000371</v>
      </c>
      <c r="N603" s="91">
        <v>-2.8650586746176011E-6</v>
      </c>
    </row>
    <row r="604" spans="13:14" x14ac:dyDescent="0.2">
      <c r="M604" s="149">
        <v>7.3750000000000373</v>
      </c>
      <c r="N604" s="91">
        <v>-2.8679005422259928E-6</v>
      </c>
    </row>
    <row r="605" spans="13:14" x14ac:dyDescent="0.2">
      <c r="M605" s="149">
        <v>7.3875000000000375</v>
      </c>
      <c r="N605" s="91">
        <v>-2.8704715073900624E-6</v>
      </c>
    </row>
    <row r="606" spans="13:14" x14ac:dyDescent="0.2">
      <c r="M606" s="149">
        <v>7.4000000000000377</v>
      </c>
      <c r="N606" s="91">
        <v>-2.8727711831054552E-6</v>
      </c>
    </row>
    <row r="607" spans="13:14" x14ac:dyDescent="0.2">
      <c r="M607" s="149">
        <v>7.4125000000000378</v>
      </c>
      <c r="N607" s="91">
        <v>-2.8747992232932435E-6</v>
      </c>
    </row>
    <row r="608" spans="13:14" x14ac:dyDescent="0.2">
      <c r="M608" s="149">
        <v>7.425000000000038</v>
      </c>
      <c r="N608" s="91">
        <v>-2.8765553227999198E-6</v>
      </c>
    </row>
    <row r="609" spans="13:14" x14ac:dyDescent="0.2">
      <c r="M609" s="149">
        <v>7.4375000000000382</v>
      </c>
      <c r="N609" s="91">
        <v>-2.8780392173974068E-6</v>
      </c>
    </row>
    <row r="610" spans="13:14" x14ac:dyDescent="0.2">
      <c r="M610" s="149">
        <v>7.4500000000000384</v>
      </c>
      <c r="N610" s="91">
        <v>-2.8792506837830498E-6</v>
      </c>
    </row>
    <row r="611" spans="13:14" x14ac:dyDescent="0.2">
      <c r="M611" s="149">
        <v>7.4625000000000385</v>
      </c>
      <c r="N611" s="91">
        <v>-2.8801895395796236E-6</v>
      </c>
    </row>
    <row r="612" spans="13:14" x14ac:dyDescent="0.2">
      <c r="M612" s="149">
        <v>7.4750000000000387</v>
      </c>
      <c r="N612" s="91">
        <v>-2.8808556433353255E-6</v>
      </c>
    </row>
    <row r="613" spans="13:14" x14ac:dyDescent="0.2">
      <c r="M613" s="149">
        <v>7.4875000000000389</v>
      </c>
      <c r="N613" s="91">
        <v>-2.8812488945237715E-6</v>
      </c>
    </row>
    <row r="614" spans="13:14" x14ac:dyDescent="0.2">
      <c r="M614" s="149">
        <v>7.5000000000000391</v>
      </c>
      <c r="N614" s="91">
        <v>-2.8813692335440185E-6</v>
      </c>
    </row>
    <row r="615" spans="13:14" x14ac:dyDescent="0.2">
      <c r="M615" s="149">
        <v>7.5125000000000393</v>
      </c>
      <c r="N615" s="91">
        <v>-2.881216641720533E-6</v>
      </c>
    </row>
    <row r="616" spans="13:14" x14ac:dyDescent="0.2">
      <c r="M616" s="149">
        <v>7.5250000000000394</v>
      </c>
      <c r="N616" s="91">
        <v>-2.8807911413032162E-6</v>
      </c>
    </row>
    <row r="617" spans="13:14" x14ac:dyDescent="0.2">
      <c r="M617" s="149">
        <v>7.5375000000000396</v>
      </c>
      <c r="N617" s="91">
        <v>-2.880092795467394E-6</v>
      </c>
    </row>
    <row r="618" spans="13:14" x14ac:dyDescent="0.2">
      <c r="M618" s="149">
        <v>7.5500000000000398</v>
      </c>
      <c r="N618" s="91">
        <v>-2.8791217083138135E-6</v>
      </c>
    </row>
    <row r="619" spans="13:14" x14ac:dyDescent="0.2">
      <c r="M619" s="149">
        <v>7.56250000000004</v>
      </c>
      <c r="N619" s="91">
        <v>-2.8778780248686458E-6</v>
      </c>
    </row>
    <row r="620" spans="13:14" x14ac:dyDescent="0.2">
      <c r="M620" s="149">
        <v>7.5750000000000401</v>
      </c>
      <c r="N620" s="91">
        <v>-2.8763619310834969E-6</v>
      </c>
    </row>
    <row r="621" spans="13:14" x14ac:dyDescent="0.2">
      <c r="M621" s="149">
        <v>7.5875000000000403</v>
      </c>
      <c r="N621" s="91">
        <v>-2.8745736538353913E-6</v>
      </c>
    </row>
    <row r="622" spans="13:14" x14ac:dyDescent="0.2">
      <c r="M622" s="149">
        <v>7.6000000000000405</v>
      </c>
      <c r="N622" s="91">
        <v>-2.87251346092678E-6</v>
      </c>
    </row>
    <row r="623" spans="13:14" x14ac:dyDescent="0.2">
      <c r="M623" s="149">
        <v>7.6125000000000407</v>
      </c>
      <c r="N623" s="91">
        <v>-2.870181661085535E-6</v>
      </c>
    </row>
    <row r="624" spans="13:14" x14ac:dyDescent="0.2">
      <c r="M624" s="149">
        <v>7.6250000000000409</v>
      </c>
      <c r="N624" s="91">
        <v>-2.8675786039649631E-6</v>
      </c>
    </row>
    <row r="625" spans="13:14" x14ac:dyDescent="0.2">
      <c r="M625" s="149">
        <v>7.637500000000041</v>
      </c>
      <c r="N625" s="91">
        <v>-2.8647046801437888E-6</v>
      </c>
    </row>
    <row r="626" spans="13:14" x14ac:dyDescent="0.2">
      <c r="M626" s="149">
        <v>7.6500000000000412</v>
      </c>
      <c r="N626" s="91">
        <v>-2.8615603211261628E-6</v>
      </c>
    </row>
    <row r="627" spans="13:14" x14ac:dyDescent="0.2">
      <c r="M627" s="149">
        <v>7.6625000000000414</v>
      </c>
      <c r="N627" s="91">
        <v>-2.8581459993416663E-6</v>
      </c>
    </row>
    <row r="628" spans="13:14" x14ac:dyDescent="0.2">
      <c r="M628" s="149">
        <v>7.6750000000000416</v>
      </c>
      <c r="N628" s="91">
        <v>-2.8544622281453006E-6</v>
      </c>
    </row>
    <row r="629" spans="13:14" x14ac:dyDescent="0.2">
      <c r="M629" s="149">
        <v>7.6875000000000417</v>
      </c>
      <c r="N629" s="91">
        <v>-2.8505095618174934E-6</v>
      </c>
    </row>
    <row r="630" spans="13:14" x14ac:dyDescent="0.2">
      <c r="M630" s="149">
        <v>7.7000000000000419</v>
      </c>
      <c r="N630" s="91">
        <v>-2.8462885955640989E-6</v>
      </c>
    </row>
    <row r="631" spans="13:14" x14ac:dyDescent="0.2">
      <c r="M631" s="149">
        <v>7.7125000000000421</v>
      </c>
      <c r="N631" s="91">
        <v>-2.8417999655163943E-6</v>
      </c>
    </row>
    <row r="632" spans="13:14" x14ac:dyDescent="0.2">
      <c r="M632" s="149">
        <v>7.7250000000000423</v>
      </c>
      <c r="N632" s="91">
        <v>-2.8370443487310873E-6</v>
      </c>
    </row>
    <row r="633" spans="13:14" x14ac:dyDescent="0.2">
      <c r="M633" s="149">
        <v>7.7375000000000425</v>
      </c>
      <c r="N633" s="91">
        <v>-2.8320224631903076E-6</v>
      </c>
    </row>
    <row r="634" spans="13:14" x14ac:dyDescent="0.2">
      <c r="M634" s="149">
        <v>7.7500000000000426</v>
      </c>
      <c r="N634" s="91">
        <v>-2.8267350678016064E-6</v>
      </c>
    </row>
    <row r="635" spans="13:14" x14ac:dyDescent="0.2">
      <c r="M635" s="149">
        <v>7.7625000000000428</v>
      </c>
      <c r="N635" s="91">
        <v>-2.8211829623979691E-6</v>
      </c>
    </row>
    <row r="636" spans="13:14" x14ac:dyDescent="0.2">
      <c r="M636" s="149">
        <v>7.775000000000043</v>
      </c>
      <c r="N636" s="91">
        <v>-2.8153669877377966E-6</v>
      </c>
    </row>
    <row r="637" spans="13:14" x14ac:dyDescent="0.2">
      <c r="M637" s="149">
        <v>7.7875000000000432</v>
      </c>
      <c r="N637" s="91">
        <v>-2.8092880255049244E-6</v>
      </c>
    </row>
    <row r="638" spans="13:14" x14ac:dyDescent="0.2">
      <c r="M638" s="149">
        <v>7.8000000000000433</v>
      </c>
      <c r="N638" s="91">
        <v>-2.8029469983086113E-6</v>
      </c>
    </row>
    <row r="639" spans="13:14" x14ac:dyDescent="0.2">
      <c r="M639" s="149">
        <v>7.8125000000000435</v>
      </c>
      <c r="N639" s="91">
        <v>-2.7963448696835313E-6</v>
      </c>
    </row>
    <row r="640" spans="13:14" x14ac:dyDescent="0.2">
      <c r="M640" s="149">
        <v>7.8250000000000437</v>
      </c>
      <c r="N640" s="91">
        <v>-2.7894826440897993E-6</v>
      </c>
    </row>
    <row r="641" spans="13:14" x14ac:dyDescent="0.2">
      <c r="M641" s="149">
        <v>7.8375000000000439</v>
      </c>
      <c r="N641" s="91">
        <v>-2.7823613669129419E-6</v>
      </c>
    </row>
    <row r="642" spans="13:14" x14ac:dyDescent="0.2">
      <c r="M642" s="149">
        <v>7.8500000000000441</v>
      </c>
      <c r="N642" s="91">
        <v>-2.7749821244639183E-6</v>
      </c>
    </row>
    <row r="643" spans="13:14" x14ac:dyDescent="0.2">
      <c r="M643" s="149">
        <v>7.8625000000000442</v>
      </c>
      <c r="N643" s="91">
        <v>-2.7673460439791205E-6</v>
      </c>
    </row>
    <row r="644" spans="13:14" x14ac:dyDescent="0.2">
      <c r="M644" s="149">
        <v>7.8750000000000444</v>
      </c>
      <c r="N644" s="91">
        <v>-2.7594542936203438E-6</v>
      </c>
    </row>
    <row r="645" spans="13:14" x14ac:dyDescent="0.2">
      <c r="M645" s="149">
        <v>7.8875000000000446</v>
      </c>
      <c r="N645" s="91">
        <v>-2.7513080824748354E-6</v>
      </c>
    </row>
    <row r="646" spans="13:14" x14ac:dyDescent="0.2">
      <c r="M646" s="149">
        <v>7.9000000000000448</v>
      </c>
      <c r="N646" s="91">
        <v>-2.7429086605552416E-6</v>
      </c>
    </row>
    <row r="647" spans="13:14" x14ac:dyDescent="0.2">
      <c r="M647" s="149">
        <v>7.9125000000000449</v>
      </c>
      <c r="N647" s="91">
        <v>-2.7342573187996594E-6</v>
      </c>
    </row>
    <row r="648" spans="13:14" x14ac:dyDescent="0.2">
      <c r="M648" s="149">
        <v>7.9250000000000451</v>
      </c>
      <c r="N648" s="91">
        <v>-2.7253553890715917E-6</v>
      </c>
    </row>
    <row r="649" spans="13:14" x14ac:dyDescent="0.2">
      <c r="M649" s="149">
        <v>7.9375000000000453</v>
      </c>
      <c r="N649" s="91">
        <v>-2.7162042441599758E-6</v>
      </c>
    </row>
    <row r="650" spans="13:14" x14ac:dyDescent="0.2">
      <c r="M650" s="149">
        <v>7.9500000000000455</v>
      </c>
      <c r="N650" s="91">
        <v>-2.7068052977791756E-6</v>
      </c>
    </row>
    <row r="651" spans="13:14" x14ac:dyDescent="0.2">
      <c r="M651" s="149">
        <v>7.9625000000000457</v>
      </c>
      <c r="N651" s="91">
        <v>-2.6971600045689706E-6</v>
      </c>
    </row>
    <row r="652" spans="13:14" x14ac:dyDescent="0.2">
      <c r="M652" s="149">
        <v>7.9750000000000458</v>
      </c>
      <c r="N652" s="91">
        <v>-2.687269860094581E-6</v>
      </c>
    </row>
    <row r="653" spans="13:14" x14ac:dyDescent="0.2">
      <c r="M653" s="149">
        <v>7.987500000000046</v>
      </c>
      <c r="N653" s="91">
        <v>-2.677136400846637E-6</v>
      </c>
    </row>
    <row r="654" spans="13:14" x14ac:dyDescent="0.2">
      <c r="M654" s="149">
        <v>8.0000000000000462</v>
      </c>
      <c r="N654" s="91">
        <v>-2.6667612042412057E-6</v>
      </c>
    </row>
    <row r="655" spans="13:14" x14ac:dyDescent="0.2">
      <c r="M655" s="149">
        <v>8.0125000000000455</v>
      </c>
      <c r="N655" s="91">
        <v>-2.6561458886197722E-6</v>
      </c>
    </row>
    <row r="656" spans="13:14" x14ac:dyDescent="0.2">
      <c r="M656" s="149">
        <v>8.0250000000000465</v>
      </c>
      <c r="N656" s="91">
        <v>-2.6452921132492496E-6</v>
      </c>
    </row>
    <row r="657" spans="13:14" x14ac:dyDescent="0.2">
      <c r="M657" s="149">
        <v>8.0375000000000476</v>
      </c>
      <c r="N657" s="91">
        <v>-2.6342015783219764E-6</v>
      </c>
    </row>
    <row r="658" spans="13:14" x14ac:dyDescent="0.2">
      <c r="M658" s="149">
        <v>8.0500000000000469</v>
      </c>
      <c r="N658" s="91">
        <v>-2.6228760249557176E-6</v>
      </c>
    </row>
    <row r="659" spans="13:14" x14ac:dyDescent="0.2">
      <c r="M659" s="149">
        <v>8.0625000000000462</v>
      </c>
      <c r="N659" s="91">
        <v>-2.6113172351936646E-6</v>
      </c>
    </row>
    <row r="660" spans="13:14" x14ac:dyDescent="0.2">
      <c r="M660" s="149">
        <v>8.0750000000000473</v>
      </c>
      <c r="N660" s="91">
        <v>-2.5995270320044254E-6</v>
      </c>
    </row>
    <row r="661" spans="13:14" x14ac:dyDescent="0.2">
      <c r="M661" s="149">
        <v>8.0875000000000483</v>
      </c>
      <c r="N661" s="91">
        <v>-2.5875072792820459E-6</v>
      </c>
    </row>
    <row r="662" spans="13:14" x14ac:dyDescent="0.2">
      <c r="M662" s="149">
        <v>8.1000000000000476</v>
      </c>
      <c r="N662" s="91">
        <v>-2.5752598818459879E-6</v>
      </c>
    </row>
    <row r="663" spans="13:14" x14ac:dyDescent="0.2">
      <c r="M663" s="149">
        <v>8.1125000000000469</v>
      </c>
      <c r="N663" s="91">
        <v>-2.5627867854411488E-6</v>
      </c>
    </row>
    <row r="664" spans="13:14" x14ac:dyDescent="0.2">
      <c r="M664" s="149">
        <v>8.125000000000048</v>
      </c>
      <c r="N664" s="91">
        <v>-2.5500899767378335E-6</v>
      </c>
    </row>
    <row r="665" spans="13:14" x14ac:dyDescent="0.2">
      <c r="M665" s="149">
        <v>8.137500000000049</v>
      </c>
      <c r="N665" s="91">
        <v>-2.5371714833317947E-6</v>
      </c>
    </row>
    <row r="666" spans="13:14" x14ac:dyDescent="0.2">
      <c r="M666" s="149">
        <v>8.1500000000000483</v>
      </c>
      <c r="N666" s="91">
        <v>-2.5240333737441906E-6</v>
      </c>
    </row>
    <row r="667" spans="13:14" x14ac:dyDescent="0.2">
      <c r="M667" s="149">
        <v>8.1625000000000476</v>
      </c>
      <c r="N667" s="91">
        <v>-2.5106777574216209E-6</v>
      </c>
    </row>
    <row r="668" spans="13:14" x14ac:dyDescent="0.2">
      <c r="M668" s="149">
        <v>8.1750000000000487</v>
      </c>
      <c r="N668" s="91">
        <v>-2.4971067847360901E-6</v>
      </c>
    </row>
    <row r="669" spans="13:14" x14ac:dyDescent="0.2">
      <c r="M669" s="149">
        <v>8.1875000000000497</v>
      </c>
      <c r="N669" s="91">
        <v>-2.4833226469850525E-6</v>
      </c>
    </row>
    <row r="670" spans="13:14" x14ac:dyDescent="0.2">
      <c r="M670" s="149">
        <v>8.200000000000049</v>
      </c>
      <c r="N670" s="91">
        <v>-2.469327576391377E-6</v>
      </c>
    </row>
    <row r="671" spans="13:14" x14ac:dyDescent="0.2">
      <c r="M671" s="149">
        <v>8.2125000000000483</v>
      </c>
      <c r="N671" s="91">
        <v>-2.4551238461033536E-6</v>
      </c>
    </row>
    <row r="672" spans="13:14" x14ac:dyDescent="0.2">
      <c r="M672" s="149">
        <v>8.2250000000000494</v>
      </c>
      <c r="N672" s="91">
        <v>-2.4407137701947032E-6</v>
      </c>
    </row>
    <row r="673" spans="13:14" x14ac:dyDescent="0.2">
      <c r="M673" s="149">
        <v>8.2375000000000504</v>
      </c>
      <c r="N673" s="91">
        <v>-2.4260997036645662E-6</v>
      </c>
    </row>
    <row r="674" spans="13:14" x14ac:dyDescent="0.2">
      <c r="M674" s="149">
        <v>8.2500000000000497</v>
      </c>
      <c r="N674" s="91">
        <v>-2.4112840424375141E-6</v>
      </c>
    </row>
    <row r="675" spans="13:14" x14ac:dyDescent="0.2">
      <c r="M675" s="149">
        <v>8.262500000000049</v>
      </c>
      <c r="N675" s="91">
        <v>-2.3962692233635407E-6</v>
      </c>
    </row>
    <row r="676" spans="13:14" x14ac:dyDescent="0.2">
      <c r="M676" s="149">
        <v>8.2750000000000501</v>
      </c>
      <c r="N676" s="91">
        <v>-2.3810577242180711E-6</v>
      </c>
    </row>
    <row r="677" spans="13:14" x14ac:dyDescent="0.2">
      <c r="M677" s="149">
        <v>8.2875000000000512</v>
      </c>
      <c r="N677" s="91">
        <v>-2.3656520637019454E-6</v>
      </c>
    </row>
    <row r="678" spans="13:14" x14ac:dyDescent="0.2">
      <c r="M678" s="149">
        <v>8.3000000000000504</v>
      </c>
      <c r="N678" s="91">
        <v>-2.3500548014414355E-6</v>
      </c>
    </row>
    <row r="679" spans="13:14" x14ac:dyDescent="0.2">
      <c r="M679" s="149">
        <v>8.3125000000000497</v>
      </c>
      <c r="N679" s="91">
        <v>-2.3342685379882401E-6</v>
      </c>
    </row>
    <row r="680" spans="13:14" x14ac:dyDescent="0.2">
      <c r="M680" s="149">
        <v>8.3250000000000508</v>
      </c>
      <c r="N680" s="91">
        <v>-2.3182959148194803E-6</v>
      </c>
    </row>
    <row r="681" spans="13:14" x14ac:dyDescent="0.2">
      <c r="M681" s="149">
        <v>8.3375000000000519</v>
      </c>
      <c r="N681" s="91">
        <v>-2.3021396143377081E-6</v>
      </c>
    </row>
    <row r="682" spans="13:14" x14ac:dyDescent="0.2">
      <c r="M682" s="149">
        <v>8.3500000000000512</v>
      </c>
      <c r="N682" s="91">
        <v>-2.2858023598708879E-6</v>
      </c>
    </row>
    <row r="683" spans="13:14" x14ac:dyDescent="0.2">
      <c r="M683" s="149">
        <v>8.3625000000000504</v>
      </c>
      <c r="N683" s="91">
        <v>-2.2692869156724223E-6</v>
      </c>
    </row>
    <row r="684" spans="13:14" x14ac:dyDescent="0.2">
      <c r="M684" s="149">
        <v>8.3750000000000515</v>
      </c>
      <c r="N684" s="91">
        <v>-2.2525960869211329E-6</v>
      </c>
    </row>
    <row r="685" spans="13:14" x14ac:dyDescent="0.2">
      <c r="M685" s="149">
        <v>8.3875000000000526</v>
      </c>
      <c r="N685" s="91">
        <v>-2.2357327197212691E-6</v>
      </c>
    </row>
    <row r="686" spans="13:14" x14ac:dyDescent="0.2">
      <c r="M686" s="149">
        <v>8.4000000000000519</v>
      </c>
      <c r="N686" s="91">
        <v>-2.218699701102503E-6</v>
      </c>
    </row>
    <row r="687" spans="13:14" x14ac:dyDescent="0.2">
      <c r="M687" s="149">
        <v>8.4125000000000512</v>
      </c>
      <c r="N687" s="91">
        <v>-2.2014999590199395E-6</v>
      </c>
    </row>
    <row r="688" spans="13:14" x14ac:dyDescent="0.2">
      <c r="M688" s="149">
        <v>8.4250000000000522</v>
      </c>
      <c r="N688" s="91">
        <v>-2.1841364623540969E-6</v>
      </c>
    </row>
    <row r="689" spans="13:14" x14ac:dyDescent="0.2">
      <c r="M689" s="149">
        <v>8.4375000000000533</v>
      </c>
      <c r="N689" s="91">
        <v>-2.1666122209109293E-6</v>
      </c>
    </row>
    <row r="690" spans="13:14" x14ac:dyDescent="0.2">
      <c r="M690" s="149">
        <v>8.4500000000000526</v>
      </c>
      <c r="N690" s="91">
        <v>-2.1489302854218054E-6</v>
      </c>
    </row>
    <row r="691" spans="13:14" x14ac:dyDescent="0.2">
      <c r="M691" s="149">
        <v>8.4625000000000519</v>
      </c>
      <c r="N691" s="91">
        <v>-2.1310937475435424E-6</v>
      </c>
    </row>
    <row r="692" spans="13:14" x14ac:dyDescent="0.2">
      <c r="M692" s="149">
        <v>8.4750000000000529</v>
      </c>
      <c r="N692" s="91">
        <v>-2.1131057398583505E-6</v>
      </c>
    </row>
    <row r="693" spans="13:14" x14ac:dyDescent="0.2">
      <c r="M693" s="149">
        <v>8.487500000000054</v>
      </c>
      <c r="N693" s="91">
        <v>-2.0949694358738839E-6</v>
      </c>
    </row>
    <row r="694" spans="13:14" x14ac:dyDescent="0.2">
      <c r="M694" s="149">
        <v>8.5000000000000533</v>
      </c>
      <c r="N694" s="91">
        <v>-2.0766880500232193E-6</v>
      </c>
    </row>
    <row r="695" spans="13:14" x14ac:dyDescent="0.2">
      <c r="M695" s="149">
        <v>8.5125000000000526</v>
      </c>
      <c r="N695" s="91">
        <v>-2.0582648376648714E-6</v>
      </c>
    </row>
    <row r="696" spans="13:14" x14ac:dyDescent="0.2">
      <c r="M696" s="149">
        <v>8.5250000000000536</v>
      </c>
      <c r="N696" s="91">
        <v>-2.0397030950827497E-6</v>
      </c>
    </row>
    <row r="697" spans="13:14" x14ac:dyDescent="0.2">
      <c r="M697" s="149">
        <v>8.5375000000000547</v>
      </c>
      <c r="N697" s="91">
        <v>-2.0210061594862192E-6</v>
      </c>
    </row>
    <row r="698" spans="13:14" x14ac:dyDescent="0.2">
      <c r="M698" s="149">
        <v>8.550000000000054</v>
      </c>
      <c r="N698" s="91">
        <v>-2.0021774090100528E-6</v>
      </c>
    </row>
    <row r="699" spans="13:14" x14ac:dyDescent="0.2">
      <c r="M699" s="149">
        <v>8.5625000000000533</v>
      </c>
      <c r="N699" s="91">
        <v>-1.9832202627144621E-6</v>
      </c>
    </row>
    <row r="700" spans="13:14" x14ac:dyDescent="0.2">
      <c r="M700" s="149">
        <v>8.5750000000000544</v>
      </c>
      <c r="N700" s="91">
        <v>-1.9641381805850664E-6</v>
      </c>
    </row>
    <row r="701" spans="13:14" x14ac:dyDescent="0.2">
      <c r="M701" s="149">
        <v>8.5875000000000554</v>
      </c>
      <c r="N701" s="91">
        <v>-1.94493466353292E-6</v>
      </c>
    </row>
    <row r="702" spans="13:14" x14ac:dyDescent="0.2">
      <c r="M702" s="149">
        <v>8.6000000000000547</v>
      </c>
      <c r="N702" s="91">
        <v>-1.9256132533945093E-6</v>
      </c>
    </row>
    <row r="703" spans="13:14" x14ac:dyDescent="0.2">
      <c r="M703" s="149">
        <v>8.612500000000054</v>
      </c>
      <c r="N703" s="91">
        <v>-1.9061775329317353E-6</v>
      </c>
    </row>
    <row r="704" spans="13:14" x14ac:dyDescent="0.2">
      <c r="M704" s="149">
        <v>8.6250000000000551</v>
      </c>
      <c r="N704" s="91">
        <v>-1.8866311258319301E-6</v>
      </c>
    </row>
    <row r="705" spans="13:14" x14ac:dyDescent="0.2">
      <c r="M705" s="149">
        <v>8.6375000000000561</v>
      </c>
      <c r="N705" s="91">
        <v>-1.8669776967078524E-6</v>
      </c>
    </row>
    <row r="706" spans="13:14" x14ac:dyDescent="0.2">
      <c r="M706" s="149">
        <v>8.6500000000000554</v>
      </c>
      <c r="N706" s="91">
        <v>-1.8472209510976855E-6</v>
      </c>
    </row>
    <row r="707" spans="13:14" x14ac:dyDescent="0.2">
      <c r="M707" s="149">
        <v>8.6625000000000547</v>
      </c>
      <c r="N707" s="91">
        <v>-1.8273646354650217E-6</v>
      </c>
    </row>
    <row r="708" spans="13:14" x14ac:dyDescent="0.2">
      <c r="M708" s="149">
        <v>8.6750000000000558</v>
      </c>
      <c r="N708" s="91">
        <v>-1.8074125371989091E-6</v>
      </c>
    </row>
    <row r="709" spans="13:14" x14ac:dyDescent="0.2">
      <c r="M709" s="149">
        <v>8.6875000000000568</v>
      </c>
      <c r="N709" s="91">
        <v>-1.7873684846137927E-6</v>
      </c>
    </row>
    <row r="710" spans="13:14" x14ac:dyDescent="0.2">
      <c r="M710" s="149">
        <v>8.7000000000000561</v>
      </c>
      <c r="N710" s="91">
        <v>-1.7672363469495639E-6</v>
      </c>
    </row>
    <row r="711" spans="13:14" x14ac:dyDescent="0.2">
      <c r="M711" s="149">
        <v>8.7125000000000554</v>
      </c>
      <c r="N711" s="91">
        <v>-1.7470200343715237E-6</v>
      </c>
    </row>
    <row r="712" spans="13:14" x14ac:dyDescent="0.2">
      <c r="M712" s="149">
        <v>8.7250000000000565</v>
      </c>
      <c r="N712" s="91">
        <v>-1.7267234979704225E-6</v>
      </c>
    </row>
    <row r="713" spans="13:14" x14ac:dyDescent="0.2">
      <c r="M713" s="149">
        <v>8.7375000000000576</v>
      </c>
      <c r="N713" s="91">
        <v>-1.7063507297623993E-6</v>
      </c>
    </row>
    <row r="714" spans="13:14" x14ac:dyDescent="0.2">
      <c r="M714" s="149">
        <v>8.7500000000000568</v>
      </c>
      <c r="N714" s="91">
        <v>-1.6859057626890401E-6</v>
      </c>
    </row>
    <row r="715" spans="13:14" x14ac:dyDescent="0.2">
      <c r="M715" s="149">
        <v>8.7625000000000561</v>
      </c>
      <c r="N715" s="91">
        <v>-1.6653926706173655E-6</v>
      </c>
    </row>
    <row r="716" spans="13:14" x14ac:dyDescent="0.2">
      <c r="M716" s="149">
        <v>8.7750000000000572</v>
      </c>
      <c r="N716" s="91">
        <v>-1.6448155683397954E-6</v>
      </c>
    </row>
    <row r="717" spans="13:14" x14ac:dyDescent="0.2">
      <c r="M717" s="149">
        <v>8.7875000000000583</v>
      </c>
      <c r="N717" s="91">
        <v>-1.624178611574213E-6</v>
      </c>
    </row>
    <row r="718" spans="13:14" x14ac:dyDescent="0.2">
      <c r="M718" s="149">
        <v>8.8000000000000576</v>
      </c>
      <c r="N718" s="91">
        <v>-1.603485996963882E-6</v>
      </c>
    </row>
    <row r="719" spans="13:14" x14ac:dyDescent="0.2">
      <c r="M719" s="149">
        <v>8.8125000000000568</v>
      </c>
      <c r="N719" s="91">
        <v>-1.5827419620775193E-6</v>
      </c>
    </row>
    <row r="720" spans="13:14" x14ac:dyDescent="0.2">
      <c r="M720" s="149">
        <v>8.8250000000000579</v>
      </c>
      <c r="N720" s="91">
        <v>-1.5619507854092684E-6</v>
      </c>
    </row>
    <row r="721" spans="13:14" x14ac:dyDescent="0.2">
      <c r="M721" s="149">
        <v>8.837500000000059</v>
      </c>
      <c r="N721" s="91">
        <v>-1.5411167863786852E-6</v>
      </c>
    </row>
    <row r="722" spans="13:14" x14ac:dyDescent="0.2">
      <c r="M722" s="149">
        <v>8.8500000000000583</v>
      </c>
      <c r="N722" s="91">
        <v>-1.5202443253307539E-6</v>
      </c>
    </row>
    <row r="723" spans="13:14" x14ac:dyDescent="0.2">
      <c r="M723" s="149">
        <v>8.8625000000000576</v>
      </c>
      <c r="N723" s="91">
        <v>-1.499337803535894E-6</v>
      </c>
    </row>
    <row r="724" spans="13:14" x14ac:dyDescent="0.2">
      <c r="M724" s="149">
        <v>8.8750000000000586</v>
      </c>
      <c r="N724" s="91">
        <v>-1.4784016631899377E-6</v>
      </c>
    </row>
    <row r="725" spans="13:14" x14ac:dyDescent="0.2">
      <c r="M725" s="149">
        <v>8.8875000000000597</v>
      </c>
      <c r="N725" s="91">
        <v>-1.4574403874141522E-6</v>
      </c>
    </row>
    <row r="726" spans="13:14" x14ac:dyDescent="0.2">
      <c r="M726" s="149">
        <v>8.900000000000059</v>
      </c>
      <c r="N726" s="91">
        <v>-1.4364585002552249E-6</v>
      </c>
    </row>
    <row r="727" spans="13:14" x14ac:dyDescent="0.2">
      <c r="M727" s="149">
        <v>8.9125000000000583</v>
      </c>
      <c r="N727" s="91">
        <v>-1.4154605666852619E-6</v>
      </c>
    </row>
    <row r="728" spans="13:14" x14ac:dyDescent="0.2">
      <c r="M728" s="149">
        <v>8.9250000000000593</v>
      </c>
      <c r="N728" s="91">
        <v>-1.3944511926018251E-6</v>
      </c>
    </row>
    <row r="729" spans="13:14" x14ac:dyDescent="0.2">
      <c r="M729" s="149">
        <v>8.9375000000000604</v>
      </c>
      <c r="N729" s="91">
        <v>-1.3734350248278505E-6</v>
      </c>
    </row>
    <row r="730" spans="13:14" x14ac:dyDescent="0.2">
      <c r="M730" s="149">
        <v>8.9500000000000597</v>
      </c>
      <c r="N730" s="91">
        <v>-1.3524167511117385E-6</v>
      </c>
    </row>
    <row r="731" spans="13:14" x14ac:dyDescent="0.2">
      <c r="M731" s="149">
        <v>8.962500000000059</v>
      </c>
      <c r="N731" s="91">
        <v>-1.3314011001273157E-6</v>
      </c>
    </row>
    <row r="732" spans="13:14" x14ac:dyDescent="0.2">
      <c r="M732" s="149">
        <v>8.97500000000006</v>
      </c>
      <c r="N732" s="91">
        <v>-1.3103928414738143E-6</v>
      </c>
    </row>
    <row r="733" spans="13:14" x14ac:dyDescent="0.2">
      <c r="M733" s="149">
        <v>8.9875000000000611</v>
      </c>
      <c r="N733" s="91">
        <v>-1.2893967856758992E-6</v>
      </c>
    </row>
    <row r="734" spans="13:14" x14ac:dyDescent="0.2">
      <c r="M734" s="149">
        <v>9.0000000000000604</v>
      </c>
      <c r="N734" s="91">
        <v>-1.2684177841836583E-6</v>
      </c>
    </row>
    <row r="735" spans="13:14" x14ac:dyDescent="0.2">
      <c r="M735" s="149">
        <v>9.0125000000000597</v>
      </c>
      <c r="N735" s="91">
        <v>-1.2474607293726152E-6</v>
      </c>
    </row>
    <row r="736" spans="13:14" x14ac:dyDescent="0.2">
      <c r="M736" s="149">
        <v>9.0250000000000608</v>
      </c>
      <c r="N736" s="91">
        <v>-1.2265305545437072E-6</v>
      </c>
    </row>
    <row r="737" spans="13:14" x14ac:dyDescent="0.2">
      <c r="M737" s="149">
        <v>9.0375000000000618</v>
      </c>
      <c r="N737" s="91">
        <v>-1.2056322339233149E-6</v>
      </c>
    </row>
    <row r="738" spans="13:14" x14ac:dyDescent="0.2">
      <c r="M738" s="149">
        <v>9.0500000000000611</v>
      </c>
      <c r="N738" s="91">
        <v>-1.1847707826632077E-6</v>
      </c>
    </row>
    <row r="739" spans="13:14" x14ac:dyDescent="0.2">
      <c r="M739" s="149">
        <v>9.0625000000000604</v>
      </c>
      <c r="N739" s="91">
        <v>-1.1639512568406173E-6</v>
      </c>
    </row>
    <row r="740" spans="13:14" x14ac:dyDescent="0.2">
      <c r="M740" s="149">
        <v>9.0750000000000615</v>
      </c>
      <c r="N740" s="91">
        <v>-1.1431787534581921E-6</v>
      </c>
    </row>
    <row r="741" spans="13:14" x14ac:dyDescent="0.2">
      <c r="M741" s="149">
        <v>9.0875000000000625</v>
      </c>
      <c r="N741" s="91">
        <v>-1.1224584104439996E-6</v>
      </c>
    </row>
    <row r="742" spans="13:14" x14ac:dyDescent="0.2">
      <c r="M742" s="149">
        <v>9.1000000000000618</v>
      </c>
      <c r="N742" s="91">
        <v>-1.1017954066515196E-6</v>
      </c>
    </row>
    <row r="743" spans="13:14" x14ac:dyDescent="0.2">
      <c r="M743" s="149">
        <v>9.1125000000000611</v>
      </c>
      <c r="N743" s="91">
        <v>-1.0811949618596855E-6</v>
      </c>
    </row>
    <row r="744" spans="13:14" x14ac:dyDescent="0.2">
      <c r="M744" s="149">
        <v>9.1250000000000622</v>
      </c>
      <c r="N744" s="91">
        <v>-1.060662336772853E-6</v>
      </c>
    </row>
    <row r="745" spans="13:14" x14ac:dyDescent="0.2">
      <c r="M745" s="149">
        <v>9.1375000000000632</v>
      </c>
      <c r="N745" s="91">
        <v>-1.0402028330207574E-6</v>
      </c>
    </row>
    <row r="746" spans="13:14" x14ac:dyDescent="0.2">
      <c r="M746" s="149">
        <v>9.1500000000000625</v>
      </c>
      <c r="N746" s="91">
        <v>-1.0198217931586329E-6</v>
      </c>
    </row>
    <row r="747" spans="13:14" x14ac:dyDescent="0.2">
      <c r="M747" s="149">
        <v>9.1625000000000618</v>
      </c>
      <c r="N747" s="91">
        <v>-9.9952460066707402E-7</v>
      </c>
    </row>
    <row r="748" spans="13:14" x14ac:dyDescent="0.2">
      <c r="M748" s="149">
        <v>9.1750000000000629</v>
      </c>
      <c r="N748" s="91">
        <v>-9.7931667995214098E-7</v>
      </c>
    </row>
    <row r="749" spans="13:14" x14ac:dyDescent="0.2">
      <c r="M749" s="149">
        <v>9.1875000000000639</v>
      </c>
      <c r="N749" s="91">
        <v>-9.5920349634529874E-7</v>
      </c>
    </row>
    <row r="750" spans="13:14" x14ac:dyDescent="0.2">
      <c r="M750" s="149">
        <v>9.2000000000000632</v>
      </c>
      <c r="N750" s="91">
        <v>-9.3919055610344494E-7</v>
      </c>
    </row>
    <row r="751" spans="13:14" x14ac:dyDescent="0.2">
      <c r="M751" s="149">
        <v>9.2125000000000625</v>
      </c>
      <c r="N751" s="91">
        <v>-9.1928340640891509E-7</v>
      </c>
    </row>
    <row r="752" spans="13:14" x14ac:dyDescent="0.2">
      <c r="M752" s="149">
        <v>9.2250000000000636</v>
      </c>
      <c r="N752" s="91">
        <v>-8.99487635369423E-7</v>
      </c>
    </row>
    <row r="753" spans="13:14" x14ac:dyDescent="0.2">
      <c r="M753" s="149">
        <v>9.2375000000000647</v>
      </c>
      <c r="N753" s="91">
        <v>-8.7980887201818254E-7</v>
      </c>
    </row>
    <row r="754" spans="13:14" x14ac:dyDescent="0.2">
      <c r="M754" s="149">
        <v>9.2500000000000639</v>
      </c>
      <c r="N754" s="91">
        <v>-8.602527863137736E-7</v>
      </c>
    </row>
    <row r="755" spans="13:14" x14ac:dyDescent="0.2">
      <c r="M755" s="149">
        <v>9.2625000000000632</v>
      </c>
      <c r="N755" s="91">
        <v>-8.4082508914023268E-7</v>
      </c>
    </row>
    <row r="756" spans="13:14" x14ac:dyDescent="0.2">
      <c r="M756" s="149">
        <v>9.2750000000000643</v>
      </c>
      <c r="N756" s="91">
        <v>-8.2153153230698636E-7</v>
      </c>
    </row>
    <row r="757" spans="13:14" x14ac:dyDescent="0.2">
      <c r="M757" s="149">
        <v>9.2875000000000654</v>
      </c>
      <c r="N757" s="91">
        <v>-8.023779085489261E-7</v>
      </c>
    </row>
    <row r="758" spans="13:14" x14ac:dyDescent="0.2">
      <c r="M758" s="149">
        <v>9.3000000000000647</v>
      </c>
      <c r="N758" s="91">
        <v>-7.8337005152634212E-7</v>
      </c>
    </row>
    <row r="759" spans="13:14" x14ac:dyDescent="0.2">
      <c r="M759" s="149">
        <v>9.3125000000000639</v>
      </c>
      <c r="N759" s="91">
        <v>-7.6451383582496165E-7</v>
      </c>
    </row>
    <row r="760" spans="13:14" x14ac:dyDescent="0.2">
      <c r="M760" s="149">
        <v>9.325000000000065</v>
      </c>
      <c r="N760" s="91">
        <v>-7.4581517695593916E-7</v>
      </c>
    </row>
    <row r="761" spans="13:14" x14ac:dyDescent="0.2">
      <c r="M761" s="149">
        <v>9.3375000000000661</v>
      </c>
      <c r="N761" s="91">
        <v>-7.2728003135585621E-7</v>
      </c>
    </row>
    <row r="762" spans="13:14" x14ac:dyDescent="0.2">
      <c r="M762" s="149">
        <v>9.3500000000000654</v>
      </c>
      <c r="N762" s="91">
        <v>-7.0891439638671398E-7</v>
      </c>
    </row>
    <row r="763" spans="13:14" x14ac:dyDescent="0.2">
      <c r="M763" s="149">
        <v>9.3625000000000647</v>
      </c>
      <c r="N763" s="91">
        <v>-6.9072431033591728E-7</v>
      </c>
    </row>
    <row r="764" spans="13:14" x14ac:dyDescent="0.2">
      <c r="M764" s="149">
        <v>9.3750000000000657</v>
      </c>
      <c r="N764" s="91">
        <v>-6.7271585241635168E-7</v>
      </c>
    </row>
    <row r="765" spans="13:14" x14ac:dyDescent="0.2">
      <c r="M765" s="149">
        <v>9.3875000000000668</v>
      </c>
      <c r="N765" s="91">
        <v>-6.5489514276628299E-7</v>
      </c>
    </row>
    <row r="766" spans="13:14" x14ac:dyDescent="0.2">
      <c r="M766" s="149">
        <v>9.4000000000000661</v>
      </c>
      <c r="N766" s="91">
        <v>-6.3726834244939456E-7</v>
      </c>
    </row>
    <row r="767" spans="13:14" x14ac:dyDescent="0.2">
      <c r="M767" s="149">
        <v>9.4125000000000654</v>
      </c>
      <c r="N767" s="91">
        <v>-6.1984165345483497E-7</v>
      </c>
    </row>
    <row r="768" spans="13:14" x14ac:dyDescent="0.2">
      <c r="M768" s="149">
        <v>9.4250000000000664</v>
      </c>
      <c r="N768" s="91">
        <v>-6.0262131869716147E-7</v>
      </c>
    </row>
    <row r="769" spans="13:14" x14ac:dyDescent="0.2">
      <c r="M769" s="149">
        <v>9.4375000000000675</v>
      </c>
      <c r="N769" s="91">
        <v>-5.8561362201632648E-7</v>
      </c>
    </row>
    <row r="770" spans="13:14" x14ac:dyDescent="0.2">
      <c r="M770" s="149">
        <v>9.4500000000000668</v>
      </c>
      <c r="N770" s="91">
        <v>-5.6882488817776228E-7</v>
      </c>
    </row>
    <row r="771" spans="13:14" x14ac:dyDescent="0.2">
      <c r="M771" s="149">
        <v>9.4625000000000661</v>
      </c>
      <c r="N771" s="91">
        <v>-5.5226148287229033E-7</v>
      </c>
    </row>
    <row r="772" spans="13:14" x14ac:dyDescent="0.2">
      <c r="M772" s="149">
        <v>9.4750000000000671</v>
      </c>
      <c r="N772" s="91">
        <v>-5.3592981271617511E-7</v>
      </c>
    </row>
    <row r="773" spans="13:14" x14ac:dyDescent="0.2">
      <c r="M773" s="149">
        <v>9.4875000000000682</v>
      </c>
      <c r="N773" s="91">
        <v>-5.1983632525107574E-7</v>
      </c>
    </row>
    <row r="774" spans="13:14" x14ac:dyDescent="0.2">
      <c r="M774" s="149">
        <v>9.5000000000000675</v>
      </c>
      <c r="N774" s="91">
        <v>-5.0398750894410627E-7</v>
      </c>
    </row>
    <row r="775" spans="13:14" x14ac:dyDescent="0.2">
      <c r="M775" s="149">
        <v>9.5125000000000668</v>
      </c>
      <c r="N775" s="91">
        <v>-4.8838989318780375E-7</v>
      </c>
    </row>
    <row r="776" spans="13:14" x14ac:dyDescent="0.2">
      <c r="M776" s="149">
        <v>9.5250000000000679</v>
      </c>
      <c r="N776" s="91">
        <v>-4.7305004830012466E-7</v>
      </c>
    </row>
    <row r="777" spans="13:14" x14ac:dyDescent="0.2">
      <c r="M777" s="149">
        <v>9.5375000000000689</v>
      </c>
      <c r="N777" s="91">
        <v>-4.5797458552443868E-7</v>
      </c>
    </row>
    <row r="778" spans="13:14" x14ac:dyDescent="0.2">
      <c r="M778" s="149">
        <v>9.5500000000000682</v>
      </c>
      <c r="N778" s="91">
        <v>-4.4317015702957077E-7</v>
      </c>
    </row>
    <row r="779" spans="13:14" x14ac:dyDescent="0.2">
      <c r="M779" s="149">
        <v>9.5625000000000675</v>
      </c>
      <c r="N779" s="91">
        <v>-4.2864345590974027E-7</v>
      </c>
    </row>
    <row r="780" spans="13:14" x14ac:dyDescent="0.2">
      <c r="M780" s="149">
        <v>9.5750000000000686</v>
      </c>
      <c r="N780" s="91">
        <v>-4.1440121618461938E-7</v>
      </c>
    </row>
    <row r="781" spans="13:14" x14ac:dyDescent="0.2">
      <c r="M781" s="149">
        <v>9.5875000000000696</v>
      </c>
      <c r="N781" s="91">
        <v>-4.0045021279927854E-7</v>
      </c>
    </row>
    <row r="782" spans="13:14" x14ac:dyDescent="0.2">
      <c r="M782" s="149">
        <v>9.6000000000000689</v>
      </c>
      <c r="N782" s="91">
        <v>-3.8679726162423021E-7</v>
      </c>
    </row>
    <row r="783" spans="13:14" x14ac:dyDescent="0.2">
      <c r="M783" s="149">
        <v>9.6125000000000682</v>
      </c>
      <c r="N783" s="91">
        <v>-3.7344921945540448E-7</v>
      </c>
    </row>
    <row r="784" spans="13:14" x14ac:dyDescent="0.2">
      <c r="M784" s="149">
        <v>9.6250000000000693</v>
      </c>
      <c r="N784" s="91">
        <v>-3.6041298401417299E-7</v>
      </c>
    </row>
    <row r="785" spans="13:14" x14ac:dyDescent="0.2">
      <c r="M785" s="149">
        <v>9.6375000000000703</v>
      </c>
      <c r="N785" s="91">
        <v>-3.4769549394730755E-7</v>
      </c>
    </row>
    <row r="786" spans="13:14" x14ac:dyDescent="0.2">
      <c r="M786" s="149">
        <v>9.6500000000000696</v>
      </c>
      <c r="N786" s="91">
        <v>-3.3530372882702684E-7</v>
      </c>
    </row>
    <row r="787" spans="13:14" x14ac:dyDescent="0.2">
      <c r="M787" s="149">
        <v>9.6625000000000689</v>
      </c>
      <c r="N787" s="91">
        <v>-3.2324470915096214E-7</v>
      </c>
    </row>
    <row r="788" spans="13:14" x14ac:dyDescent="0.2">
      <c r="M788" s="149">
        <v>9.67500000000007</v>
      </c>
      <c r="N788" s="91">
        <v>-3.1152549634218146E-7</v>
      </c>
    </row>
    <row r="789" spans="13:14" x14ac:dyDescent="0.2">
      <c r="M789" s="149">
        <v>9.6875000000000711</v>
      </c>
      <c r="N789" s="91">
        <v>-3.0015319274916288E-7</v>
      </c>
    </row>
    <row r="790" spans="13:14" x14ac:dyDescent="0.2">
      <c r="M790" s="149">
        <v>9.7000000000000703</v>
      </c>
      <c r="N790" s="91">
        <v>-2.8913494164581204E-7</v>
      </c>
    </row>
    <row r="791" spans="13:14" x14ac:dyDescent="0.2">
      <c r="M791" s="149">
        <v>9.7125000000000696</v>
      </c>
      <c r="N791" s="91">
        <v>-2.7847792723148033E-7</v>
      </c>
    </row>
    <row r="792" spans="13:14" x14ac:dyDescent="0.2">
      <c r="M792" s="149">
        <v>9.7250000000000707</v>
      </c>
      <c r="N792" s="91">
        <v>-2.6818937463093258E-7</v>
      </c>
    </row>
    <row r="793" spans="13:14" x14ac:dyDescent="0.2">
      <c r="M793" s="149">
        <v>9.7375000000000718</v>
      </c>
      <c r="N793" s="91">
        <v>-2.5827654989434814E-7</v>
      </c>
    </row>
    <row r="794" spans="13:14" x14ac:dyDescent="0.2">
      <c r="M794" s="149">
        <v>9.7500000000000711</v>
      </c>
      <c r="N794" s="91">
        <v>-2.4874675999732883E-7</v>
      </c>
    </row>
    <row r="795" spans="13:14" x14ac:dyDescent="0.2">
      <c r="M795" s="149">
        <v>9.7625000000000703</v>
      </c>
      <c r="N795" s="91">
        <v>-2.3960735284093726E-7</v>
      </c>
    </row>
    <row r="796" spans="13:14" x14ac:dyDescent="0.2">
      <c r="M796" s="149">
        <v>9.7750000000000714</v>
      </c>
      <c r="N796" s="91">
        <v>-2.3086571725162175E-7</v>
      </c>
    </row>
    <row r="797" spans="13:14" x14ac:dyDescent="0.2">
      <c r="M797" s="149">
        <v>9.7875000000000725</v>
      </c>
      <c r="N797" s="91">
        <v>-2.2252928298126322E-7</v>
      </c>
    </row>
    <row r="798" spans="13:14" x14ac:dyDescent="0.2">
      <c r="M798" s="149">
        <v>9.8000000000000718</v>
      </c>
      <c r="N798" s="91">
        <v>-2.1460552070719801E-7</v>
      </c>
    </row>
    <row r="799" spans="13:14" x14ac:dyDescent="0.2">
      <c r="M799" s="149">
        <v>9.8125000000000711</v>
      </c>
      <c r="N799" s="91">
        <v>-2.0710194203217076E-7</v>
      </c>
    </row>
    <row r="800" spans="13:14" x14ac:dyDescent="0.2">
      <c r="M800" s="149">
        <v>9.8250000000000721</v>
      </c>
      <c r="N800" s="91">
        <v>-2.0002609948431569E-7</v>
      </c>
    </row>
    <row r="801" spans="13:14" x14ac:dyDescent="0.2">
      <c r="M801" s="149">
        <v>9.8375000000000732</v>
      </c>
      <c r="N801" s="91">
        <v>-1.9338558651724299E-7</v>
      </c>
    </row>
    <row r="802" spans="13:14" x14ac:dyDescent="0.2">
      <c r="M802" s="149">
        <v>9.8500000000000725</v>
      </c>
      <c r="N802" s="91">
        <v>-1.8718803750996198E-7</v>
      </c>
    </row>
    <row r="803" spans="13:14" x14ac:dyDescent="0.2">
      <c r="M803" s="149">
        <v>9.8625000000000718</v>
      </c>
      <c r="N803" s="91">
        <v>-1.8144112776692507E-7</v>
      </c>
    </row>
    <row r="804" spans="13:14" x14ac:dyDescent="0.2">
      <c r="M804" s="149">
        <v>9.8750000000000728</v>
      </c>
      <c r="N804" s="91">
        <v>-1.7615257351799767E-7</v>
      </c>
    </row>
    <row r="805" spans="13:14" x14ac:dyDescent="0.2">
      <c r="M805" s="149">
        <v>9.8875000000000739</v>
      </c>
      <c r="N805" s="91">
        <v>-1.7133013191844247E-7</v>
      </c>
    </row>
    <row r="806" spans="13:14" x14ac:dyDescent="0.2">
      <c r="M806" s="149">
        <v>9.9000000000000732</v>
      </c>
      <c r="N806" s="91">
        <v>-1.6698160104902189E-7</v>
      </c>
    </row>
    <row r="807" spans="13:14" x14ac:dyDescent="0.2">
      <c r="M807" s="149">
        <v>9.9125000000000725</v>
      </c>
      <c r="N807" s="91">
        <v>-1.6311481991585511E-7</v>
      </c>
    </row>
    <row r="808" spans="13:14" x14ac:dyDescent="0.2">
      <c r="M808" s="149">
        <v>9.9250000000000735</v>
      </c>
      <c r="N808" s="91">
        <v>-1.5973766845050391E-7</v>
      </c>
    </row>
    <row r="809" spans="13:14" x14ac:dyDescent="0.2">
      <c r="M809" s="149">
        <v>9.9375000000000746</v>
      </c>
      <c r="N809" s="91">
        <v>-1.5685806750997976E-7</v>
      </c>
    </row>
    <row r="810" spans="13:14" x14ac:dyDescent="0.2">
      <c r="M810" s="149">
        <v>9.9500000000000739</v>
      </c>
      <c r="N810" s="91">
        <v>-1.5448397887669429E-7</v>
      </c>
    </row>
    <row r="811" spans="13:14" x14ac:dyDescent="0.2">
      <c r="M811" s="149">
        <v>9.9625000000000732</v>
      </c>
      <c r="N811" s="91">
        <v>-1.5262340525847254E-7</v>
      </c>
    </row>
    <row r="812" spans="13:14" x14ac:dyDescent="0.2">
      <c r="M812" s="149">
        <v>9.9750000000000743</v>
      </c>
      <c r="N812" s="91">
        <v>-1.5128439028862037E-7</v>
      </c>
    </row>
    <row r="813" spans="13:14" x14ac:dyDescent="0.2">
      <c r="M813" s="149">
        <v>9.9875000000000753</v>
      </c>
      <c r="N813" s="91">
        <v>-1.504750185258031E-7</v>
      </c>
    </row>
    <row r="814" spans="13:14" x14ac:dyDescent="0.2">
      <c r="M814" s="149">
        <v>10.000000000000075</v>
      </c>
      <c r="N814" s="91">
        <v>-1.5020341545416388E-7</v>
      </c>
    </row>
    <row r="815" spans="13:14" x14ac:dyDescent="0.2">
      <c r="M815" s="149">
        <v>10.000000000000075</v>
      </c>
      <c r="N815" s="91">
        <v>-1.5020341545415734E-7</v>
      </c>
    </row>
    <row r="816" spans="13:14" x14ac:dyDescent="0.2">
      <c r="M816" s="149">
        <v>10.012500000000074</v>
      </c>
      <c r="N816" s="91">
        <v>-1.5047501852580398E-7</v>
      </c>
    </row>
    <row r="817" spans="13:14" x14ac:dyDescent="0.2">
      <c r="M817" s="149">
        <v>10.025000000000075</v>
      </c>
      <c r="N817" s="91">
        <v>-1.5128439028861724E-7</v>
      </c>
    </row>
    <row r="818" spans="13:14" x14ac:dyDescent="0.2">
      <c r="M818" s="149">
        <v>10.037500000000074</v>
      </c>
      <c r="N818" s="91">
        <v>-1.5262340525847675E-7</v>
      </c>
    </row>
    <row r="819" spans="13:14" x14ac:dyDescent="0.2">
      <c r="M819" s="149">
        <v>10.050000000000075</v>
      </c>
      <c r="N819" s="91">
        <v>-1.5448397887668741E-7</v>
      </c>
    </row>
    <row r="820" spans="13:14" x14ac:dyDescent="0.2">
      <c r="M820" s="149">
        <v>10.062500000000075</v>
      </c>
      <c r="N820" s="91">
        <v>-1.5685806750997952E-7</v>
      </c>
    </row>
    <row r="821" spans="13:14" x14ac:dyDescent="0.2">
      <c r="M821" s="149">
        <v>10.075000000000074</v>
      </c>
      <c r="N821" s="91">
        <v>-1.597376684505088E-7</v>
      </c>
    </row>
    <row r="822" spans="13:14" x14ac:dyDescent="0.2">
      <c r="M822" s="149">
        <v>10.087500000000075</v>
      </c>
      <c r="N822" s="91">
        <v>-1.6311481991585625E-7</v>
      </c>
    </row>
    <row r="823" spans="13:14" x14ac:dyDescent="0.2">
      <c r="M823" s="149">
        <v>10.100000000000074</v>
      </c>
      <c r="N823" s="91">
        <v>-1.6698160104902824E-7</v>
      </c>
    </row>
    <row r="824" spans="13:14" x14ac:dyDescent="0.2">
      <c r="M824" s="149">
        <v>10.112500000000075</v>
      </c>
      <c r="N824" s="91">
        <v>-1.7133013191845655E-7</v>
      </c>
    </row>
    <row r="825" spans="13:14" x14ac:dyDescent="0.2">
      <c r="M825" s="149">
        <v>10.125000000000075</v>
      </c>
      <c r="N825" s="91">
        <v>-1.7615257351799833E-7</v>
      </c>
    </row>
    <row r="826" spans="13:14" x14ac:dyDescent="0.2">
      <c r="M826" s="149">
        <v>10.137500000000074</v>
      </c>
      <c r="N826" s="91">
        <v>-1.81441127766936E-7</v>
      </c>
    </row>
    <row r="827" spans="13:14" x14ac:dyDescent="0.2">
      <c r="M827" s="149">
        <v>10.150000000000075</v>
      </c>
      <c r="N827" s="91">
        <v>-1.8718803750997746E-7</v>
      </c>
    </row>
    <row r="828" spans="13:14" x14ac:dyDescent="0.2">
      <c r="M828" s="149">
        <v>10.162500000000074</v>
      </c>
      <c r="N828" s="91">
        <v>-1.9338558651725588E-7</v>
      </c>
    </row>
    <row r="829" spans="13:14" x14ac:dyDescent="0.2">
      <c r="M829" s="149">
        <v>10.175000000000075</v>
      </c>
      <c r="N829" s="91">
        <v>-2.0002609948432985E-7</v>
      </c>
    </row>
    <row r="830" spans="13:14" x14ac:dyDescent="0.2">
      <c r="M830" s="149">
        <v>10.187500000000075</v>
      </c>
      <c r="N830" s="91">
        <v>-2.0710194203218328E-7</v>
      </c>
    </row>
    <row r="831" spans="13:14" x14ac:dyDescent="0.2">
      <c r="M831" s="149">
        <v>10.200000000000074</v>
      </c>
      <c r="N831" s="91">
        <v>-2.1460552070722549E-7</v>
      </c>
    </row>
    <row r="832" spans="13:14" x14ac:dyDescent="0.2">
      <c r="M832" s="149">
        <v>10.212500000000075</v>
      </c>
      <c r="N832" s="91">
        <v>-2.2252928298129112E-7</v>
      </c>
    </row>
    <row r="833" spans="13:14" x14ac:dyDescent="0.2">
      <c r="M833" s="149">
        <v>10.225000000000074</v>
      </c>
      <c r="N833" s="91">
        <v>-2.3086571725164018E-7</v>
      </c>
    </row>
    <row r="834" spans="13:14" x14ac:dyDescent="0.2">
      <c r="M834" s="149">
        <v>10.237500000000075</v>
      </c>
      <c r="N834" s="91">
        <v>-2.3960735284095812E-7</v>
      </c>
    </row>
    <row r="835" spans="13:14" x14ac:dyDescent="0.2">
      <c r="M835" s="149">
        <v>10.250000000000075</v>
      </c>
      <c r="N835" s="91">
        <v>-2.4874675999735551E-7</v>
      </c>
    </row>
    <row r="836" spans="13:14" x14ac:dyDescent="0.2">
      <c r="M836" s="149">
        <v>10.262500000000074</v>
      </c>
      <c r="N836" s="91">
        <v>-2.5827654989436868E-7</v>
      </c>
    </row>
    <row r="837" spans="13:14" x14ac:dyDescent="0.2">
      <c r="M837" s="149">
        <v>10.275000000000075</v>
      </c>
      <c r="N837" s="91">
        <v>-2.6818937463095895E-7</v>
      </c>
    </row>
    <row r="838" spans="13:14" x14ac:dyDescent="0.2">
      <c r="M838" s="149">
        <v>10.287500000000074</v>
      </c>
      <c r="N838" s="91">
        <v>-2.784779272315132E-7</v>
      </c>
    </row>
    <row r="839" spans="13:14" x14ac:dyDescent="0.2">
      <c r="M839" s="149">
        <v>10.300000000000075</v>
      </c>
      <c r="N839" s="91">
        <v>-2.891349416458437E-7</v>
      </c>
    </row>
    <row r="840" spans="13:14" x14ac:dyDescent="0.2">
      <c r="M840" s="149">
        <v>10.312500000000075</v>
      </c>
      <c r="N840" s="91">
        <v>-3.0015319274918776E-7</v>
      </c>
    </row>
    <row r="841" spans="13:14" x14ac:dyDescent="0.2">
      <c r="M841" s="149">
        <v>10.325000000000074</v>
      </c>
      <c r="N841" s="91">
        <v>-3.1152549634220857E-7</v>
      </c>
    </row>
    <row r="842" spans="13:14" x14ac:dyDescent="0.2">
      <c r="M842" s="149">
        <v>10.337500000000075</v>
      </c>
      <c r="N842" s="91">
        <v>-3.2324470915099427E-7</v>
      </c>
    </row>
    <row r="843" spans="13:14" x14ac:dyDescent="0.2">
      <c r="M843" s="149">
        <v>10.350000000000074</v>
      </c>
      <c r="N843" s="91">
        <v>-3.353037288270586E-7</v>
      </c>
    </row>
    <row r="844" spans="13:14" x14ac:dyDescent="0.2">
      <c r="M844" s="149">
        <v>10.362500000000075</v>
      </c>
      <c r="N844" s="91">
        <v>-3.4769549394734042E-7</v>
      </c>
    </row>
    <row r="845" spans="13:14" x14ac:dyDescent="0.2">
      <c r="M845" s="149">
        <v>10.375000000000075</v>
      </c>
      <c r="N845" s="91">
        <v>-3.6041298401420422E-7</v>
      </c>
    </row>
    <row r="846" spans="13:14" x14ac:dyDescent="0.2">
      <c r="M846" s="149">
        <v>10.387500000000074</v>
      </c>
      <c r="N846" s="91">
        <v>-3.7344921945543974E-7</v>
      </c>
    </row>
    <row r="847" spans="13:14" x14ac:dyDescent="0.2">
      <c r="M847" s="149">
        <v>10.400000000000075</v>
      </c>
      <c r="N847" s="91">
        <v>-3.8679726162426197E-7</v>
      </c>
    </row>
    <row r="848" spans="13:14" x14ac:dyDescent="0.2">
      <c r="M848" s="149">
        <v>10.412500000000074</v>
      </c>
      <c r="N848" s="91">
        <v>-4.0045021279931147E-7</v>
      </c>
    </row>
    <row r="849" spans="13:14" x14ac:dyDescent="0.2">
      <c r="M849" s="149">
        <v>10.425000000000075</v>
      </c>
      <c r="N849" s="91">
        <v>-4.14401216184654E-7</v>
      </c>
    </row>
    <row r="850" spans="13:14" x14ac:dyDescent="0.2">
      <c r="M850" s="149">
        <v>10.437500000000075</v>
      </c>
      <c r="N850" s="91">
        <v>-4.2864345590978072E-7</v>
      </c>
    </row>
    <row r="851" spans="13:14" x14ac:dyDescent="0.2">
      <c r="M851" s="149">
        <v>10.450000000000076</v>
      </c>
      <c r="N851" s="91">
        <v>-4.4317015702960836E-7</v>
      </c>
    </row>
    <row r="852" spans="13:14" x14ac:dyDescent="0.2">
      <c r="M852" s="149">
        <v>10.462500000000075</v>
      </c>
      <c r="N852" s="91">
        <v>-4.5797458552447849E-7</v>
      </c>
    </row>
    <row r="853" spans="13:14" x14ac:dyDescent="0.2">
      <c r="M853" s="149">
        <v>10.475000000000074</v>
      </c>
      <c r="N853" s="91">
        <v>-4.7305004830015865E-7</v>
      </c>
    </row>
    <row r="854" spans="13:14" x14ac:dyDescent="0.2">
      <c r="M854" s="149">
        <v>10.487500000000075</v>
      </c>
      <c r="N854" s="91">
        <v>-4.8838989318784144E-7</v>
      </c>
    </row>
    <row r="855" spans="13:14" x14ac:dyDescent="0.2">
      <c r="M855" s="149">
        <v>10.500000000000075</v>
      </c>
      <c r="N855" s="91">
        <v>-5.039875089441446E-7</v>
      </c>
    </row>
    <row r="856" spans="13:14" x14ac:dyDescent="0.2">
      <c r="M856" s="149">
        <v>10.512500000000074</v>
      </c>
      <c r="N856" s="91">
        <v>-5.1983632525111185E-7</v>
      </c>
    </row>
    <row r="857" spans="13:14" x14ac:dyDescent="0.2">
      <c r="M857" s="149">
        <v>10.525000000000075</v>
      </c>
      <c r="N857" s="91">
        <v>-5.3592981271621164E-7</v>
      </c>
    </row>
    <row r="858" spans="13:14" x14ac:dyDescent="0.2">
      <c r="M858" s="149">
        <v>10.537500000000074</v>
      </c>
      <c r="N858" s="91">
        <v>-5.5226148287233819E-7</v>
      </c>
    </row>
    <row r="859" spans="13:14" x14ac:dyDescent="0.2">
      <c r="M859" s="149">
        <v>10.550000000000075</v>
      </c>
      <c r="N859" s="91">
        <v>-5.6882488817781088E-7</v>
      </c>
    </row>
    <row r="860" spans="13:14" x14ac:dyDescent="0.2">
      <c r="M860" s="149">
        <v>10.562500000000075</v>
      </c>
      <c r="N860" s="91">
        <v>-5.8561362201637455E-7</v>
      </c>
    </row>
    <row r="861" spans="13:14" x14ac:dyDescent="0.2">
      <c r="M861" s="149">
        <v>10.575000000000074</v>
      </c>
      <c r="N861" s="91">
        <v>-6.0262131869719948E-7</v>
      </c>
    </row>
    <row r="862" spans="13:14" x14ac:dyDescent="0.2">
      <c r="M862" s="149">
        <v>10.587500000000075</v>
      </c>
      <c r="N862" s="91">
        <v>-6.1984165345488103E-7</v>
      </c>
    </row>
    <row r="863" spans="13:14" x14ac:dyDescent="0.2">
      <c r="M863" s="149">
        <v>10.600000000000074</v>
      </c>
      <c r="N863" s="91">
        <v>-6.3726834244943998E-7</v>
      </c>
    </row>
    <row r="864" spans="13:14" x14ac:dyDescent="0.2">
      <c r="M864" s="149">
        <v>10.612500000000075</v>
      </c>
      <c r="N864" s="91">
        <v>-6.5489514276632312E-7</v>
      </c>
    </row>
    <row r="865" spans="13:14" x14ac:dyDescent="0.2">
      <c r="M865" s="149">
        <v>10.625000000000075</v>
      </c>
      <c r="N865" s="91">
        <v>-6.7271585241640144E-7</v>
      </c>
    </row>
    <row r="866" spans="13:14" x14ac:dyDescent="0.2">
      <c r="M866" s="149">
        <v>10.637500000000074</v>
      </c>
      <c r="N866" s="91">
        <v>-6.9072431033597212E-7</v>
      </c>
    </row>
    <row r="867" spans="13:14" x14ac:dyDescent="0.2">
      <c r="M867" s="149">
        <v>10.650000000000075</v>
      </c>
      <c r="N867" s="91">
        <v>-7.089143963867577E-7</v>
      </c>
    </row>
    <row r="868" spans="13:14" x14ac:dyDescent="0.2">
      <c r="M868" s="149">
        <v>10.662500000000074</v>
      </c>
      <c r="N868" s="91">
        <v>-7.2728003135590587E-7</v>
      </c>
    </row>
    <row r="869" spans="13:14" x14ac:dyDescent="0.2">
      <c r="M869" s="149">
        <v>10.675000000000074</v>
      </c>
      <c r="N869" s="91">
        <v>-7.4581517695598935E-7</v>
      </c>
    </row>
    <row r="870" spans="13:14" x14ac:dyDescent="0.2">
      <c r="M870" s="149">
        <v>10.687500000000075</v>
      </c>
      <c r="N870" s="91">
        <v>-7.6451383582500696E-7</v>
      </c>
    </row>
    <row r="871" spans="13:14" x14ac:dyDescent="0.2">
      <c r="M871" s="149">
        <v>10.700000000000074</v>
      </c>
      <c r="N871" s="91">
        <v>-7.8337005152638236E-7</v>
      </c>
    </row>
    <row r="872" spans="13:14" x14ac:dyDescent="0.2">
      <c r="M872" s="149">
        <v>10.712500000000073</v>
      </c>
      <c r="N872" s="91">
        <v>-8.0237790854896475E-7</v>
      </c>
    </row>
    <row r="873" spans="13:14" x14ac:dyDescent="0.2">
      <c r="M873" s="149">
        <v>10.725000000000074</v>
      </c>
      <c r="N873" s="91">
        <v>-8.2153153230702829E-7</v>
      </c>
    </row>
    <row r="874" spans="13:14" x14ac:dyDescent="0.2">
      <c r="M874" s="149">
        <v>10.737500000000074</v>
      </c>
      <c r="N874" s="91">
        <v>-8.4082508914027333E-7</v>
      </c>
    </row>
    <row r="875" spans="13:14" x14ac:dyDescent="0.2">
      <c r="M875" s="149">
        <v>10.750000000000075</v>
      </c>
      <c r="N875" s="91">
        <v>-8.6025278631382506E-7</v>
      </c>
    </row>
    <row r="876" spans="13:14" x14ac:dyDescent="0.2">
      <c r="M876" s="149">
        <v>10.762500000000074</v>
      </c>
      <c r="N876" s="91">
        <v>-8.7980887201823389E-7</v>
      </c>
    </row>
    <row r="877" spans="13:14" x14ac:dyDescent="0.2">
      <c r="M877" s="149">
        <v>10.775000000000073</v>
      </c>
      <c r="N877" s="91">
        <v>-8.9948763536947594E-7</v>
      </c>
    </row>
    <row r="878" spans="13:14" x14ac:dyDescent="0.2">
      <c r="M878" s="149">
        <v>10.787500000000074</v>
      </c>
      <c r="N878" s="91">
        <v>-9.1928340640895246E-7</v>
      </c>
    </row>
    <row r="879" spans="13:14" x14ac:dyDescent="0.2">
      <c r="M879" s="149">
        <v>10.800000000000074</v>
      </c>
      <c r="N879" s="91">
        <v>-9.3919055610349026E-7</v>
      </c>
    </row>
    <row r="880" spans="13:14" x14ac:dyDescent="0.2">
      <c r="M880" s="149">
        <v>10.812500000000075</v>
      </c>
      <c r="N880" s="91">
        <v>-9.5920349634534109E-7</v>
      </c>
    </row>
    <row r="881" spans="13:14" x14ac:dyDescent="0.2">
      <c r="M881" s="149">
        <v>10.825000000000074</v>
      </c>
      <c r="N881" s="91">
        <v>-9.793166799521827E-7</v>
      </c>
    </row>
    <row r="882" spans="13:14" x14ac:dyDescent="0.2">
      <c r="M882" s="149">
        <v>10.837500000000073</v>
      </c>
      <c r="N882" s="91">
        <v>-9.9952460066711765E-7</v>
      </c>
    </row>
    <row r="883" spans="13:14" x14ac:dyDescent="0.2">
      <c r="M883" s="149">
        <v>10.850000000000074</v>
      </c>
      <c r="N883" s="91">
        <v>-1.0198217931586742E-6</v>
      </c>
    </row>
    <row r="884" spans="13:14" x14ac:dyDescent="0.2">
      <c r="M884" s="149">
        <v>10.862500000000074</v>
      </c>
      <c r="N884" s="91">
        <v>-1.0402028330208059E-6</v>
      </c>
    </row>
    <row r="885" spans="13:14" x14ac:dyDescent="0.2">
      <c r="M885" s="149">
        <v>10.875000000000073</v>
      </c>
      <c r="N885" s="91">
        <v>-1.0606623367728913E-6</v>
      </c>
    </row>
    <row r="886" spans="13:14" x14ac:dyDescent="0.2">
      <c r="M886" s="149">
        <v>10.887500000000074</v>
      </c>
      <c r="N886" s="91">
        <v>-1.0811949618597354E-6</v>
      </c>
    </row>
    <row r="887" spans="13:14" x14ac:dyDescent="0.2">
      <c r="M887" s="149">
        <v>10.900000000000073</v>
      </c>
      <c r="N887" s="91">
        <v>-1.101795406651567E-6</v>
      </c>
    </row>
    <row r="888" spans="13:14" x14ac:dyDescent="0.2">
      <c r="M888" s="149">
        <v>10.912500000000072</v>
      </c>
      <c r="N888" s="91">
        <v>-1.1224584104440413E-6</v>
      </c>
    </row>
    <row r="889" spans="13:14" x14ac:dyDescent="0.2">
      <c r="M889" s="149">
        <v>10.925000000000074</v>
      </c>
      <c r="N889" s="91">
        <v>-1.1431787534582387E-6</v>
      </c>
    </row>
    <row r="890" spans="13:14" x14ac:dyDescent="0.2">
      <c r="M890" s="149">
        <v>10.937500000000073</v>
      </c>
      <c r="N890" s="91">
        <v>-1.1639512568406649E-6</v>
      </c>
    </row>
    <row r="891" spans="13:14" x14ac:dyDescent="0.2">
      <c r="M891" s="149">
        <v>10.950000000000074</v>
      </c>
      <c r="N891" s="91">
        <v>-1.1847707826632509E-6</v>
      </c>
    </row>
    <row r="892" spans="13:14" x14ac:dyDescent="0.2">
      <c r="M892" s="149">
        <v>10.962500000000073</v>
      </c>
      <c r="N892" s="91">
        <v>-1.2056322339233528E-6</v>
      </c>
    </row>
    <row r="893" spans="13:14" x14ac:dyDescent="0.2">
      <c r="M893" s="149">
        <v>10.975000000000072</v>
      </c>
      <c r="N893" s="91">
        <v>-1.2265305545437529E-6</v>
      </c>
    </row>
    <row r="894" spans="13:14" x14ac:dyDescent="0.2">
      <c r="M894" s="149">
        <v>10.987500000000074</v>
      </c>
      <c r="N894" s="91">
        <v>-1.2474607293726579E-6</v>
      </c>
    </row>
    <row r="895" spans="13:14" x14ac:dyDescent="0.2">
      <c r="M895" s="149">
        <v>11.000000000000073</v>
      </c>
      <c r="N895" s="91">
        <v>-1.2684177841837008E-6</v>
      </c>
    </row>
    <row r="896" spans="13:14" x14ac:dyDescent="0.2">
      <c r="M896" s="149">
        <v>11.012500000000074</v>
      </c>
      <c r="N896" s="91">
        <v>-1.2893967856759386E-6</v>
      </c>
    </row>
    <row r="897" spans="13:14" x14ac:dyDescent="0.2">
      <c r="M897" s="149">
        <v>11.025000000000073</v>
      </c>
      <c r="N897" s="91">
        <v>-1.3103928414738556E-6</v>
      </c>
    </row>
    <row r="898" spans="13:14" x14ac:dyDescent="0.2">
      <c r="M898" s="149">
        <v>11.037500000000072</v>
      </c>
      <c r="N898" s="91">
        <v>-1.3314011001273599E-6</v>
      </c>
    </row>
    <row r="899" spans="13:14" x14ac:dyDescent="0.2">
      <c r="M899" s="149">
        <v>11.050000000000074</v>
      </c>
      <c r="N899" s="91">
        <v>-1.3524167511117851E-6</v>
      </c>
    </row>
    <row r="900" spans="13:14" x14ac:dyDescent="0.2">
      <c r="M900" s="149">
        <v>11.062500000000073</v>
      </c>
      <c r="N900" s="91">
        <v>-1.3734350248278909E-6</v>
      </c>
    </row>
    <row r="901" spans="13:14" x14ac:dyDescent="0.2">
      <c r="M901" s="149">
        <v>11.075000000000072</v>
      </c>
      <c r="N901" s="91">
        <v>-1.3944511926018619E-6</v>
      </c>
    </row>
    <row r="902" spans="13:14" x14ac:dyDescent="0.2">
      <c r="M902" s="149">
        <v>11.087500000000073</v>
      </c>
      <c r="N902" s="91">
        <v>-1.415460566685308E-6</v>
      </c>
    </row>
    <row r="903" spans="13:14" x14ac:dyDescent="0.2">
      <c r="M903" s="149">
        <v>11.100000000000072</v>
      </c>
      <c r="N903" s="91">
        <v>-1.4364585002552648E-6</v>
      </c>
    </row>
    <row r="904" spans="13:14" x14ac:dyDescent="0.2">
      <c r="M904" s="149">
        <v>11.112500000000072</v>
      </c>
      <c r="N904" s="91">
        <v>-1.4574403874141928E-6</v>
      </c>
    </row>
    <row r="905" spans="13:14" x14ac:dyDescent="0.2">
      <c r="M905" s="149">
        <v>11.125000000000073</v>
      </c>
      <c r="N905" s="91">
        <v>-1.4784016631899784E-6</v>
      </c>
    </row>
    <row r="906" spans="13:14" x14ac:dyDescent="0.2">
      <c r="M906" s="149">
        <v>11.137500000000072</v>
      </c>
      <c r="N906" s="91">
        <v>-1.4993378035359328E-6</v>
      </c>
    </row>
    <row r="907" spans="13:14" x14ac:dyDescent="0.2">
      <c r="M907" s="149">
        <v>11.150000000000073</v>
      </c>
      <c r="N907" s="91">
        <v>-1.5202443253307927E-6</v>
      </c>
    </row>
    <row r="908" spans="13:14" x14ac:dyDescent="0.2">
      <c r="M908" s="149">
        <v>11.162500000000072</v>
      </c>
      <c r="N908" s="91">
        <v>-1.5411167863787212E-6</v>
      </c>
    </row>
    <row r="909" spans="13:14" x14ac:dyDescent="0.2">
      <c r="M909" s="149">
        <v>11.175000000000072</v>
      </c>
      <c r="N909" s="91">
        <v>-1.5619507854093049E-6</v>
      </c>
    </row>
    <row r="910" spans="13:14" x14ac:dyDescent="0.2">
      <c r="M910" s="149">
        <v>11.187500000000073</v>
      </c>
      <c r="N910" s="91">
        <v>-1.5827419620775574E-6</v>
      </c>
    </row>
    <row r="911" spans="13:14" x14ac:dyDescent="0.2">
      <c r="M911" s="149">
        <v>11.200000000000072</v>
      </c>
      <c r="N911" s="91">
        <v>-1.6034859969639165E-6</v>
      </c>
    </row>
    <row r="912" spans="13:14" x14ac:dyDescent="0.2">
      <c r="M912" s="149">
        <v>11.212500000000073</v>
      </c>
      <c r="N912" s="91">
        <v>-1.6241786115742463E-6</v>
      </c>
    </row>
    <row r="913" spans="13:14" x14ac:dyDescent="0.2">
      <c r="M913" s="149">
        <v>11.225000000000072</v>
      </c>
      <c r="N913" s="91">
        <v>-1.6448155683398354E-6</v>
      </c>
    </row>
    <row r="914" spans="13:14" x14ac:dyDescent="0.2">
      <c r="M914" s="149">
        <v>11.237500000000072</v>
      </c>
      <c r="N914" s="91">
        <v>-1.6653926706173979E-6</v>
      </c>
    </row>
    <row r="915" spans="13:14" x14ac:dyDescent="0.2">
      <c r="M915" s="149">
        <v>11.250000000000073</v>
      </c>
      <c r="N915" s="91">
        <v>-1.6859057626890742E-6</v>
      </c>
    </row>
    <row r="916" spans="13:14" x14ac:dyDescent="0.2">
      <c r="M916" s="149">
        <v>11.262500000000072</v>
      </c>
      <c r="N916" s="91">
        <v>-1.7063507297624294E-6</v>
      </c>
    </row>
    <row r="917" spans="13:14" x14ac:dyDescent="0.2">
      <c r="M917" s="149">
        <v>11.275000000000071</v>
      </c>
      <c r="N917" s="91">
        <v>-1.7267234979704536E-6</v>
      </c>
    </row>
    <row r="918" spans="13:14" x14ac:dyDescent="0.2">
      <c r="M918" s="149">
        <v>11.287500000000072</v>
      </c>
      <c r="N918" s="91">
        <v>-1.7470200343715631E-6</v>
      </c>
    </row>
    <row r="919" spans="13:14" x14ac:dyDescent="0.2">
      <c r="M919" s="149">
        <v>11.300000000000072</v>
      </c>
      <c r="N919" s="91">
        <v>-1.7672363469495986E-6</v>
      </c>
    </row>
    <row r="920" spans="13:14" x14ac:dyDescent="0.2">
      <c r="M920" s="149">
        <v>11.312500000000071</v>
      </c>
      <c r="N920" s="91">
        <v>-1.7873684846138266E-6</v>
      </c>
    </row>
    <row r="921" spans="13:14" x14ac:dyDescent="0.2">
      <c r="M921" s="149">
        <v>11.325000000000072</v>
      </c>
      <c r="N921" s="91">
        <v>-1.8074125371989398E-6</v>
      </c>
    </row>
    <row r="922" spans="13:14" x14ac:dyDescent="0.2">
      <c r="M922" s="149">
        <v>11.337500000000071</v>
      </c>
      <c r="N922" s="91">
        <v>-1.8273646354650546E-6</v>
      </c>
    </row>
    <row r="923" spans="13:14" x14ac:dyDescent="0.2">
      <c r="M923" s="149">
        <v>11.350000000000072</v>
      </c>
      <c r="N923" s="91">
        <v>-1.8472209510977139E-6</v>
      </c>
    </row>
    <row r="924" spans="13:14" x14ac:dyDescent="0.2">
      <c r="M924" s="149">
        <v>11.362500000000072</v>
      </c>
      <c r="N924" s="91">
        <v>-1.8669776967078865E-6</v>
      </c>
    </row>
    <row r="925" spans="13:14" x14ac:dyDescent="0.2">
      <c r="M925" s="149">
        <v>11.375000000000071</v>
      </c>
      <c r="N925" s="91">
        <v>-1.886631125831964E-6</v>
      </c>
    </row>
    <row r="926" spans="13:14" x14ac:dyDescent="0.2">
      <c r="M926" s="149">
        <v>11.387500000000072</v>
      </c>
      <c r="N926" s="91">
        <v>-1.9061775329317668E-6</v>
      </c>
    </row>
    <row r="927" spans="13:14" x14ac:dyDescent="0.2">
      <c r="M927" s="149">
        <v>11.400000000000071</v>
      </c>
      <c r="N927" s="91">
        <v>-1.9256132533945386E-6</v>
      </c>
    </row>
    <row r="928" spans="13:14" x14ac:dyDescent="0.2">
      <c r="M928" s="149">
        <v>11.412500000000072</v>
      </c>
      <c r="N928" s="91">
        <v>-1.9449346635329483E-6</v>
      </c>
    </row>
    <row r="929" spans="13:14" x14ac:dyDescent="0.2">
      <c r="M929" s="149">
        <v>11.425000000000072</v>
      </c>
      <c r="N929" s="91">
        <v>-1.9641381805850914E-6</v>
      </c>
    </row>
    <row r="930" spans="13:14" x14ac:dyDescent="0.2">
      <c r="M930" s="149">
        <v>11.437500000000071</v>
      </c>
      <c r="N930" s="91">
        <v>-1.9832202627144875E-6</v>
      </c>
    </row>
    <row r="931" spans="13:14" x14ac:dyDescent="0.2">
      <c r="M931" s="149">
        <v>11.450000000000072</v>
      </c>
      <c r="N931" s="91">
        <v>-2.0021774090100824E-6</v>
      </c>
    </row>
    <row r="932" spans="13:14" x14ac:dyDescent="0.2">
      <c r="M932" s="149">
        <v>11.462500000000071</v>
      </c>
      <c r="N932" s="91">
        <v>-2.0210061594862467E-6</v>
      </c>
    </row>
    <row r="933" spans="13:14" x14ac:dyDescent="0.2">
      <c r="M933" s="149">
        <v>11.475000000000071</v>
      </c>
      <c r="N933" s="91">
        <v>-2.0397030950827776E-6</v>
      </c>
    </row>
    <row r="934" spans="13:14" x14ac:dyDescent="0.2">
      <c r="M934" s="149">
        <v>11.487500000000072</v>
      </c>
      <c r="N934" s="91">
        <v>-2.0582648376648964E-6</v>
      </c>
    </row>
    <row r="935" spans="13:14" x14ac:dyDescent="0.2">
      <c r="M935" s="149">
        <v>11.500000000000071</v>
      </c>
      <c r="N935" s="91">
        <v>-2.076688050023249E-6</v>
      </c>
    </row>
    <row r="936" spans="13:14" x14ac:dyDescent="0.2">
      <c r="M936" s="149">
        <v>11.51250000000007</v>
      </c>
      <c r="N936" s="91">
        <v>-2.0949694358739085E-6</v>
      </c>
    </row>
    <row r="937" spans="13:14" x14ac:dyDescent="0.2">
      <c r="M937" s="149">
        <v>11.525000000000071</v>
      </c>
      <c r="N937" s="91">
        <v>-2.1131057398583725E-6</v>
      </c>
    </row>
    <row r="938" spans="13:14" x14ac:dyDescent="0.2">
      <c r="M938" s="149">
        <v>11.537500000000071</v>
      </c>
      <c r="N938" s="91">
        <v>-2.1310937475435649E-6</v>
      </c>
    </row>
    <row r="939" spans="13:14" x14ac:dyDescent="0.2">
      <c r="M939" s="149">
        <v>11.550000000000072</v>
      </c>
      <c r="N939" s="91">
        <v>-2.1489302854218334E-6</v>
      </c>
    </row>
    <row r="940" spans="13:14" x14ac:dyDescent="0.2">
      <c r="M940" s="149">
        <v>11.562500000000071</v>
      </c>
      <c r="N940" s="91">
        <v>-2.1666122209109518E-6</v>
      </c>
    </row>
    <row r="941" spans="13:14" x14ac:dyDescent="0.2">
      <c r="M941" s="149">
        <v>11.57500000000007</v>
      </c>
      <c r="N941" s="91">
        <v>-2.1841364623541194E-6</v>
      </c>
    </row>
    <row r="942" spans="13:14" x14ac:dyDescent="0.2">
      <c r="M942" s="149">
        <v>11.587500000000071</v>
      </c>
      <c r="N942" s="91">
        <v>-2.2014999590199607E-6</v>
      </c>
    </row>
    <row r="943" spans="13:14" x14ac:dyDescent="0.2">
      <c r="M943" s="149">
        <v>11.600000000000071</v>
      </c>
      <c r="N943" s="91">
        <v>-2.2186997011025254E-6</v>
      </c>
    </row>
    <row r="944" spans="13:14" x14ac:dyDescent="0.2">
      <c r="M944" s="149">
        <v>11.612500000000072</v>
      </c>
      <c r="N944" s="91">
        <v>-2.235732719721289E-6</v>
      </c>
    </row>
    <row r="945" spans="13:14" x14ac:dyDescent="0.2">
      <c r="M945" s="149">
        <v>11.625000000000071</v>
      </c>
      <c r="N945" s="91">
        <v>-2.2525960869211524E-6</v>
      </c>
    </row>
    <row r="946" spans="13:14" x14ac:dyDescent="0.2">
      <c r="M946" s="149">
        <v>11.63750000000007</v>
      </c>
      <c r="N946" s="91">
        <v>-2.2692869156724405E-6</v>
      </c>
    </row>
    <row r="947" spans="13:14" x14ac:dyDescent="0.2">
      <c r="M947" s="149">
        <v>11.650000000000071</v>
      </c>
      <c r="N947" s="91">
        <v>-2.2858023598709061E-6</v>
      </c>
    </row>
    <row r="948" spans="13:14" x14ac:dyDescent="0.2">
      <c r="M948" s="149">
        <v>11.662500000000071</v>
      </c>
      <c r="N948" s="91">
        <v>-2.302139614337725E-6</v>
      </c>
    </row>
    <row r="949" spans="13:14" x14ac:dyDescent="0.2">
      <c r="M949" s="149">
        <v>11.67500000000007</v>
      </c>
      <c r="N949" s="91">
        <v>-2.3182959148194994E-6</v>
      </c>
    </row>
    <row r="950" spans="13:14" x14ac:dyDescent="0.2">
      <c r="M950" s="149">
        <v>11.687500000000071</v>
      </c>
      <c r="N950" s="91">
        <v>-2.3342685379882578E-6</v>
      </c>
    </row>
    <row r="951" spans="13:14" x14ac:dyDescent="0.2">
      <c r="M951" s="149">
        <v>11.70000000000007</v>
      </c>
      <c r="N951" s="91">
        <v>-2.3500548014414516E-6</v>
      </c>
    </row>
    <row r="952" spans="13:14" x14ac:dyDescent="0.2">
      <c r="M952" s="149">
        <v>11.71250000000007</v>
      </c>
      <c r="N952" s="91">
        <v>-2.3656520637019594E-6</v>
      </c>
    </row>
    <row r="953" spans="13:14" x14ac:dyDescent="0.2">
      <c r="M953" s="149">
        <v>11.725000000000071</v>
      </c>
      <c r="N953" s="91">
        <v>-2.3810577242180838E-6</v>
      </c>
    </row>
    <row r="954" spans="13:14" x14ac:dyDescent="0.2">
      <c r="M954" s="149">
        <v>11.73750000000007</v>
      </c>
      <c r="N954" s="91">
        <v>-2.3962692233635547E-6</v>
      </c>
    </row>
    <row r="955" spans="13:14" x14ac:dyDescent="0.2">
      <c r="M955" s="149">
        <v>11.750000000000071</v>
      </c>
      <c r="N955" s="91">
        <v>-2.4112840424375268E-6</v>
      </c>
    </row>
    <row r="956" spans="13:14" x14ac:dyDescent="0.2">
      <c r="M956" s="149">
        <v>11.76250000000007</v>
      </c>
      <c r="N956" s="91">
        <v>-2.4260997036645785E-6</v>
      </c>
    </row>
    <row r="957" spans="13:14" x14ac:dyDescent="0.2">
      <c r="M957" s="149">
        <v>11.77500000000007</v>
      </c>
      <c r="N957" s="91">
        <v>-2.4407137701947163E-6</v>
      </c>
    </row>
    <row r="958" spans="13:14" x14ac:dyDescent="0.2">
      <c r="M958" s="149">
        <v>11.787500000000071</v>
      </c>
      <c r="N958" s="91">
        <v>-2.4551238461033693E-6</v>
      </c>
    </row>
    <row r="959" spans="13:14" x14ac:dyDescent="0.2">
      <c r="M959" s="149">
        <v>11.80000000000007</v>
      </c>
      <c r="N959" s="91">
        <v>-2.4693275763913926E-6</v>
      </c>
    </row>
    <row r="960" spans="13:14" x14ac:dyDescent="0.2">
      <c r="M960" s="149">
        <v>11.812500000000071</v>
      </c>
      <c r="N960" s="91">
        <v>-2.4833226469850686E-6</v>
      </c>
    </row>
    <row r="961" spans="13:14" x14ac:dyDescent="0.2">
      <c r="M961" s="149">
        <v>11.82500000000007</v>
      </c>
      <c r="N961" s="91">
        <v>-2.4971067847361036E-6</v>
      </c>
    </row>
    <row r="962" spans="13:14" x14ac:dyDescent="0.2">
      <c r="M962" s="149">
        <v>11.83750000000007</v>
      </c>
      <c r="N962" s="91">
        <v>-2.5106777574216285E-6</v>
      </c>
    </row>
    <row r="963" spans="13:14" x14ac:dyDescent="0.2">
      <c r="M963" s="149">
        <v>11.850000000000071</v>
      </c>
      <c r="N963" s="91">
        <v>-2.5240333737442024E-6</v>
      </c>
    </row>
    <row r="964" spans="13:14" x14ac:dyDescent="0.2">
      <c r="M964" s="149">
        <v>11.86250000000007</v>
      </c>
      <c r="N964" s="91">
        <v>-2.5371714833318053E-6</v>
      </c>
    </row>
    <row r="965" spans="13:14" x14ac:dyDescent="0.2">
      <c r="M965" s="149">
        <v>11.875000000000069</v>
      </c>
      <c r="N965" s="91">
        <v>-2.5500899767378462E-6</v>
      </c>
    </row>
    <row r="966" spans="13:14" x14ac:dyDescent="0.2">
      <c r="M966" s="149">
        <v>11.88750000000007</v>
      </c>
      <c r="N966" s="91">
        <v>-2.5627867854411586E-6</v>
      </c>
    </row>
    <row r="967" spans="13:14" x14ac:dyDescent="0.2">
      <c r="M967" s="149">
        <v>11.90000000000007</v>
      </c>
      <c r="N967" s="91">
        <v>-2.575259881846001E-6</v>
      </c>
    </row>
    <row r="968" spans="13:14" x14ac:dyDescent="0.2">
      <c r="M968" s="149">
        <v>11.912500000000069</v>
      </c>
      <c r="N968" s="91">
        <v>-2.5875072792820565E-6</v>
      </c>
    </row>
    <row r="969" spans="13:14" x14ac:dyDescent="0.2">
      <c r="M969" s="149">
        <v>11.92500000000007</v>
      </c>
      <c r="N969" s="91">
        <v>-2.5995270320044351E-6</v>
      </c>
    </row>
    <row r="970" spans="13:14" x14ac:dyDescent="0.2">
      <c r="M970" s="149">
        <v>11.937500000000069</v>
      </c>
      <c r="N970" s="91">
        <v>-2.6113172351936722E-6</v>
      </c>
    </row>
    <row r="971" spans="13:14" x14ac:dyDescent="0.2">
      <c r="M971" s="149">
        <v>11.95000000000007</v>
      </c>
      <c r="N971" s="91">
        <v>-2.6228760249557265E-6</v>
      </c>
    </row>
    <row r="972" spans="13:14" x14ac:dyDescent="0.2">
      <c r="M972" s="149">
        <v>11.96250000000007</v>
      </c>
      <c r="N972" s="91">
        <v>-2.6342015783219849E-6</v>
      </c>
    </row>
    <row r="973" spans="13:14" x14ac:dyDescent="0.2">
      <c r="M973" s="149">
        <v>11.975000000000069</v>
      </c>
      <c r="N973" s="91">
        <v>-2.6452921132492568E-6</v>
      </c>
    </row>
    <row r="974" spans="13:14" x14ac:dyDescent="0.2">
      <c r="M974" s="149">
        <v>11.98750000000007</v>
      </c>
      <c r="N974" s="91">
        <v>-2.656145888619779E-6</v>
      </c>
    </row>
    <row r="975" spans="13:14" x14ac:dyDescent="0.2">
      <c r="M975" s="149">
        <v>12.000000000000069</v>
      </c>
      <c r="N975" s="91">
        <v>-2.666761204241212E-6</v>
      </c>
    </row>
    <row r="976" spans="13:14" x14ac:dyDescent="0.2">
      <c r="M976" s="149">
        <v>12.01250000000007</v>
      </c>
      <c r="N976" s="91">
        <v>-2.6771364008466438E-6</v>
      </c>
    </row>
    <row r="977" spans="13:14" x14ac:dyDescent="0.2">
      <c r="M977" s="149">
        <v>12.02500000000007</v>
      </c>
      <c r="N977" s="91">
        <v>-2.6872698600945869E-6</v>
      </c>
    </row>
    <row r="978" spans="13:14" x14ac:dyDescent="0.2">
      <c r="M978" s="149">
        <v>12.037500000000069</v>
      </c>
      <c r="N978" s="91">
        <v>-2.6971600045689778E-6</v>
      </c>
    </row>
    <row r="979" spans="13:14" x14ac:dyDescent="0.2">
      <c r="M979" s="149">
        <v>12.05000000000007</v>
      </c>
      <c r="N979" s="91">
        <v>-2.7068052977791798E-6</v>
      </c>
    </row>
    <row r="980" spans="13:14" x14ac:dyDescent="0.2">
      <c r="M980" s="149">
        <v>12.062500000000071</v>
      </c>
      <c r="N980" s="91">
        <v>-2.7162042441599822E-6</v>
      </c>
    </row>
    <row r="981" spans="13:14" x14ac:dyDescent="0.2">
      <c r="M981" s="149">
        <v>12.07500000000007</v>
      </c>
      <c r="N981" s="91">
        <v>-2.7253553890715972E-6</v>
      </c>
    </row>
    <row r="982" spans="13:14" x14ac:dyDescent="0.2">
      <c r="M982" s="149">
        <v>12.08750000000007</v>
      </c>
      <c r="N982" s="91">
        <v>-2.7342573187996649E-6</v>
      </c>
    </row>
    <row r="983" spans="13:14" x14ac:dyDescent="0.2">
      <c r="M983" s="149">
        <v>12.100000000000071</v>
      </c>
      <c r="N983" s="91">
        <v>-2.742908660555248E-6</v>
      </c>
    </row>
    <row r="984" spans="13:14" x14ac:dyDescent="0.2">
      <c r="M984" s="149">
        <v>12.112500000000072</v>
      </c>
      <c r="N984" s="91">
        <v>-2.7513080824748383E-6</v>
      </c>
    </row>
    <row r="985" spans="13:14" x14ac:dyDescent="0.2">
      <c r="M985" s="149">
        <v>12.125000000000071</v>
      </c>
      <c r="N985" s="91">
        <v>-2.7594542936203505E-6</v>
      </c>
    </row>
    <row r="986" spans="13:14" x14ac:dyDescent="0.2">
      <c r="M986" s="149">
        <v>12.13750000000007</v>
      </c>
      <c r="N986" s="91">
        <v>-2.7673460439791239E-6</v>
      </c>
    </row>
    <row r="987" spans="13:14" x14ac:dyDescent="0.2">
      <c r="M987" s="149">
        <v>12.150000000000071</v>
      </c>
      <c r="N987" s="91">
        <v>-2.7749821244639255E-6</v>
      </c>
    </row>
    <row r="988" spans="13:14" x14ac:dyDescent="0.2">
      <c r="M988" s="149">
        <v>12.162500000000072</v>
      </c>
      <c r="N988" s="91">
        <v>-2.7823613669129457E-6</v>
      </c>
    </row>
    <row r="989" spans="13:14" x14ac:dyDescent="0.2">
      <c r="M989" s="149">
        <v>12.175000000000072</v>
      </c>
      <c r="N989" s="91">
        <v>-2.7894826440898023E-6</v>
      </c>
    </row>
    <row r="990" spans="13:14" x14ac:dyDescent="0.2">
      <c r="M990" s="149">
        <v>12.187500000000071</v>
      </c>
      <c r="N990" s="91">
        <v>-2.7963448696835368E-6</v>
      </c>
    </row>
    <row r="991" spans="13:14" x14ac:dyDescent="0.2">
      <c r="M991" s="149">
        <v>12.200000000000072</v>
      </c>
      <c r="N991" s="91">
        <v>-2.8029469983086151E-6</v>
      </c>
    </row>
    <row r="992" spans="13:14" x14ac:dyDescent="0.2">
      <c r="M992" s="149">
        <v>12.212500000000073</v>
      </c>
      <c r="N992" s="91">
        <v>-2.8092880255049295E-6</v>
      </c>
    </row>
    <row r="993" spans="13:14" x14ac:dyDescent="0.2">
      <c r="M993" s="149">
        <v>12.225000000000072</v>
      </c>
      <c r="N993" s="91">
        <v>-2.8153669877378017E-6</v>
      </c>
    </row>
    <row r="994" spans="13:14" x14ac:dyDescent="0.2">
      <c r="M994" s="149">
        <v>12.237500000000072</v>
      </c>
      <c r="N994" s="91">
        <v>-2.8211829623979721E-6</v>
      </c>
    </row>
    <row r="995" spans="13:14" x14ac:dyDescent="0.2">
      <c r="M995" s="149">
        <v>12.250000000000073</v>
      </c>
      <c r="N995" s="91">
        <v>-2.8267350678016093E-6</v>
      </c>
    </row>
    <row r="996" spans="13:14" x14ac:dyDescent="0.2">
      <c r="M996" s="149">
        <v>12.262500000000074</v>
      </c>
      <c r="N996" s="91">
        <v>-2.8320224631903105E-6</v>
      </c>
    </row>
    <row r="997" spans="13:14" x14ac:dyDescent="0.2">
      <c r="M997" s="149">
        <v>12.275000000000073</v>
      </c>
      <c r="N997" s="91">
        <v>-2.8370443487310915E-6</v>
      </c>
    </row>
    <row r="998" spans="13:14" x14ac:dyDescent="0.2">
      <c r="M998" s="149">
        <v>12.287500000000072</v>
      </c>
      <c r="N998" s="91">
        <v>-2.8417999655163973E-6</v>
      </c>
    </row>
    <row r="999" spans="13:14" x14ac:dyDescent="0.2">
      <c r="M999" s="149">
        <v>12.300000000000074</v>
      </c>
      <c r="N999" s="91">
        <v>-2.8462885955640994E-6</v>
      </c>
    </row>
    <row r="1000" spans="13:14" x14ac:dyDescent="0.2">
      <c r="M1000" s="149">
        <v>12.312500000000075</v>
      </c>
      <c r="N1000" s="91">
        <v>-2.8505095618174943E-6</v>
      </c>
    </row>
    <row r="1001" spans="13:14" x14ac:dyDescent="0.2">
      <c r="M1001" s="149">
        <v>12.325000000000074</v>
      </c>
      <c r="N1001" s="91">
        <v>-2.8544622281453023E-6</v>
      </c>
    </row>
    <row r="1002" spans="13:14" x14ac:dyDescent="0.2">
      <c r="M1002" s="149">
        <v>12.337500000000073</v>
      </c>
      <c r="N1002" s="91">
        <v>-2.8581459993416676E-6</v>
      </c>
    </row>
    <row r="1003" spans="13:14" x14ac:dyDescent="0.2">
      <c r="M1003" s="149">
        <v>12.350000000000074</v>
      </c>
      <c r="N1003" s="91">
        <v>-2.8615603211261658E-6</v>
      </c>
    </row>
    <row r="1004" spans="13:14" x14ac:dyDescent="0.2">
      <c r="M1004" s="149">
        <v>12.362500000000075</v>
      </c>
      <c r="N1004" s="91">
        <v>-2.8647046801437897E-6</v>
      </c>
    </row>
    <row r="1005" spans="13:14" x14ac:dyDescent="0.2">
      <c r="M1005" s="149">
        <v>12.375000000000075</v>
      </c>
      <c r="N1005" s="91">
        <v>-2.8675786039649644E-6</v>
      </c>
    </row>
    <row r="1006" spans="13:14" x14ac:dyDescent="0.2">
      <c r="M1006" s="149">
        <v>12.387500000000074</v>
      </c>
      <c r="N1006" s="91">
        <v>-2.8701816610855375E-6</v>
      </c>
    </row>
    <row r="1007" spans="13:14" x14ac:dyDescent="0.2">
      <c r="M1007" s="149">
        <v>12.400000000000075</v>
      </c>
      <c r="N1007" s="91">
        <v>-2.8725134609267791E-6</v>
      </c>
    </row>
    <row r="1008" spans="13:14" x14ac:dyDescent="0.2">
      <c r="M1008" s="149">
        <v>12.412500000000076</v>
      </c>
      <c r="N1008" s="91">
        <v>-2.8745736538353935E-6</v>
      </c>
    </row>
    <row r="1009" spans="13:14" x14ac:dyDescent="0.2">
      <c r="M1009" s="149">
        <v>12.425000000000075</v>
      </c>
      <c r="N1009" s="91">
        <v>-2.8763619310834998E-6</v>
      </c>
    </row>
    <row r="1010" spans="13:14" x14ac:dyDescent="0.2">
      <c r="M1010" s="149">
        <v>12.437500000000075</v>
      </c>
      <c r="N1010" s="91">
        <v>-2.8778780248686474E-6</v>
      </c>
    </row>
    <row r="1011" spans="13:14" x14ac:dyDescent="0.2">
      <c r="M1011" s="149">
        <v>12.450000000000076</v>
      </c>
      <c r="N1011" s="91">
        <v>-2.8791217083138101E-6</v>
      </c>
    </row>
    <row r="1012" spans="13:14" x14ac:dyDescent="0.2">
      <c r="M1012" s="149">
        <v>12.462500000000077</v>
      </c>
      <c r="N1012" s="91">
        <v>-2.8800927954673923E-6</v>
      </c>
    </row>
    <row r="1013" spans="13:14" x14ac:dyDescent="0.2">
      <c r="M1013" s="149">
        <v>12.475000000000076</v>
      </c>
      <c r="N1013" s="91">
        <v>-2.8807911413032174E-6</v>
      </c>
    </row>
    <row r="1014" spans="13:14" x14ac:dyDescent="0.2">
      <c r="M1014" s="149">
        <v>12.487500000000075</v>
      </c>
      <c r="N1014" s="91">
        <v>-2.8812166417205321E-6</v>
      </c>
    </row>
    <row r="1015" spans="13:14" x14ac:dyDescent="0.2">
      <c r="M1015" s="149">
        <v>12.500000000000076</v>
      </c>
      <c r="N1015" s="91">
        <v>-2.8813692335440172E-6</v>
      </c>
    </row>
    <row r="1016" spans="13:14" x14ac:dyDescent="0.2">
      <c r="M1016" s="149">
        <v>12.512500000000077</v>
      </c>
      <c r="N1016" s="91">
        <v>-2.8812488945237727E-6</v>
      </c>
    </row>
    <row r="1017" spans="13:14" x14ac:dyDescent="0.2">
      <c r="M1017" s="149">
        <v>12.525000000000077</v>
      </c>
      <c r="N1017" s="91">
        <v>-2.8808556433353234E-6</v>
      </c>
    </row>
    <row r="1018" spans="13:14" x14ac:dyDescent="0.2">
      <c r="M1018" s="149">
        <v>12.537500000000076</v>
      </c>
      <c r="N1018" s="91">
        <v>-2.8801895395796232E-6</v>
      </c>
    </row>
    <row r="1019" spans="13:14" x14ac:dyDescent="0.2">
      <c r="M1019" s="149">
        <v>12.550000000000077</v>
      </c>
      <c r="N1019" s="91">
        <v>-2.8792506837830507E-6</v>
      </c>
    </row>
    <row r="1020" spans="13:14" x14ac:dyDescent="0.2">
      <c r="M1020" s="149">
        <v>12.562500000000078</v>
      </c>
      <c r="N1020" s="91">
        <v>-2.8780392173974042E-6</v>
      </c>
    </row>
    <row r="1021" spans="13:14" x14ac:dyDescent="0.2">
      <c r="M1021" s="149">
        <v>12.575000000000077</v>
      </c>
      <c r="N1021" s="91">
        <v>-2.8765553227999159E-6</v>
      </c>
    </row>
    <row r="1022" spans="13:14" x14ac:dyDescent="0.2">
      <c r="M1022" s="149">
        <v>12.587500000000077</v>
      </c>
      <c r="N1022" s="91">
        <v>-2.8747992232932401E-6</v>
      </c>
    </row>
    <row r="1023" spans="13:14" x14ac:dyDescent="0.2">
      <c r="M1023" s="149">
        <v>12.600000000000078</v>
      </c>
      <c r="N1023" s="91">
        <v>-2.8727711831054539E-6</v>
      </c>
    </row>
    <row r="1024" spans="13:14" x14ac:dyDescent="0.2">
      <c r="M1024" s="149">
        <v>12.612500000000079</v>
      </c>
      <c r="N1024" s="91">
        <v>-2.8704715073900591E-6</v>
      </c>
    </row>
    <row r="1025" spans="13:14" x14ac:dyDescent="0.2">
      <c r="M1025" s="149">
        <v>12.625000000000078</v>
      </c>
      <c r="N1025" s="91">
        <v>-2.8679005422259898E-6</v>
      </c>
    </row>
    <row r="1026" spans="13:14" x14ac:dyDescent="0.2">
      <c r="M1026" s="149">
        <v>12.637500000000077</v>
      </c>
      <c r="N1026" s="91">
        <v>-2.8650586746175989E-6</v>
      </c>
    </row>
    <row r="1027" spans="13:14" x14ac:dyDescent="0.2">
      <c r="M1027" s="149">
        <v>12.650000000000079</v>
      </c>
      <c r="N1027" s="91">
        <v>-2.8619463324946656E-6</v>
      </c>
    </row>
    <row r="1028" spans="13:14" x14ac:dyDescent="0.2">
      <c r="M1028" s="149">
        <v>12.66250000000008</v>
      </c>
      <c r="N1028" s="91">
        <v>-2.8585639847123986E-6</v>
      </c>
    </row>
    <row r="1029" spans="13:14" x14ac:dyDescent="0.2">
      <c r="M1029" s="149">
        <v>12.675000000000079</v>
      </c>
      <c r="N1029" s="91">
        <v>-2.8549121410514275E-6</v>
      </c>
    </row>
    <row r="1030" spans="13:14" x14ac:dyDescent="0.2">
      <c r="M1030" s="149">
        <v>12.687500000000078</v>
      </c>
      <c r="N1030" s="91">
        <v>-2.8509913522178072E-6</v>
      </c>
    </row>
    <row r="1031" spans="13:14" x14ac:dyDescent="0.2">
      <c r="M1031" s="149">
        <v>12.700000000000079</v>
      </c>
      <c r="N1031" s="91">
        <v>-2.8468022098430221E-6</v>
      </c>
    </row>
    <row r="1032" spans="13:14" x14ac:dyDescent="0.2">
      <c r="M1032" s="149">
        <v>12.71250000000008</v>
      </c>
      <c r="N1032" s="91">
        <v>-2.8423453464839741E-6</v>
      </c>
    </row>
    <row r="1033" spans="13:14" x14ac:dyDescent="0.2">
      <c r="M1033" s="149">
        <v>12.72500000000008</v>
      </c>
      <c r="N1033" s="91">
        <v>-2.8376214356230026E-6</v>
      </c>
    </row>
    <row r="1034" spans="13:14" x14ac:dyDescent="0.2">
      <c r="M1034" s="149">
        <v>12.737500000000079</v>
      </c>
      <c r="N1034" s="91">
        <v>-2.8326311916678638E-6</v>
      </c>
    </row>
    <row r="1035" spans="13:14" x14ac:dyDescent="0.2">
      <c r="M1035" s="149">
        <v>12.75000000000008</v>
      </c>
      <c r="N1035" s="91">
        <v>-2.8273753699517361E-6</v>
      </c>
    </row>
    <row r="1036" spans="13:14" x14ac:dyDescent="0.2">
      <c r="M1036" s="149">
        <v>12.762500000000081</v>
      </c>
      <c r="N1036" s="91">
        <v>-2.8218547667332346E-6</v>
      </c>
    </row>
    <row r="1037" spans="13:14" x14ac:dyDescent="0.2">
      <c r="M1037" s="149">
        <v>12.77500000000008</v>
      </c>
      <c r="N1037" s="91">
        <v>-2.8160702191963876E-6</v>
      </c>
    </row>
    <row r="1038" spans="13:14" x14ac:dyDescent="0.2">
      <c r="M1038" s="149">
        <v>12.78750000000008</v>
      </c>
      <c r="N1038" s="91">
        <v>-2.8100226054506583E-6</v>
      </c>
    </row>
    <row r="1039" spans="13:14" x14ac:dyDescent="0.2">
      <c r="M1039" s="149">
        <v>12.800000000000081</v>
      </c>
      <c r="N1039" s="91">
        <v>-2.8037128445309321E-6</v>
      </c>
    </row>
    <row r="1040" spans="13:14" x14ac:dyDescent="0.2">
      <c r="M1040" s="149">
        <v>12.812500000000082</v>
      </c>
      <c r="N1040" s="91">
        <v>-2.7971418963975145E-6</v>
      </c>
    </row>
    <row r="1041" spans="13:14" x14ac:dyDescent="0.2">
      <c r="M1041" s="149">
        <v>12.825000000000081</v>
      </c>
      <c r="N1041" s="91">
        <v>-2.7903107619361473E-6</v>
      </c>
    </row>
    <row r="1042" spans="13:14" x14ac:dyDescent="0.2">
      <c r="M1042" s="149">
        <v>12.83750000000008</v>
      </c>
      <c r="N1042" s="91">
        <v>-2.7832204829579848E-6</v>
      </c>
    </row>
    <row r="1043" spans="13:14" x14ac:dyDescent="0.2">
      <c r="M1043" s="149">
        <v>12.850000000000081</v>
      </c>
      <c r="N1043" s="91">
        <v>-2.7758721421996134E-6</v>
      </c>
    </row>
    <row r="1044" spans="13:14" x14ac:dyDescent="0.2">
      <c r="M1044" s="149">
        <v>12.862500000000082</v>
      </c>
      <c r="N1044" s="91">
        <v>-2.7682668633230533E-6</v>
      </c>
    </row>
    <row r="1045" spans="13:14" x14ac:dyDescent="0.2">
      <c r="M1045" s="149">
        <v>12.875000000000082</v>
      </c>
      <c r="N1045" s="91">
        <v>-2.7604058109157315E-6</v>
      </c>
    </row>
    <row r="1046" spans="13:14" x14ac:dyDescent="0.2">
      <c r="M1046" s="149">
        <v>12.887500000000081</v>
      </c>
      <c r="N1046" s="91">
        <v>-2.7522901904905156E-6</v>
      </c>
    </row>
    <row r="1047" spans="13:14" x14ac:dyDescent="0.2">
      <c r="M1047" s="149">
        <v>12.900000000000082</v>
      </c>
      <c r="N1047" s="91">
        <v>-2.7439212484856875E-6</v>
      </c>
    </row>
    <row r="1048" spans="13:14" x14ac:dyDescent="0.2">
      <c r="M1048" s="149">
        <v>12.912500000000083</v>
      </c>
      <c r="N1048" s="91">
        <v>-2.7353002722649672E-6</v>
      </c>
    </row>
    <row r="1049" spans="13:14" x14ac:dyDescent="0.2">
      <c r="M1049" s="149">
        <v>12.925000000000082</v>
      </c>
      <c r="N1049" s="91">
        <v>-2.7264285901174907E-6</v>
      </c>
    </row>
    <row r="1050" spans="13:14" x14ac:dyDescent="0.2">
      <c r="M1050" s="149">
        <v>12.937500000000082</v>
      </c>
      <c r="N1050" s="91">
        <v>-2.7173075712578202E-6</v>
      </c>
    </row>
    <row r="1051" spans="13:14" x14ac:dyDescent="0.2">
      <c r="M1051" s="149">
        <v>12.950000000000083</v>
      </c>
      <c r="N1051" s="91">
        <v>-2.7079386258259458E-6</v>
      </c>
    </row>
    <row r="1052" spans="13:14" x14ac:dyDescent="0.2">
      <c r="M1052" s="149">
        <v>12.962500000000084</v>
      </c>
      <c r="N1052" s="91">
        <v>-2.6983232048872797E-6</v>
      </c>
    </row>
    <row r="1053" spans="13:14" x14ac:dyDescent="0.2">
      <c r="M1053" s="149">
        <v>12.975000000000083</v>
      </c>
      <c r="N1053" s="91">
        <v>-2.6884628004326673E-6</v>
      </c>
    </row>
    <row r="1054" spans="13:14" x14ac:dyDescent="0.2">
      <c r="M1054" s="149">
        <v>12.987500000000082</v>
      </c>
      <c r="N1054" s="91">
        <v>-2.6783589453783642E-6</v>
      </c>
    </row>
    <row r="1055" spans="13:14" x14ac:dyDescent="0.2">
      <c r="M1055" s="149">
        <v>13.000000000000083</v>
      </c>
      <c r="N1055" s="91">
        <v>-2.6680132135660747E-6</v>
      </c>
    </row>
    <row r="1056" spans="13:14" x14ac:dyDescent="0.2">
      <c r="M1056" s="149">
        <v>13.012500000000085</v>
      </c>
      <c r="N1056" s="91">
        <v>-2.6574272197628996E-6</v>
      </c>
    </row>
    <row r="1057" spans="13:14" x14ac:dyDescent="0.2">
      <c r="M1057" s="149">
        <v>13.025000000000084</v>
      </c>
      <c r="N1057" s="91">
        <v>-2.6466026196613935E-6</v>
      </c>
    </row>
    <row r="1058" spans="13:14" x14ac:dyDescent="0.2">
      <c r="M1058" s="149">
        <v>13.037500000000083</v>
      </c>
      <c r="N1058" s="91">
        <v>-2.6355411098795103E-6</v>
      </c>
    </row>
    <row r="1059" spans="13:14" x14ac:dyDescent="0.2">
      <c r="M1059" s="149">
        <v>13.050000000000084</v>
      </c>
      <c r="N1059" s="91">
        <v>-2.6242444279606507E-6</v>
      </c>
    </row>
    <row r="1060" spans="13:14" x14ac:dyDescent="0.2">
      <c r="M1060" s="149">
        <v>13.062500000000085</v>
      </c>
      <c r="N1060" s="91">
        <v>-2.6127143523736338E-6</v>
      </c>
    </row>
    <row r="1061" spans="13:14" x14ac:dyDescent="0.2">
      <c r="M1061" s="149">
        <v>13.075000000000085</v>
      </c>
      <c r="N1061" s="91">
        <v>-2.600952702512692E-6</v>
      </c>
    </row>
    <row r="1062" spans="13:14" x14ac:dyDescent="0.2">
      <c r="M1062" s="149">
        <v>13.087500000000084</v>
      </c>
      <c r="N1062" s="91">
        <v>-2.5889613386975014E-6</v>
      </c>
    </row>
    <row r="1063" spans="13:14" x14ac:dyDescent="0.2">
      <c r="M1063" s="149">
        <v>13.100000000000085</v>
      </c>
      <c r="N1063" s="91">
        <v>-2.5767421621731535E-6</v>
      </c>
    </row>
    <row r="1064" spans="13:14" x14ac:dyDescent="0.2">
      <c r="M1064" s="149">
        <v>13.112500000000086</v>
      </c>
      <c r="N1064" s="91">
        <v>-2.5642971151101693E-6</v>
      </c>
    </row>
    <row r="1065" spans="13:14" x14ac:dyDescent="0.2">
      <c r="M1065" s="149">
        <v>13.125000000000085</v>
      </c>
      <c r="N1065" s="91">
        <v>-2.551628180604488E-6</v>
      </c>
    </row>
    <row r="1066" spans="13:14" x14ac:dyDescent="0.2">
      <c r="M1066" s="149">
        <v>13.137500000000085</v>
      </c>
      <c r="N1066" s="91">
        <v>-2.538737382677483E-6</v>
      </c>
    </row>
    <row r="1067" spans="13:14" x14ac:dyDescent="0.2">
      <c r="M1067" s="149">
        <v>13.150000000000086</v>
      </c>
      <c r="N1067" s="91">
        <v>-2.5256267862759493E-6</v>
      </c>
    </row>
    <row r="1068" spans="13:14" x14ac:dyDescent="0.2">
      <c r="M1068" s="149">
        <v>13.162500000000087</v>
      </c>
      <c r="N1068" s="91">
        <v>-2.5122984972721068E-6</v>
      </c>
    </row>
    <row r="1069" spans="13:14" x14ac:dyDescent="0.2">
      <c r="M1069" s="149">
        <v>13.175000000000086</v>
      </c>
      <c r="N1069" s="91">
        <v>-2.4987546624635936E-6</v>
      </c>
    </row>
    <row r="1070" spans="13:14" x14ac:dyDescent="0.2">
      <c r="M1070" s="149">
        <v>13.187500000000085</v>
      </c>
      <c r="N1070" s="91">
        <v>-2.4849974695734878E-6</v>
      </c>
    </row>
    <row r="1071" spans="13:14" x14ac:dyDescent="0.2">
      <c r="M1071" s="149">
        <v>13.200000000000086</v>
      </c>
      <c r="N1071" s="91">
        <v>-2.471029147250289E-6</v>
      </c>
    </row>
    <row r="1072" spans="13:14" x14ac:dyDescent="0.2">
      <c r="M1072" s="149">
        <v>13.212500000000087</v>
      </c>
      <c r="N1072" s="91">
        <v>-2.4568519650679124E-6</v>
      </c>
    </row>
    <row r="1073" spans="13:14" x14ac:dyDescent="0.2">
      <c r="M1073" s="149">
        <v>13.225000000000087</v>
      </c>
      <c r="N1073" s="91">
        <v>-2.4424682335257133E-6</v>
      </c>
    </row>
    <row r="1074" spans="13:14" x14ac:dyDescent="0.2">
      <c r="M1074" s="149">
        <v>13.237500000000086</v>
      </c>
      <c r="N1074" s="91">
        <v>-2.4278803040484505E-6</v>
      </c>
    </row>
    <row r="1075" spans="13:14" x14ac:dyDescent="0.2">
      <c r="M1075" s="149">
        <v>13.250000000000087</v>
      </c>
      <c r="N1075" s="91">
        <v>-2.413090568986335E-6</v>
      </c>
    </row>
    <row r="1076" spans="13:14" x14ac:dyDescent="0.2">
      <c r="M1076" s="149">
        <v>13.262500000000088</v>
      </c>
      <c r="N1076" s="91">
        <v>-2.3981014616149786E-6</v>
      </c>
    </row>
    <row r="1077" spans="13:14" x14ac:dyDescent="0.2">
      <c r="M1077" s="149">
        <v>13.275000000000087</v>
      </c>
      <c r="N1077" s="91">
        <v>-2.38291545613544E-6</v>
      </c>
    </row>
    <row r="1078" spans="13:14" x14ac:dyDescent="0.2">
      <c r="M1078" s="149">
        <v>13.287500000000087</v>
      </c>
      <c r="N1078" s="91">
        <v>-2.3675350676741845E-6</v>
      </c>
    </row>
    <row r="1079" spans="13:14" x14ac:dyDescent="0.2">
      <c r="M1079" s="149">
        <v>13.300000000000088</v>
      </c>
      <c r="N1079" s="91">
        <v>-2.351962852283117E-6</v>
      </c>
    </row>
    <row r="1080" spans="13:14" x14ac:dyDescent="0.2">
      <c r="M1080" s="149">
        <v>13.312500000000089</v>
      </c>
      <c r="N1080" s="91">
        <v>-2.3362014069395577E-6</v>
      </c>
    </row>
    <row r="1081" spans="13:14" x14ac:dyDescent="0.2">
      <c r="M1081" s="149">
        <v>13.325000000000088</v>
      </c>
      <c r="N1081" s="91">
        <v>-2.3202533695462615E-6</v>
      </c>
    </row>
    <row r="1082" spans="13:14" x14ac:dyDescent="0.2">
      <c r="M1082" s="149">
        <v>13.337500000000087</v>
      </c>
      <c r="N1082" s="91">
        <v>-2.3041214189314064E-6</v>
      </c>
    </row>
    <row r="1083" spans="13:14" x14ac:dyDescent="0.2">
      <c r="M1083" s="149">
        <v>13.350000000000088</v>
      </c>
      <c r="N1083" s="91">
        <v>-2.2878082748485789E-6</v>
      </c>
    </row>
    <row r="1084" spans="13:14" x14ac:dyDescent="0.2">
      <c r="M1084" s="149">
        <v>13.36250000000009</v>
      </c>
      <c r="N1084" s="91">
        <v>-2.2713166979768192E-6</v>
      </c>
    </row>
    <row r="1085" spans="13:14" x14ac:dyDescent="0.2">
      <c r="M1085" s="149">
        <v>13.375000000000089</v>
      </c>
      <c r="N1085" s="91">
        <v>-2.2546494899205743E-6</v>
      </c>
    </row>
    <row r="1086" spans="13:14" x14ac:dyDescent="0.2">
      <c r="M1086" s="149">
        <v>13.387500000000088</v>
      </c>
      <c r="N1086" s="91">
        <v>-2.2378094932097186E-6</v>
      </c>
    </row>
    <row r="1087" spans="13:14" x14ac:dyDescent="0.2">
      <c r="M1087" s="149">
        <v>13.400000000000089</v>
      </c>
      <c r="N1087" s="91">
        <v>-2.2207995912995539E-6</v>
      </c>
    </row>
    <row r="1088" spans="13:14" x14ac:dyDescent="0.2">
      <c r="M1088" s="149">
        <v>13.41250000000009</v>
      </c>
      <c r="N1088" s="91">
        <v>-2.2036227085708127E-6</v>
      </c>
    </row>
    <row r="1089" spans="13:14" x14ac:dyDescent="0.2">
      <c r="M1089" s="149">
        <v>13.42500000000009</v>
      </c>
      <c r="N1089" s="91">
        <v>-2.1862818103296441E-6</v>
      </c>
    </row>
    <row r="1090" spans="13:14" x14ac:dyDescent="0.2">
      <c r="M1090" s="149">
        <v>13.437500000000089</v>
      </c>
      <c r="N1090" s="91">
        <v>-2.1687799028076256E-6</v>
      </c>
    </row>
    <row r="1091" spans="13:14" x14ac:dyDescent="0.2">
      <c r="M1091" s="149">
        <v>13.45000000000009</v>
      </c>
      <c r="N1091" s="91">
        <v>-2.1511200331617581E-6</v>
      </c>
    </row>
    <row r="1092" spans="13:14" x14ac:dyDescent="0.2">
      <c r="M1092" s="149">
        <v>13.462500000000091</v>
      </c>
      <c r="N1092" s="91">
        <v>-2.1333052894744854E-6</v>
      </c>
    </row>
    <row r="1093" spans="13:14" x14ac:dyDescent="0.2">
      <c r="M1093" s="149">
        <v>13.47500000000009</v>
      </c>
      <c r="N1093" s="91">
        <v>-2.1153388007536451E-6</v>
      </c>
    </row>
    <row r="1094" spans="13:14" x14ac:dyDescent="0.2">
      <c r="M1094" s="149">
        <v>13.48750000000009</v>
      </c>
      <c r="N1094" s="91">
        <v>-2.097223736932519E-6</v>
      </c>
    </row>
    <row r="1095" spans="13:14" x14ac:dyDescent="0.2">
      <c r="M1095" s="149">
        <v>13.500000000000091</v>
      </c>
      <c r="N1095" s="91">
        <v>-2.0789633088698141E-6</v>
      </c>
    </row>
    <row r="1096" spans="13:14" x14ac:dyDescent="0.2">
      <c r="M1096" s="149">
        <v>13.512500000000092</v>
      </c>
      <c r="N1096" s="91">
        <v>-2.0605607683496681E-6</v>
      </c>
    </row>
    <row r="1097" spans="13:14" x14ac:dyDescent="0.2">
      <c r="M1097" s="149">
        <v>13.525000000000091</v>
      </c>
      <c r="N1097" s="91">
        <v>-2.0420194080816271E-6</v>
      </c>
    </row>
    <row r="1098" spans="13:14" x14ac:dyDescent="0.2">
      <c r="M1098" s="149">
        <v>13.53750000000009</v>
      </c>
      <c r="N1098" s="91">
        <v>-2.0233425617006791E-6</v>
      </c>
    </row>
    <row r="1099" spans="13:14" x14ac:dyDescent="0.2">
      <c r="M1099" s="149">
        <v>13.550000000000091</v>
      </c>
      <c r="N1099" s="91">
        <v>-2.0045336037672226E-6</v>
      </c>
    </row>
    <row r="1100" spans="13:14" x14ac:dyDescent="0.2">
      <c r="M1100" s="149">
        <v>13.562500000000092</v>
      </c>
      <c r="N1100" s="91">
        <v>-1.9855959497671037E-6</v>
      </c>
    </row>
    <row r="1101" spans="13:14" x14ac:dyDescent="0.2">
      <c r="M1101" s="149">
        <v>13.575000000000092</v>
      </c>
      <c r="N1101" s="91">
        <v>-1.9665330561115646E-6</v>
      </c>
    </row>
    <row r="1102" spans="13:14" x14ac:dyDescent="0.2">
      <c r="M1102" s="149">
        <v>13.587500000000091</v>
      </c>
      <c r="N1102" s="91">
        <v>-1.9473484201372895E-6</v>
      </c>
    </row>
    <row r="1103" spans="13:14" x14ac:dyDescent="0.2">
      <c r="M1103" s="149">
        <v>13.600000000000092</v>
      </c>
      <c r="N1103" s="91">
        <v>-1.9280455801063926E-6</v>
      </c>
    </row>
    <row r="1104" spans="13:14" x14ac:dyDescent="0.2">
      <c r="M1104" s="149">
        <v>13.612500000000093</v>
      </c>
      <c r="N1104" s="91">
        <v>-1.9086281152064044E-6</v>
      </c>
    </row>
    <row r="1105" spans="13:14" x14ac:dyDescent="0.2">
      <c r="M1105" s="149">
        <v>13.625000000000092</v>
      </c>
      <c r="N1105" s="91">
        <v>-1.8890996455502827E-6</v>
      </c>
    </row>
    <row r="1106" spans="13:14" x14ac:dyDescent="0.2">
      <c r="M1106" s="149">
        <v>13.637500000000092</v>
      </c>
      <c r="N1106" s="91">
        <v>-1.8694638321764132E-6</v>
      </c>
    </row>
    <row r="1107" spans="13:14" x14ac:dyDescent="0.2">
      <c r="M1107" s="149">
        <v>13.650000000000093</v>
      </c>
      <c r="N1107" s="91">
        <v>-1.8497243770486119E-6</v>
      </c>
    </row>
    <row r="1108" spans="13:14" x14ac:dyDescent="0.2">
      <c r="M1108" s="149">
        <v>13.662500000000094</v>
      </c>
      <c r="N1108" s="91">
        <v>-1.8298850230560997E-6</v>
      </c>
    </row>
    <row r="1109" spans="13:14" x14ac:dyDescent="0.2">
      <c r="M1109" s="149">
        <v>13.675000000000093</v>
      </c>
      <c r="N1109" s="91">
        <v>-1.8099495540135415E-6</v>
      </c>
    </row>
    <row r="1110" spans="13:14" x14ac:dyDescent="0.2">
      <c r="M1110" s="149">
        <v>13.687500000000092</v>
      </c>
      <c r="N1110" s="91">
        <v>-1.7899217946610263E-6</v>
      </c>
    </row>
    <row r="1111" spans="13:14" x14ac:dyDescent="0.2">
      <c r="M1111" s="149">
        <v>13.700000000000093</v>
      </c>
      <c r="N1111" s="91">
        <v>-1.7698056106640624E-6</v>
      </c>
    </row>
    <row r="1112" spans="13:14" x14ac:dyDescent="0.2">
      <c r="M1112" s="149">
        <v>13.712500000000095</v>
      </c>
      <c r="N1112" s="91">
        <v>-1.7496049086135847E-6</v>
      </c>
    </row>
    <row r="1113" spans="13:14" x14ac:dyDescent="0.2">
      <c r="M1113" s="149">
        <v>13.725000000000094</v>
      </c>
      <c r="N1113" s="91">
        <v>-1.7293236360259642E-6</v>
      </c>
    </row>
    <row r="1114" spans="13:14" x14ac:dyDescent="0.2">
      <c r="M1114" s="149">
        <v>13.737500000000093</v>
      </c>
      <c r="N1114" s="91">
        <v>-1.708965781342975E-6</v>
      </c>
    </row>
    <row r="1115" spans="13:14" x14ac:dyDescent="0.2">
      <c r="M1115" s="149">
        <v>13.750000000000094</v>
      </c>
      <c r="N1115" s="91">
        <v>-1.6885353739318329E-6</v>
      </c>
    </row>
    <row r="1116" spans="13:14" x14ac:dyDescent="0.2">
      <c r="M1116" s="149">
        <v>13.762500000000095</v>
      </c>
      <c r="N1116" s="91">
        <v>-1.6680364840851833E-6</v>
      </c>
    </row>
    <row r="1117" spans="13:14" x14ac:dyDescent="0.2">
      <c r="M1117" s="149">
        <v>13.775000000000095</v>
      </c>
      <c r="N1117" s="91">
        <v>-1.6474732230210719E-6</v>
      </c>
    </row>
    <row r="1118" spans="13:14" x14ac:dyDescent="0.2">
      <c r="M1118" s="149">
        <v>13.787500000000094</v>
      </c>
      <c r="N1118" s="91">
        <v>-1.6268497428830071E-6</v>
      </c>
    </row>
    <row r="1119" spans="13:14" x14ac:dyDescent="0.2">
      <c r="M1119" s="149">
        <v>13.800000000000095</v>
      </c>
      <c r="N1119" s="91">
        <v>-1.6061702367398964E-6</v>
      </c>
    </row>
    <row r="1120" spans="13:14" x14ac:dyDescent="0.2">
      <c r="M1120" s="149">
        <v>13.812500000000096</v>
      </c>
      <c r="N1120" s="91">
        <v>-1.5854389385860681E-6</v>
      </c>
    </row>
    <row r="1121" spans="13:14" x14ac:dyDescent="0.2">
      <c r="M1121" s="149">
        <v>13.825000000000095</v>
      </c>
      <c r="N1121" s="91">
        <v>-1.5646601233412907E-6</v>
      </c>
    </row>
    <row r="1122" spans="13:14" x14ac:dyDescent="0.2">
      <c r="M1122" s="149">
        <v>13.837500000000095</v>
      </c>
      <c r="N1122" s="91">
        <v>-1.5438381068507693E-6</v>
      </c>
    </row>
    <row r="1123" spans="13:14" x14ac:dyDescent="0.2">
      <c r="M1123" s="149">
        <v>13.850000000000096</v>
      </c>
      <c r="N1123" s="91">
        <v>-1.522977245885099E-6</v>
      </c>
    </row>
    <row r="1124" spans="13:14" x14ac:dyDescent="0.2">
      <c r="M1124" s="149">
        <v>13.862500000000097</v>
      </c>
      <c r="N1124" s="91">
        <v>-1.502081938140334E-6</v>
      </c>
    </row>
    <row r="1125" spans="13:14" x14ac:dyDescent="0.2">
      <c r="M1125" s="149">
        <v>13.875000000000096</v>
      </c>
      <c r="N1125" s="91">
        <v>-1.4811566222379312E-6</v>
      </c>
    </row>
    <row r="1126" spans="13:14" x14ac:dyDescent="0.2">
      <c r="M1126" s="149">
        <v>13.887500000000095</v>
      </c>
      <c r="N1126" s="91">
        <v>-1.4602057777247884E-6</v>
      </c>
    </row>
    <row r="1127" spans="13:14" x14ac:dyDescent="0.2">
      <c r="M1127" s="149">
        <v>13.900000000000096</v>
      </c>
      <c r="N1127" s="91">
        <v>-1.4392339250732182E-6</v>
      </c>
    </row>
    <row r="1128" spans="13:14" x14ac:dyDescent="0.2">
      <c r="M1128" s="149">
        <v>13.912500000000097</v>
      </c>
      <c r="N1128" s="91">
        <v>-1.418245625680966E-6</v>
      </c>
    </row>
    <row r="1129" spans="13:14" x14ac:dyDescent="0.2">
      <c r="M1129" s="149">
        <v>13.925000000000097</v>
      </c>
      <c r="N1129" s="91">
        <v>-1.3972454818711999E-6</v>
      </c>
    </row>
    <row r="1130" spans="13:14" x14ac:dyDescent="0.2">
      <c r="M1130" s="149">
        <v>13.937500000000096</v>
      </c>
      <c r="N1130" s="91">
        <v>-1.3762381368925003E-6</v>
      </c>
    </row>
    <row r="1131" spans="13:14" x14ac:dyDescent="0.2">
      <c r="M1131" s="149">
        <v>13.950000000000097</v>
      </c>
      <c r="N1131" s="91">
        <v>-1.3552282749188978E-6</v>
      </c>
    </row>
    <row r="1132" spans="13:14" x14ac:dyDescent="0.2">
      <c r="M1132" s="149">
        <v>13.962500000000098</v>
      </c>
      <c r="N1132" s="91">
        <v>-1.3342206210498388E-6</v>
      </c>
    </row>
    <row r="1133" spans="13:14" x14ac:dyDescent="0.2">
      <c r="M1133" s="149">
        <v>13.975000000000097</v>
      </c>
      <c r="N1133" s="91">
        <v>-1.3132199413101811E-6</v>
      </c>
    </row>
    <row r="1134" spans="13:14" x14ac:dyDescent="0.2">
      <c r="M1134" s="149">
        <v>13.987500000000097</v>
      </c>
      <c r="N1134" s="91">
        <v>-1.2922310426502247E-6</v>
      </c>
    </row>
    <row r="1135" spans="13:14" x14ac:dyDescent="0.2">
      <c r="M1135" s="149">
        <v>14.000000000000098</v>
      </c>
      <c r="N1135" s="91">
        <v>-1.2712587729456866E-6</v>
      </c>
    </row>
    <row r="1136" spans="13:14" x14ac:dyDescent="0.2">
      <c r="M1136" s="149">
        <v>14.012500000000099</v>
      </c>
      <c r="N1136" s="91">
        <v>-1.2503080209977163E-6</v>
      </c>
    </row>
    <row r="1137" spans="13:14" x14ac:dyDescent="0.2">
      <c r="M1137" s="149">
        <v>14.025000000000098</v>
      </c>
      <c r="N1137" s="91">
        <v>-1.2293837165328763E-6</v>
      </c>
    </row>
    <row r="1138" spans="13:14" x14ac:dyDescent="0.2">
      <c r="M1138" s="149">
        <v>14.037500000000097</v>
      </c>
      <c r="N1138" s="91">
        <v>-1.2084908302031722E-6</v>
      </c>
    </row>
    <row r="1139" spans="13:14" x14ac:dyDescent="0.2">
      <c r="M1139" s="149">
        <v>14.050000000000098</v>
      </c>
      <c r="N1139" s="91">
        <v>-1.1876343735860131E-6</v>
      </c>
    </row>
    <row r="1140" spans="13:14" x14ac:dyDescent="0.2">
      <c r="M1140" s="149">
        <v>14.062500000000099</v>
      </c>
      <c r="N1140" s="91">
        <v>-1.166819399184251E-6</v>
      </c>
    </row>
    <row r="1141" spans="13:14" x14ac:dyDescent="0.2">
      <c r="M1141" s="149">
        <v>14.075000000000099</v>
      </c>
      <c r="N1141" s="91">
        <v>-1.1460510004261643E-6</v>
      </c>
    </row>
    <row r="1142" spans="13:14" x14ac:dyDescent="0.2">
      <c r="M1142" s="149">
        <v>14.087500000000098</v>
      </c>
      <c r="N1142" s="91">
        <v>-1.1253343116654455E-6</v>
      </c>
    </row>
    <row r="1143" spans="13:14" x14ac:dyDescent="0.2">
      <c r="M1143" s="149">
        <v>14.100000000000099</v>
      </c>
      <c r="N1143" s="91">
        <v>-1.1046745081812048E-6</v>
      </c>
    </row>
    <row r="1144" spans="13:14" x14ac:dyDescent="0.2">
      <c r="M1144" s="149">
        <v>14.1125000000001</v>
      </c>
      <c r="N1144" s="91">
        <v>-1.0840768061780055E-6</v>
      </c>
    </row>
    <row r="1145" spans="13:14" x14ac:dyDescent="0.2">
      <c r="M1145" s="149">
        <v>14.125000000000099</v>
      </c>
      <c r="N1145" s="91">
        <v>-1.0635464627858283E-6</v>
      </c>
    </row>
    <row r="1146" spans="13:14" x14ac:dyDescent="0.2">
      <c r="M1146" s="149">
        <v>14.137500000000099</v>
      </c>
      <c r="N1146" s="91">
        <v>-1.0430887760600387E-6</v>
      </c>
    </row>
    <row r="1147" spans="13:14" x14ac:dyDescent="0.2">
      <c r="M1147" s="149">
        <v>14.1500000000001</v>
      </c>
      <c r="N1147" s="91">
        <v>-1.0227090849814959E-6</v>
      </c>
    </row>
    <row r="1148" spans="13:14" x14ac:dyDescent="0.2">
      <c r="M1148" s="149">
        <v>14.162500000000101</v>
      </c>
      <c r="N1148" s="91">
        <v>-1.0024127694564294E-6</v>
      </c>
    </row>
    <row r="1149" spans="13:14" x14ac:dyDescent="0.2">
      <c r="M1149" s="149">
        <v>14.1750000000001</v>
      </c>
      <c r="N1149" s="91">
        <v>-9.8220525031651978E-7</v>
      </c>
    </row>
    <row r="1150" spans="13:14" x14ac:dyDescent="0.2">
      <c r="M1150" s="149">
        <v>14.187500000000099</v>
      </c>
      <c r="N1150" s="91">
        <v>-9.6209198931886208E-7</v>
      </c>
    </row>
    <row r="1151" spans="13:14" x14ac:dyDescent="0.2">
      <c r="M1151" s="149">
        <v>14.200000000000101</v>
      </c>
      <c r="N1151" s="91">
        <v>-9.4207848914598364E-7</v>
      </c>
    </row>
    <row r="1152" spans="13:14" x14ac:dyDescent="0.2">
      <c r="M1152" s="149">
        <v>14.212500000000102</v>
      </c>
      <c r="N1152" s="91">
        <v>-9.2217029340584542E-7</v>
      </c>
    </row>
    <row r="1153" spans="13:14" x14ac:dyDescent="0.2">
      <c r="M1153" s="149">
        <v>14.225000000000101</v>
      </c>
      <c r="N1153" s="91">
        <v>-9.0237298663179592E-7</v>
      </c>
    </row>
    <row r="1154" spans="13:14" x14ac:dyDescent="0.2">
      <c r="M1154" s="149">
        <v>14.2375000000001</v>
      </c>
      <c r="N1154" s="91">
        <v>-8.826921942826696E-7</v>
      </c>
    </row>
    <row r="1155" spans="13:14" x14ac:dyDescent="0.2">
      <c r="M1155" s="149">
        <v>14.250000000000101</v>
      </c>
      <c r="N1155" s="91">
        <v>-8.6313358274268071E-7</v>
      </c>
    </row>
    <row r="1156" spans="13:14" x14ac:dyDescent="0.2">
      <c r="M1156" s="149">
        <v>14.262500000000102</v>
      </c>
      <c r="N1156" s="91">
        <v>-8.4370285932148676E-7</v>
      </c>
    </row>
    <row r="1157" spans="13:14" x14ac:dyDescent="0.2">
      <c r="M1157" s="149">
        <v>14.275000000000102</v>
      </c>
      <c r="N1157" s="91">
        <v>-8.2440577225414871E-7</v>
      </c>
    </row>
    <row r="1158" spans="13:14" x14ac:dyDescent="0.2">
      <c r="M1158" s="149">
        <v>14.287500000000101</v>
      </c>
      <c r="N1158" s="91">
        <v>-8.0524811070118326E-7</v>
      </c>
    </row>
    <row r="1159" spans="13:14" x14ac:dyDescent="0.2">
      <c r="M1159" s="149">
        <v>14.300000000000102</v>
      </c>
      <c r="N1159" s="91">
        <v>-7.8623570474851075E-7</v>
      </c>
    </row>
    <row r="1160" spans="13:14" x14ac:dyDescent="0.2">
      <c r="M1160" s="149">
        <v>14.312500000000103</v>
      </c>
      <c r="N1160" s="91">
        <v>-7.6737442540747868E-7</v>
      </c>
    </row>
    <row r="1161" spans="13:14" x14ac:dyDescent="0.2">
      <c r="M1161" s="149">
        <v>14.325000000000102</v>
      </c>
      <c r="N1161" s="91">
        <v>-7.4867018461487644E-7</v>
      </c>
    </row>
    <row r="1162" spans="13:14" x14ac:dyDescent="0.2">
      <c r="M1162" s="149">
        <v>14.337500000000102</v>
      </c>
      <c r="N1162" s="91">
        <v>-7.3012893523292034E-7</v>
      </c>
    </row>
    <row r="1163" spans="13:14" x14ac:dyDescent="0.2">
      <c r="M1163" s="149">
        <v>14.350000000000103</v>
      </c>
      <c r="N1163" s="91">
        <v>-7.1175667104922242E-7</v>
      </c>
    </row>
    <row r="1164" spans="13:14" x14ac:dyDescent="0.2">
      <c r="M1164" s="149">
        <v>14.362500000000104</v>
      </c>
      <c r="N1164" s="91">
        <v>-6.9355942677683182E-7</v>
      </c>
    </row>
    <row r="1165" spans="13:14" x14ac:dyDescent="0.2">
      <c r="M1165" s="149">
        <v>14.375000000000103</v>
      </c>
      <c r="N1165" s="91">
        <v>-6.7554327805424971E-7</v>
      </c>
    </row>
    <row r="1166" spans="13:14" x14ac:dyDescent="0.2">
      <c r="M1166" s="149">
        <v>14.387500000000102</v>
      </c>
      <c r="N1166" s="91">
        <v>-6.5771434144538136E-7</v>
      </c>
    </row>
    <row r="1167" spans="13:14" x14ac:dyDescent="0.2">
      <c r="M1167" s="149">
        <v>14.400000000000103</v>
      </c>
      <c r="N1167" s="91">
        <v>-6.4007877443953079E-7</v>
      </c>
    </row>
    <row r="1168" spans="13:14" x14ac:dyDescent="0.2">
      <c r="M1168" s="149">
        <v>14.412500000000104</v>
      </c>
      <c r="N1168" s="91">
        <v>-6.2264277545148119E-7</v>
      </c>
    </row>
    <row r="1169" spans="13:14" x14ac:dyDescent="0.2">
      <c r="M1169" s="149">
        <v>14.425000000000104</v>
      </c>
      <c r="N1169" s="91">
        <v>-6.054125838214054E-7</v>
      </c>
    </row>
    <row r="1170" spans="13:14" x14ac:dyDescent="0.2">
      <c r="M1170" s="149">
        <v>14.437500000000103</v>
      </c>
      <c r="N1170" s="91">
        <v>-5.883944798148955E-7</v>
      </c>
    </row>
    <row r="1171" spans="13:14" x14ac:dyDescent="0.2">
      <c r="M1171" s="149">
        <v>14.450000000000104</v>
      </c>
      <c r="N1171" s="91">
        <v>-5.7159478462300426E-7</v>
      </c>
    </row>
    <row r="1172" spans="13:14" x14ac:dyDescent="0.2">
      <c r="M1172" s="149">
        <v>14.462500000000105</v>
      </c>
      <c r="N1172" s="91">
        <v>-5.5501986036219735E-7</v>
      </c>
    </row>
    <row r="1173" spans="13:14" x14ac:dyDescent="0.2">
      <c r="M1173" s="149">
        <v>14.475000000000104</v>
      </c>
      <c r="N1173" s="91">
        <v>-5.3867611007434067E-7</v>
      </c>
    </row>
    <row r="1174" spans="13:14" x14ac:dyDescent="0.2">
      <c r="M1174" s="149">
        <v>14.487500000000104</v>
      </c>
      <c r="N1174" s="91">
        <v>-5.2256997772674233E-7</v>
      </c>
    </row>
    <row r="1175" spans="13:14" x14ac:dyDescent="0.2">
      <c r="M1175" s="149">
        <v>14.500000000000105</v>
      </c>
      <c r="N1175" s="91">
        <v>-5.0670794821213684E-7</v>
      </c>
    </row>
    <row r="1176" spans="13:14" x14ac:dyDescent="0.2">
      <c r="M1176" s="149">
        <v>14.512500000000106</v>
      </c>
      <c r="N1176" s="91">
        <v>-4.9109654734869606E-7</v>
      </c>
    </row>
    <row r="1177" spans="13:14" x14ac:dyDescent="0.2">
      <c r="M1177" s="149">
        <v>14.525000000000105</v>
      </c>
      <c r="N1177" s="91">
        <v>-4.7574234187999218E-7</v>
      </c>
    </row>
    <row r="1178" spans="13:14" x14ac:dyDescent="0.2">
      <c r="M1178" s="149">
        <v>14.537500000000104</v>
      </c>
      <c r="N1178" s="91">
        <v>-4.6065193947502955E-7</v>
      </c>
    </row>
    <row r="1179" spans="13:14" x14ac:dyDescent="0.2">
      <c r="M1179" s="149">
        <v>14.550000000000106</v>
      </c>
      <c r="N1179" s="91">
        <v>-4.4583198872826307E-7</v>
      </c>
    </row>
    <row r="1180" spans="13:14" x14ac:dyDescent="0.2">
      <c r="M1180" s="149">
        <v>14.562500000000107</v>
      </c>
      <c r="N1180" s="91">
        <v>-4.3128917915954218E-7</v>
      </c>
    </row>
    <row r="1181" spans="13:14" x14ac:dyDescent="0.2">
      <c r="M1181" s="149">
        <v>14.575000000000106</v>
      </c>
      <c r="N1181" s="91">
        <v>-4.1703024121415947E-7</v>
      </c>
    </row>
    <row r="1182" spans="13:14" x14ac:dyDescent="0.2">
      <c r="M1182" s="149">
        <v>14.587500000000105</v>
      </c>
      <c r="N1182" s="91">
        <v>-4.030619462628154E-7</v>
      </c>
    </row>
    <row r="1183" spans="13:14" x14ac:dyDescent="0.2">
      <c r="M1183" s="149">
        <v>14.600000000000106</v>
      </c>
      <c r="N1183" s="91">
        <v>-3.893911066016572E-7</v>
      </c>
    </row>
    <row r="1184" spans="13:14" x14ac:dyDescent="0.2">
      <c r="M1184" s="149">
        <v>14.612500000000107</v>
      </c>
      <c r="N1184" s="91">
        <v>-3.7602457545223049E-7</v>
      </c>
    </row>
    <row r="1185" spans="13:14" x14ac:dyDescent="0.2">
      <c r="M1185" s="149">
        <v>14.625000000000107</v>
      </c>
      <c r="N1185" s="91">
        <v>-3.6296924696155137E-7</v>
      </c>
    </row>
    <row r="1186" spans="13:14" x14ac:dyDescent="0.2">
      <c r="M1186" s="149">
        <v>14.637500000000106</v>
      </c>
      <c r="N1186" s="91">
        <v>-3.5023205620200727E-7</v>
      </c>
    </row>
    <row r="1187" spans="13:14" x14ac:dyDescent="0.2">
      <c r="M1187" s="149">
        <v>14.650000000000107</v>
      </c>
      <c r="N1187" s="91">
        <v>-3.3781997917144695E-7</v>
      </c>
    </row>
    <row r="1188" spans="13:14" x14ac:dyDescent="0.2">
      <c r="M1188" s="149">
        <v>14.662500000000108</v>
      </c>
      <c r="N1188" s="91">
        <v>-3.2574003279313631E-7</v>
      </c>
    </row>
    <row r="1189" spans="13:14" x14ac:dyDescent="0.2">
      <c r="M1189" s="149">
        <v>14.675000000000107</v>
      </c>
      <c r="N1189" s="91">
        <v>-3.139992749157685E-7</v>
      </c>
    </row>
    <row r="1190" spans="13:14" x14ac:dyDescent="0.2">
      <c r="M1190" s="149">
        <v>14.687500000000107</v>
      </c>
      <c r="N1190" s="91">
        <v>-3.0260480431344235E-7</v>
      </c>
    </row>
    <row r="1191" spans="13:14" x14ac:dyDescent="0.2">
      <c r="M1191" s="149">
        <v>14.700000000000108</v>
      </c>
      <c r="N1191" s="91">
        <v>-2.9156376068569798E-7</v>
      </c>
    </row>
    <row r="1192" spans="13:14" x14ac:dyDescent="0.2">
      <c r="M1192" s="149">
        <v>14.712500000000109</v>
      </c>
      <c r="N1192" s="91">
        <v>-2.8088332465751684E-7</v>
      </c>
    </row>
    <row r="1193" spans="13:14" x14ac:dyDescent="0.2">
      <c r="M1193" s="149">
        <v>14.725000000000108</v>
      </c>
      <c r="N1193" s="91">
        <v>-2.7057071777928903E-7</v>
      </c>
    </row>
    <row r="1194" spans="13:14" x14ac:dyDescent="0.2">
      <c r="M1194" s="149">
        <v>14.737500000000107</v>
      </c>
      <c r="N1194" s="91">
        <v>-2.6063320252681907E-7</v>
      </c>
    </row>
    <row r="1195" spans="13:14" x14ac:dyDescent="0.2">
      <c r="M1195" s="149">
        <v>14.750000000000108</v>
      </c>
      <c r="N1195" s="91">
        <v>-2.5107808230134354E-7</v>
      </c>
    </row>
    <row r="1196" spans="13:14" x14ac:dyDescent="0.2">
      <c r="M1196" s="149">
        <v>14.762500000000109</v>
      </c>
      <c r="N1196" s="91">
        <v>-2.4191270142954553E-7</v>
      </c>
    </row>
    <row r="1197" spans="13:14" x14ac:dyDescent="0.2">
      <c r="M1197" s="149">
        <v>14.775000000000109</v>
      </c>
      <c r="N1197" s="91">
        <v>-2.3314444516350808E-7</v>
      </c>
    </row>
    <row r="1198" spans="13:14" x14ac:dyDescent="0.2">
      <c r="M1198" s="149">
        <v>14.787500000000108</v>
      </c>
      <c r="N1198" s="91">
        <v>-2.2478073968073734E-7</v>
      </c>
    </row>
    <row r="1199" spans="13:14" x14ac:dyDescent="0.2">
      <c r="M1199" s="149">
        <v>14.800000000000109</v>
      </c>
      <c r="N1199" s="91">
        <v>-2.1682905208419488E-7</v>
      </c>
    </row>
    <row r="1200" spans="13:14" x14ac:dyDescent="0.2">
      <c r="M1200" s="149">
        <v>14.81250000000011</v>
      </c>
      <c r="N1200" s="91">
        <v>-2.0929689040226007E-7</v>
      </c>
    </row>
    <row r="1201" spans="13:14" x14ac:dyDescent="0.2">
      <c r="M1201" s="149">
        <v>14.825000000000109</v>
      </c>
      <c r="N1201" s="91">
        <v>-2.0219180358869236E-7</v>
      </c>
    </row>
    <row r="1202" spans="13:14" x14ac:dyDescent="0.2">
      <c r="M1202" s="149">
        <v>14.837500000000109</v>
      </c>
      <c r="N1202" s="91">
        <v>-1.9552138152272235E-7</v>
      </c>
    </row>
    <row r="1203" spans="13:14" x14ac:dyDescent="0.2">
      <c r="M1203" s="149">
        <v>14.85000000000011</v>
      </c>
      <c r="N1203" s="91">
        <v>-1.8929325500899896E-7</v>
      </c>
    </row>
    <row r="1204" spans="13:14" x14ac:dyDescent="0.2">
      <c r="M1204" s="149">
        <v>14.862500000000111</v>
      </c>
      <c r="N1204" s="91">
        <v>-1.83515095777595E-7</v>
      </c>
    </row>
    <row r="1205" spans="13:14" x14ac:dyDescent="0.2">
      <c r="M1205" s="149">
        <v>14.87500000000011</v>
      </c>
      <c r="N1205" s="91">
        <v>-1.7819461648401064E-7</v>
      </c>
    </row>
    <row r="1206" spans="13:14" x14ac:dyDescent="0.2">
      <c r="M1206" s="149">
        <v>14.887500000000109</v>
      </c>
      <c r="N1206" s="91">
        <v>-1.7333957070913375E-7</v>
      </c>
    </row>
    <row r="1207" spans="13:14" x14ac:dyDescent="0.2">
      <c r="M1207" s="149">
        <v>14.90000000000011</v>
      </c>
      <c r="N1207" s="91">
        <v>-1.6895775295935203E-7</v>
      </c>
    </row>
    <row r="1208" spans="13:14" x14ac:dyDescent="0.2">
      <c r="M1208" s="149">
        <v>14.912500000000112</v>
      </c>
      <c r="N1208" s="91">
        <v>-1.6505699866641462E-7</v>
      </c>
    </row>
    <row r="1209" spans="13:14" x14ac:dyDescent="0.2">
      <c r="M1209" s="149">
        <v>14.925000000000111</v>
      </c>
      <c r="N1209" s="91">
        <v>-1.6164518418750853E-7</v>
      </c>
    </row>
    <row r="1210" spans="13:14" x14ac:dyDescent="0.2">
      <c r="M1210" s="149">
        <v>14.93750000000011</v>
      </c>
      <c r="N1210" s="91">
        <v>-1.5873022680527996E-7</v>
      </c>
    </row>
    <row r="1211" spans="13:14" x14ac:dyDescent="0.2">
      <c r="M1211" s="149">
        <v>14.950000000000111</v>
      </c>
      <c r="N1211" s="91">
        <v>-1.5632008472776576E-7</v>
      </c>
    </row>
    <row r="1212" spans="13:14" x14ac:dyDescent="0.2">
      <c r="M1212" s="149">
        <v>14.962500000000112</v>
      </c>
      <c r="N1212" s="91">
        <v>-1.5442275708841621E-7</v>
      </c>
    </row>
    <row r="1213" spans="13:14" x14ac:dyDescent="0.2">
      <c r="M1213" s="149">
        <v>14.975000000000112</v>
      </c>
      <c r="N1213" s="91">
        <v>-1.5304628394616233E-7</v>
      </c>
    </row>
    <row r="1214" spans="13:14" x14ac:dyDescent="0.2">
      <c r="M1214" s="149">
        <v>14.987500000000111</v>
      </c>
      <c r="N1214" s="91">
        <v>-1.5219874628531855E-7</v>
      </c>
    </row>
    <row r="1215" spans="13:14" x14ac:dyDescent="0.2">
      <c r="M1215" s="149">
        <v>15.000000000000112</v>
      </c>
      <c r="N1215" s="91">
        <v>-1.5188826601562392E-7</v>
      </c>
    </row>
    <row r="1216" spans="13:14" x14ac:dyDescent="0.2">
      <c r="M1216" s="149">
        <v>15.000000000000112</v>
      </c>
      <c r="N1216" s="91">
        <v>-1.5188826601561812E-7</v>
      </c>
    </row>
    <row r="1217" spans="13:14" x14ac:dyDescent="0.2">
      <c r="M1217" s="149">
        <v>15.012500000000111</v>
      </c>
      <c r="N1217" s="91">
        <v>-1.5213649967313308E-7</v>
      </c>
    </row>
    <row r="1218" spans="13:14" x14ac:dyDescent="0.2">
      <c r="M1218" s="149">
        <v>15.025000000000112</v>
      </c>
      <c r="N1218" s="91">
        <v>-1.5295406818240112E-7</v>
      </c>
    </row>
    <row r="1219" spans="13:14" x14ac:dyDescent="0.2">
      <c r="M1219" s="149">
        <v>15.037500000000112</v>
      </c>
      <c r="N1219" s="91">
        <v>-1.5433260142403355E-7</v>
      </c>
    </row>
    <row r="1220" spans="13:14" x14ac:dyDescent="0.2">
      <c r="M1220" s="149">
        <v>15.050000000000113</v>
      </c>
      <c r="N1220" s="91">
        <v>-1.5626377020406695E-7</v>
      </c>
    </row>
    <row r="1221" spans="13:14" x14ac:dyDescent="0.2">
      <c r="M1221" s="149">
        <v>15.062500000000112</v>
      </c>
      <c r="N1221" s="91">
        <v>-1.5873928625396325E-7</v>
      </c>
    </row>
    <row r="1222" spans="13:14" x14ac:dyDescent="0.2">
      <c r="M1222" s="149">
        <v>15.075000000000111</v>
      </c>
      <c r="N1222" s="91">
        <v>-1.6175090223060985E-7</v>
      </c>
    </row>
    <row r="1223" spans="13:14" x14ac:dyDescent="0.2">
      <c r="M1223" s="149">
        <v>15.087500000000112</v>
      </c>
      <c r="N1223" s="91">
        <v>-1.6529041171631938E-7</v>
      </c>
    </row>
    <row r="1224" spans="13:14" x14ac:dyDescent="0.2">
      <c r="M1224" s="149">
        <v>15.100000000000112</v>
      </c>
      <c r="N1224" s="91">
        <v>-1.6934964921882992E-7</v>
      </c>
    </row>
    <row r="1225" spans="13:14" x14ac:dyDescent="0.2">
      <c r="M1225" s="149">
        <v>15.112500000000113</v>
      </c>
      <c r="N1225" s="91">
        <v>-1.7392049017130489E-7</v>
      </c>
    </row>
    <row r="1226" spans="13:14" x14ac:dyDescent="0.2">
      <c r="M1226" s="149">
        <v>15.125000000000112</v>
      </c>
      <c r="N1226" s="91">
        <v>-1.7899485093233304E-7</v>
      </c>
    </row>
    <row r="1227" spans="13:14" x14ac:dyDescent="0.2">
      <c r="M1227" s="149">
        <v>15.137500000000111</v>
      </c>
      <c r="N1227" s="91">
        <v>-1.8456468878592854E-7</v>
      </c>
    </row>
    <row r="1228" spans="13:14" x14ac:dyDescent="0.2">
      <c r="M1228" s="149">
        <v>15.150000000000112</v>
      </c>
      <c r="N1228" s="91">
        <v>-1.9062200194153091E-7</v>
      </c>
    </row>
    <row r="1229" spans="13:14" x14ac:dyDescent="0.2">
      <c r="M1229" s="149">
        <v>15.162500000000112</v>
      </c>
      <c r="N1229" s="91">
        <v>-1.9715882953400497E-7</v>
      </c>
    </row>
    <row r="1230" spans="13:14" x14ac:dyDescent="0.2">
      <c r="M1230" s="149">
        <v>15.175000000000113</v>
      </c>
      <c r="N1230" s="91">
        <v>-2.0416725162364097E-7</v>
      </c>
    </row>
    <row r="1231" spans="13:14" x14ac:dyDescent="0.2">
      <c r="M1231" s="149">
        <v>15.187500000000112</v>
      </c>
      <c r="N1231" s="91">
        <v>-2.1163938919615453E-7</v>
      </c>
    </row>
    <row r="1232" spans="13:14" x14ac:dyDescent="0.2">
      <c r="M1232" s="149">
        <v>15.200000000000111</v>
      </c>
      <c r="N1232" s="91">
        <v>-2.1956740416268655E-7</v>
      </c>
    </row>
    <row r="1233" spans="13:14" x14ac:dyDescent="0.2">
      <c r="M1233" s="149">
        <v>15.212500000000112</v>
      </c>
      <c r="N1233" s="91">
        <v>-2.279434993598034E-7</v>
      </c>
    </row>
    <row r="1234" spans="13:14" x14ac:dyDescent="0.2">
      <c r="M1234" s="149">
        <v>15.225000000000112</v>
      </c>
      <c r="N1234" s="91">
        <v>-2.3675991854949672E-7</v>
      </c>
    </row>
    <row r="1235" spans="13:14" x14ac:dyDescent="0.2">
      <c r="M1235" s="149">
        <v>15.237500000000113</v>
      </c>
      <c r="N1235" s="91">
        <v>-2.4600894641918353E-7</v>
      </c>
    </row>
    <row r="1236" spans="13:14" x14ac:dyDescent="0.2">
      <c r="M1236" s="149">
        <v>15.250000000000112</v>
      </c>
      <c r="N1236" s="91">
        <v>-2.5568290858170632E-7</v>
      </c>
    </row>
    <row r="1237" spans="13:14" x14ac:dyDescent="0.2">
      <c r="M1237" s="149">
        <v>15.262500000000111</v>
      </c>
      <c r="N1237" s="91">
        <v>-2.6577417157533275E-7</v>
      </c>
    </row>
    <row r="1238" spans="13:14" x14ac:dyDescent="0.2">
      <c r="M1238" s="149">
        <v>15.275000000000112</v>
      </c>
      <c r="N1238" s="91">
        <v>-2.7627514286375607E-7</v>
      </c>
    </row>
    <row r="1239" spans="13:14" x14ac:dyDescent="0.2">
      <c r="M1239" s="149">
        <v>15.287500000000112</v>
      </c>
      <c r="N1239" s="91">
        <v>-2.8717827083609466E-7</v>
      </c>
    </row>
    <row r="1240" spans="13:14" x14ac:dyDescent="0.2">
      <c r="M1240" s="149">
        <v>15.300000000000113</v>
      </c>
      <c r="N1240" s="91">
        <v>-2.9847604480689243E-7</v>
      </c>
    </row>
    <row r="1241" spans="13:14" x14ac:dyDescent="0.2">
      <c r="M1241" s="149">
        <v>15.312500000000112</v>
      </c>
      <c r="N1241" s="91">
        <v>-3.1016099501611854E-7</v>
      </c>
    </row>
    <row r="1242" spans="13:14" x14ac:dyDescent="0.2">
      <c r="M1242" s="149">
        <v>15.325000000000111</v>
      </c>
      <c r="N1242" s="91">
        <v>-3.2222569262916769E-7</v>
      </c>
    </row>
    <row r="1243" spans="13:14" x14ac:dyDescent="0.2">
      <c r="M1243" s="149">
        <v>15.337500000000112</v>
      </c>
      <c r="N1243" s="91">
        <v>-3.3466274973685972E-7</v>
      </c>
    </row>
    <row r="1244" spans="13:14" x14ac:dyDescent="0.2">
      <c r="M1244" s="149">
        <v>15.350000000000112</v>
      </c>
      <c r="N1244" s="91">
        <v>-3.4746481935543993E-7</v>
      </c>
    </row>
    <row r="1245" spans="13:14" x14ac:dyDescent="0.2">
      <c r="M1245" s="149">
        <v>15.362500000000113</v>
      </c>
      <c r="N1245" s="91">
        <v>-3.6062459542657898E-7</v>
      </c>
    </row>
    <row r="1246" spans="13:14" x14ac:dyDescent="0.2">
      <c r="M1246" s="149">
        <v>15.375000000000112</v>
      </c>
      <c r="N1246" s="91">
        <v>-3.7413481281737299E-7</v>
      </c>
    </row>
    <row r="1247" spans="13:14" x14ac:dyDescent="0.2">
      <c r="M1247" s="149">
        <v>15.387500000000113</v>
      </c>
      <c r="N1247" s="91">
        <v>-3.8798824732034327E-7</v>
      </c>
    </row>
    <row r="1248" spans="13:14" x14ac:dyDescent="0.2">
      <c r="M1248" s="149">
        <v>15.400000000000112</v>
      </c>
      <c r="N1248" s="91">
        <v>-4.0217771565343667E-7</v>
      </c>
    </row>
    <row r="1249" spans="13:14" x14ac:dyDescent="0.2">
      <c r="M1249" s="149">
        <v>15.412500000000112</v>
      </c>
      <c r="N1249" s="91">
        <v>-4.166960754600252E-7</v>
      </c>
    </row>
    <row r="1250" spans="13:14" x14ac:dyDescent="0.2">
      <c r="M1250" s="149">
        <v>15.425000000000113</v>
      </c>
      <c r="N1250" s="91">
        <v>-4.3153622530890638E-7</v>
      </c>
    </row>
    <row r="1251" spans="13:14" x14ac:dyDescent="0.2">
      <c r="M1251" s="149">
        <v>15.437500000000112</v>
      </c>
      <c r="N1251" s="91">
        <v>-4.4669110469430308E-7</v>
      </c>
    </row>
    <row r="1252" spans="13:14" x14ac:dyDescent="0.2">
      <c r="M1252" s="149">
        <v>15.450000000000113</v>
      </c>
      <c r="N1252" s="91">
        <v>-4.6215369403586332E-7</v>
      </c>
    </row>
    <row r="1253" spans="13:14" x14ac:dyDescent="0.2">
      <c r="M1253" s="149">
        <v>15.462500000000112</v>
      </c>
      <c r="N1253" s="91">
        <v>-4.779170146786609E-7</v>
      </c>
    </row>
    <row r="1254" spans="13:14" x14ac:dyDescent="0.2">
      <c r="M1254" s="149">
        <v>15.475000000000112</v>
      </c>
      <c r="N1254" s="91">
        <v>-4.9397412889319477E-7</v>
      </c>
    </row>
    <row r="1255" spans="13:14" x14ac:dyDescent="0.2">
      <c r="M1255" s="149">
        <v>15.487500000000113</v>
      </c>
      <c r="N1255" s="91">
        <v>-5.1031813987538892E-7</v>
      </c>
    </row>
    <row r="1256" spans="13:14" x14ac:dyDescent="0.2">
      <c r="M1256" s="149">
        <v>15.500000000000112</v>
      </c>
      <c r="N1256" s="91">
        <v>-5.269421917465932E-7</v>
      </c>
    </row>
    <row r="1257" spans="13:14" x14ac:dyDescent="0.2">
      <c r="M1257" s="149">
        <v>15.512500000000113</v>
      </c>
      <c r="N1257" s="91">
        <v>-5.4383946955358263E-7</v>
      </c>
    </row>
    <row r="1258" spans="13:14" x14ac:dyDescent="0.2">
      <c r="M1258" s="149">
        <v>15.525000000000112</v>
      </c>
      <c r="N1258" s="91">
        <v>-5.6100319926855748E-7</v>
      </c>
    </row>
    <row r="1259" spans="13:14" x14ac:dyDescent="0.2">
      <c r="M1259" s="149">
        <v>15.537500000000112</v>
      </c>
      <c r="N1259" s="91">
        <v>-5.7842664778914379E-7</v>
      </c>
    </row>
    <row r="1260" spans="13:14" x14ac:dyDescent="0.2">
      <c r="M1260" s="149">
        <v>15.550000000000113</v>
      </c>
      <c r="N1260" s="91">
        <v>-5.9610312293839243E-7</v>
      </c>
    </row>
    <row r="1261" spans="13:14" x14ac:dyDescent="0.2">
      <c r="M1261" s="149">
        <v>15.562500000000112</v>
      </c>
      <c r="N1261" s="91">
        <v>-6.1402597346477985E-7</v>
      </c>
    </row>
    <row r="1262" spans="13:14" x14ac:dyDescent="0.2">
      <c r="M1262" s="149">
        <v>15.575000000000111</v>
      </c>
      <c r="N1262" s="91">
        <v>-6.3218858904220783E-7</v>
      </c>
    </row>
    <row r="1263" spans="13:14" x14ac:dyDescent="0.2">
      <c r="M1263" s="149">
        <v>15.587500000000112</v>
      </c>
      <c r="N1263" s="91">
        <v>-6.5058440027000384E-7</v>
      </c>
    </row>
    <row r="1264" spans="13:14" x14ac:dyDescent="0.2">
      <c r="M1264" s="149">
        <v>15.600000000000112</v>
      </c>
      <c r="N1264" s="91">
        <v>-6.6920687867292008E-7</v>
      </c>
    </row>
    <row r="1265" spans="13:14" x14ac:dyDescent="0.2">
      <c r="M1265" s="149">
        <v>15.612500000000111</v>
      </c>
      <c r="N1265" s="91">
        <v>-6.8804953670113494E-7</v>
      </c>
    </row>
    <row r="1266" spans="13:14" x14ac:dyDescent="0.2">
      <c r="M1266" s="149">
        <v>15.625000000000112</v>
      </c>
      <c r="N1266" s="91">
        <v>-7.0710592773025112E-7</v>
      </c>
    </row>
    <row r="1267" spans="13:14" x14ac:dyDescent="0.2">
      <c r="M1267" s="149">
        <v>15.637500000000111</v>
      </c>
      <c r="N1267" s="91">
        <v>-7.2636964606129771E-7</v>
      </c>
    </row>
    <row r="1268" spans="13:14" x14ac:dyDescent="0.2">
      <c r="M1268" s="149">
        <v>15.650000000000112</v>
      </c>
      <c r="N1268" s="91">
        <v>-7.4583432692072844E-7</v>
      </c>
    </row>
    <row r="1269" spans="13:14" x14ac:dyDescent="0.2">
      <c r="M1269" s="149">
        <v>15.662500000000112</v>
      </c>
      <c r="N1269" s="91">
        <v>-7.6549364646042281E-7</v>
      </c>
    </row>
    <row r="1270" spans="13:14" x14ac:dyDescent="0.2">
      <c r="M1270" s="149">
        <v>15.675000000000111</v>
      </c>
      <c r="N1270" s="91">
        <v>-7.8534132175768557E-7</v>
      </c>
    </row>
    <row r="1271" spans="13:14" x14ac:dyDescent="0.2">
      <c r="M1271" s="149">
        <v>15.687500000000112</v>
      </c>
      <c r="N1271" s="91">
        <v>-8.0537111081524663E-7</v>
      </c>
    </row>
    <row r="1272" spans="13:14" x14ac:dyDescent="0.2">
      <c r="M1272" s="149">
        <v>15.700000000000111</v>
      </c>
      <c r="N1272" s="91">
        <v>-8.2557681256126175E-7</v>
      </c>
    </row>
    <row r="1273" spans="13:14" x14ac:dyDescent="0.2">
      <c r="M1273" s="149">
        <v>15.712500000000112</v>
      </c>
      <c r="N1273" s="91">
        <v>-8.4595226684931146E-7</v>
      </c>
    </row>
    <row r="1274" spans="13:14" x14ac:dyDescent="0.2">
      <c r="M1274" s="149">
        <v>15.725000000000112</v>
      </c>
      <c r="N1274" s="91">
        <v>-8.6649135445840212E-7</v>
      </c>
    </row>
    <row r="1275" spans="13:14" x14ac:dyDescent="0.2">
      <c r="M1275" s="149">
        <v>15.737500000000111</v>
      </c>
      <c r="N1275" s="91">
        <v>-8.8718799709296518E-7</v>
      </c>
    </row>
    <row r="1276" spans="13:14" x14ac:dyDescent="0.2">
      <c r="M1276" s="149">
        <v>15.750000000000112</v>
      </c>
      <c r="N1276" s="91">
        <v>-9.0803615738285763E-7</v>
      </c>
    </row>
    <row r="1277" spans="13:14" x14ac:dyDescent="0.2">
      <c r="M1277" s="149">
        <v>15.762500000000111</v>
      </c>
      <c r="N1277" s="91">
        <v>-9.290298388833615E-7</v>
      </c>
    </row>
    <row r="1278" spans="13:14" x14ac:dyDescent="0.2">
      <c r="M1278" s="149">
        <v>15.77500000000011</v>
      </c>
      <c r="N1278" s="91">
        <v>-9.5016308607518471E-7</v>
      </c>
    </row>
    <row r="1279" spans="13:14" x14ac:dyDescent="0.2">
      <c r="M1279" s="149">
        <v>15.787500000000112</v>
      </c>
      <c r="N1279" s="91">
        <v>-9.7142998436446034E-7</v>
      </c>
    </row>
    <row r="1280" spans="13:14" x14ac:dyDescent="0.2">
      <c r="M1280" s="149">
        <v>15.800000000000111</v>
      </c>
      <c r="N1280" s="91">
        <v>-9.9282466008274637E-7</v>
      </c>
    </row>
    <row r="1281" spans="13:14" x14ac:dyDescent="0.2">
      <c r="M1281" s="149">
        <v>15.81250000000011</v>
      </c>
      <c r="N1281" s="91">
        <v>-1.0143412804870266E-6</v>
      </c>
    </row>
    <row r="1282" spans="13:14" x14ac:dyDescent="0.2">
      <c r="M1282" s="149">
        <v>15.825000000000111</v>
      </c>
      <c r="N1282" s="91">
        <v>-1.0359740537597103E-6</v>
      </c>
    </row>
    <row r="1283" spans="13:14" x14ac:dyDescent="0.2">
      <c r="M1283" s="149">
        <v>15.83750000000011</v>
      </c>
      <c r="N1283" s="91">
        <v>-1.0577172290086317E-6</v>
      </c>
    </row>
    <row r="1284" spans="13:14" x14ac:dyDescent="0.2">
      <c r="M1284" s="149">
        <v>15.850000000000112</v>
      </c>
      <c r="N1284" s="91">
        <v>-1.0795650962670507E-6</v>
      </c>
    </row>
    <row r="1285" spans="13:14" x14ac:dyDescent="0.2">
      <c r="M1285" s="149">
        <v>15.862500000000111</v>
      </c>
      <c r="N1285" s="91">
        <v>-1.1015119864936527E-6</v>
      </c>
    </row>
    <row r="1286" spans="13:14" x14ac:dyDescent="0.2">
      <c r="M1286" s="149">
        <v>15.87500000000011</v>
      </c>
      <c r="N1286" s="91">
        <v>-1.1235522715725478E-6</v>
      </c>
    </row>
    <row r="1287" spans="13:14" x14ac:dyDescent="0.2">
      <c r="M1287" s="149">
        <v>15.887500000000111</v>
      </c>
      <c r="N1287" s="91">
        <v>-1.1456803643132722E-6</v>
      </c>
    </row>
    <row r="1288" spans="13:14" x14ac:dyDescent="0.2">
      <c r="M1288" s="149">
        <v>15.90000000000011</v>
      </c>
      <c r="N1288" s="91">
        <v>-1.167890718450787E-6</v>
      </c>
    </row>
    <row r="1289" spans="13:14" x14ac:dyDescent="0.2">
      <c r="M1289" s="149">
        <v>15.912500000000112</v>
      </c>
      <c r="N1289" s="91">
        <v>-1.190177828645479E-6</v>
      </c>
    </row>
    <row r="1290" spans="13:14" x14ac:dyDescent="0.2">
      <c r="M1290" s="149">
        <v>15.925000000000111</v>
      </c>
      <c r="N1290" s="91">
        <v>-1.2125362304831598E-6</v>
      </c>
    </row>
    <row r="1291" spans="13:14" x14ac:dyDescent="0.2">
      <c r="M1291" s="149">
        <v>15.93750000000011</v>
      </c>
      <c r="N1291" s="91">
        <v>-1.2349605004750674E-6</v>
      </c>
    </row>
    <row r="1292" spans="13:14" x14ac:dyDescent="0.2">
      <c r="M1292" s="149">
        <v>15.950000000000111</v>
      </c>
      <c r="N1292" s="91">
        <v>-1.2574452560578636E-6</v>
      </c>
    </row>
    <row r="1293" spans="13:14" x14ac:dyDescent="0.2">
      <c r="M1293" s="149">
        <v>15.96250000000011</v>
      </c>
      <c r="N1293" s="91">
        <v>-1.279985155593637E-6</v>
      </c>
    </row>
    <row r="1294" spans="13:14" x14ac:dyDescent="0.2">
      <c r="M1294" s="149">
        <v>15.97500000000011</v>
      </c>
      <c r="N1294" s="91">
        <v>-1.3025748983699012E-6</v>
      </c>
    </row>
    <row r="1295" spans="13:14" x14ac:dyDescent="0.2">
      <c r="M1295" s="149">
        <v>15.987500000000111</v>
      </c>
      <c r="N1295" s="91">
        <v>-1.3252092245995952E-6</v>
      </c>
    </row>
    <row r="1296" spans="13:14" x14ac:dyDescent="0.2">
      <c r="M1296" s="149">
        <v>16.00000000000011</v>
      </c>
      <c r="N1296" s="91">
        <v>-1.3478829154210819E-6</v>
      </c>
    </row>
    <row r="1297" spans="13:14" x14ac:dyDescent="0.2">
      <c r="M1297" s="149">
        <v>16.012500000000109</v>
      </c>
      <c r="N1297" s="91">
        <v>-1.3705907928981517E-6</v>
      </c>
    </row>
    <row r="1298" spans="13:14" x14ac:dyDescent="0.2">
      <c r="M1298" s="149">
        <v>16.025000000000109</v>
      </c>
      <c r="N1298" s="91">
        <v>-1.3933277200200201E-6</v>
      </c>
    </row>
    <row r="1299" spans="13:14" x14ac:dyDescent="0.2">
      <c r="M1299" s="149">
        <v>16.037500000000112</v>
      </c>
      <c r="N1299" s="91">
        <v>-1.4160886007013262E-6</v>
      </c>
    </row>
    <row r="1300" spans="13:14" x14ac:dyDescent="0.2">
      <c r="M1300" s="149">
        <v>16.050000000000111</v>
      </c>
      <c r="N1300" s="91">
        <v>-1.4388683797821361E-6</v>
      </c>
    </row>
    <row r="1301" spans="13:14" x14ac:dyDescent="0.2">
      <c r="M1301" s="149">
        <v>16.06250000000011</v>
      </c>
      <c r="N1301" s="91">
        <v>-1.4616620430279408E-6</v>
      </c>
    </row>
    <row r="1302" spans="13:14" x14ac:dyDescent="0.2">
      <c r="M1302" s="149">
        <v>16.075000000000109</v>
      </c>
      <c r="N1302" s="91">
        <v>-1.4844646171296568E-6</v>
      </c>
    </row>
    <row r="1303" spans="13:14" x14ac:dyDescent="0.2">
      <c r="M1303" s="149">
        <v>16.087500000000109</v>
      </c>
      <c r="N1303" s="91">
        <v>-1.5072711697036253E-6</v>
      </c>
    </row>
    <row r="1304" spans="13:14" x14ac:dyDescent="0.2">
      <c r="M1304" s="149">
        <v>16.100000000000112</v>
      </c>
      <c r="N1304" s="91">
        <v>-1.5300768092916136E-6</v>
      </c>
    </row>
    <row r="1305" spans="13:14" x14ac:dyDescent="0.2">
      <c r="M1305" s="149">
        <v>16.112500000000111</v>
      </c>
      <c r="N1305" s="91">
        <v>-1.5528766853608144E-6</v>
      </c>
    </row>
    <row r="1306" spans="13:14" x14ac:dyDescent="0.2">
      <c r="M1306" s="149">
        <v>16.12500000000011</v>
      </c>
      <c r="N1306" s="91">
        <v>-1.575665988303845E-6</v>
      </c>
    </row>
    <row r="1307" spans="13:14" x14ac:dyDescent="0.2">
      <c r="M1307" s="149">
        <v>16.137500000000109</v>
      </c>
      <c r="N1307" s="91">
        <v>-1.5984399494387489E-6</v>
      </c>
    </row>
    <row r="1308" spans="13:14" x14ac:dyDescent="0.2">
      <c r="M1308" s="149">
        <v>16.150000000000109</v>
      </c>
      <c r="N1308" s="91">
        <v>-1.6211938410089943E-6</v>
      </c>
    </row>
    <row r="1309" spans="13:14" x14ac:dyDescent="0.2">
      <c r="M1309" s="149">
        <v>16.162500000000108</v>
      </c>
      <c r="N1309" s="91">
        <v>-1.6439229761834756E-6</v>
      </c>
    </row>
    <row r="1310" spans="13:14" x14ac:dyDescent="0.2">
      <c r="M1310" s="149">
        <v>16.175000000000111</v>
      </c>
      <c r="N1310" s="91">
        <v>-1.6666227090565112E-6</v>
      </c>
    </row>
    <row r="1311" spans="13:14" x14ac:dyDescent="0.2">
      <c r="M1311" s="149">
        <v>16.18750000000011</v>
      </c>
      <c r="N1311" s="91">
        <v>-1.689288434647846E-6</v>
      </c>
    </row>
    <row r="1312" spans="13:14" x14ac:dyDescent="0.2">
      <c r="M1312" s="149">
        <v>16.200000000000109</v>
      </c>
      <c r="N1312" s="91">
        <v>-1.7119155889026505E-6</v>
      </c>
    </row>
    <row r="1313" spans="13:14" x14ac:dyDescent="0.2">
      <c r="M1313" s="149">
        <v>16.212500000000109</v>
      </c>
      <c r="N1313" s="91">
        <v>-1.7344996486915195E-6</v>
      </c>
    </row>
    <row r="1314" spans="13:14" x14ac:dyDescent="0.2">
      <c r="M1314" s="149">
        <v>16.225000000000108</v>
      </c>
      <c r="N1314" s="91">
        <v>-1.7570361318104741E-6</v>
      </c>
    </row>
    <row r="1315" spans="13:14" x14ac:dyDescent="0.2">
      <c r="M1315" s="149">
        <v>16.237500000000111</v>
      </c>
      <c r="N1315" s="91">
        <v>-1.7795205969809591E-6</v>
      </c>
    </row>
    <row r="1316" spans="13:14" x14ac:dyDescent="0.2">
      <c r="M1316" s="149">
        <v>16.25000000000011</v>
      </c>
      <c r="N1316" s="91">
        <v>-1.8019486438498474E-6</v>
      </c>
    </row>
    <row r="1317" spans="13:14" x14ac:dyDescent="0.2">
      <c r="M1317" s="149">
        <v>16.262500000000109</v>
      </c>
      <c r="N1317" s="91">
        <v>-1.8243159129894352E-6</v>
      </c>
    </row>
    <row r="1318" spans="13:14" x14ac:dyDescent="0.2">
      <c r="M1318" s="149">
        <v>16.275000000000109</v>
      </c>
      <c r="N1318" s="91">
        <v>-1.8466180858974446E-6</v>
      </c>
    </row>
    <row r="1319" spans="13:14" x14ac:dyDescent="0.2">
      <c r="M1319" s="149">
        <v>16.287500000000108</v>
      </c>
      <c r="N1319" s="91">
        <v>-1.8688508849970236E-6</v>
      </c>
    </row>
    <row r="1320" spans="13:14" x14ac:dyDescent="0.2">
      <c r="M1320" s="149">
        <v>16.300000000000111</v>
      </c>
      <c r="N1320" s="91">
        <v>-1.8910100736367443E-6</v>
      </c>
    </row>
    <row r="1321" spans="13:14" x14ac:dyDescent="0.2">
      <c r="M1321" s="149">
        <v>16.31250000000011</v>
      </c>
      <c r="N1321" s="91">
        <v>-1.913091456090604E-6</v>
      </c>
    </row>
    <row r="1322" spans="13:14" x14ac:dyDescent="0.2">
      <c r="M1322" s="149">
        <v>16.325000000000109</v>
      </c>
      <c r="N1322" s="91">
        <v>-1.9350908775580289E-6</v>
      </c>
    </row>
    <row r="1323" spans="13:14" x14ac:dyDescent="0.2">
      <c r="M1323" s="149">
        <v>16.337500000000109</v>
      </c>
      <c r="N1323" s="91">
        <v>-1.9570042241638667E-6</v>
      </c>
    </row>
    <row r="1324" spans="13:14" x14ac:dyDescent="0.2">
      <c r="M1324" s="149">
        <v>16.350000000000108</v>
      </c>
      <c r="N1324" s="91">
        <v>-1.9788274229583904E-6</v>
      </c>
    </row>
    <row r="1325" spans="13:14" x14ac:dyDescent="0.2">
      <c r="M1325" s="149">
        <v>16.362500000000111</v>
      </c>
      <c r="N1325" s="91">
        <v>-2.0005564419173018E-6</v>
      </c>
    </row>
    <row r="1326" spans="13:14" x14ac:dyDescent="0.2">
      <c r="M1326" s="149">
        <v>16.37500000000011</v>
      </c>
      <c r="N1326" s="91">
        <v>-2.0221872899417243E-6</v>
      </c>
    </row>
    <row r="1327" spans="13:14" x14ac:dyDescent="0.2">
      <c r="M1327" s="149">
        <v>16.387500000000109</v>
      </c>
      <c r="N1327" s="91">
        <v>-2.0437160168582092E-6</v>
      </c>
    </row>
    <row r="1328" spans="13:14" x14ac:dyDescent="0.2">
      <c r="M1328" s="149">
        <v>16.400000000000109</v>
      </c>
      <c r="N1328" s="91">
        <v>-2.0651387134187321E-6</v>
      </c>
    </row>
    <row r="1329" spans="13:14" x14ac:dyDescent="0.2">
      <c r="M1329" s="149">
        <v>16.412500000000108</v>
      </c>
      <c r="N1329" s="91">
        <v>-2.0864515113006935E-6</v>
      </c>
    </row>
    <row r="1330" spans="13:14" x14ac:dyDescent="0.2">
      <c r="M1330" s="149">
        <v>16.425000000000107</v>
      </c>
      <c r="N1330" s="91">
        <v>-2.1076505831069207E-6</v>
      </c>
    </row>
    <row r="1331" spans="13:14" x14ac:dyDescent="0.2">
      <c r="M1331" s="149">
        <v>16.43750000000011</v>
      </c>
      <c r="N1331" s="91">
        <v>-2.1287321423656649E-6</v>
      </c>
    </row>
    <row r="1332" spans="13:14" x14ac:dyDescent="0.2">
      <c r="M1332" s="149">
        <v>16.450000000000109</v>
      </c>
      <c r="N1332" s="91">
        <v>-2.1496924435306036E-6</v>
      </c>
    </row>
    <row r="1333" spans="13:14" x14ac:dyDescent="0.2">
      <c r="M1333" s="149">
        <v>16.462500000000109</v>
      </c>
      <c r="N1333" s="91">
        <v>-2.1705277819808393E-6</v>
      </c>
    </row>
    <row r="1334" spans="13:14" x14ac:dyDescent="0.2">
      <c r="M1334" s="149">
        <v>16.475000000000108</v>
      </c>
      <c r="N1334" s="91">
        <v>-2.1912344940209004E-6</v>
      </c>
    </row>
    <row r="1335" spans="13:14" x14ac:dyDescent="0.2">
      <c r="M1335" s="149">
        <v>16.487500000000107</v>
      </c>
      <c r="N1335" s="91">
        <v>-2.2118089568807407E-6</v>
      </c>
    </row>
    <row r="1336" spans="13:14" x14ac:dyDescent="0.2">
      <c r="M1336" s="149">
        <v>16.50000000000011</v>
      </c>
      <c r="N1336" s="91">
        <v>-2.2322475887157363E-6</v>
      </c>
    </row>
    <row r="1337" spans="13:14" x14ac:dyDescent="0.2">
      <c r="M1337" s="149">
        <v>16.512500000000109</v>
      </c>
      <c r="N1337" s="91">
        <v>-2.252546848606693E-6</v>
      </c>
    </row>
    <row r="1338" spans="13:14" x14ac:dyDescent="0.2">
      <c r="M1338" s="149">
        <v>16.525000000000109</v>
      </c>
      <c r="N1338" s="91">
        <v>-2.2727032365598407E-6</v>
      </c>
    </row>
    <row r="1339" spans="13:14" x14ac:dyDescent="0.2">
      <c r="M1339" s="149">
        <v>16.537500000000108</v>
      </c>
      <c r="N1339" s="91">
        <v>-2.2927132935068331E-6</v>
      </c>
    </row>
    <row r="1340" spans="13:14" x14ac:dyDescent="0.2">
      <c r="M1340" s="149">
        <v>16.550000000000107</v>
      </c>
      <c r="N1340" s="91">
        <v>-2.312573601304751E-6</v>
      </c>
    </row>
    <row r="1341" spans="13:14" x14ac:dyDescent="0.2">
      <c r="M1341" s="149">
        <v>16.562500000000107</v>
      </c>
      <c r="N1341" s="91">
        <v>-2.3322807827360992E-6</v>
      </c>
    </row>
    <row r="1342" spans="13:14" x14ac:dyDescent="0.2">
      <c r="M1342" s="149">
        <v>16.575000000000109</v>
      </c>
      <c r="N1342" s="91">
        <v>-2.3518315015088088E-6</v>
      </c>
    </row>
    <row r="1343" spans="13:14" x14ac:dyDescent="0.2">
      <c r="M1343" s="149">
        <v>16.587500000000109</v>
      </c>
      <c r="N1343" s="91">
        <v>-2.3712224622562362E-6</v>
      </c>
    </row>
    <row r="1344" spans="13:14" x14ac:dyDescent="0.2">
      <c r="M1344" s="149">
        <v>16.600000000000108</v>
      </c>
      <c r="N1344" s="91">
        <v>-2.3904504105371626E-6</v>
      </c>
    </row>
    <row r="1345" spans="13:14" x14ac:dyDescent="0.2">
      <c r="M1345" s="149">
        <v>16.612500000000107</v>
      </c>
      <c r="N1345" s="91">
        <v>-2.4095121328357953E-6</v>
      </c>
    </row>
    <row r="1346" spans="13:14" x14ac:dyDescent="0.2">
      <c r="M1346" s="149">
        <v>16.625000000000107</v>
      </c>
      <c r="N1346" s="91">
        <v>-2.4284044565617666E-6</v>
      </c>
    </row>
    <row r="1347" spans="13:14" x14ac:dyDescent="0.2">
      <c r="M1347" s="149">
        <v>16.637500000000109</v>
      </c>
      <c r="N1347" s="91">
        <v>-2.4471242500501341E-6</v>
      </c>
    </row>
    <row r="1348" spans="13:14" x14ac:dyDescent="0.2">
      <c r="M1348" s="149">
        <v>16.650000000000109</v>
      </c>
      <c r="N1348" s="91">
        <v>-2.4656684225613808E-6</v>
      </c>
    </row>
    <row r="1349" spans="13:14" x14ac:dyDescent="0.2">
      <c r="M1349" s="149">
        <v>16.662500000000108</v>
      </c>
      <c r="N1349" s="91">
        <v>-2.4840339242814145E-6</v>
      </c>
    </row>
    <row r="1350" spans="13:14" x14ac:dyDescent="0.2">
      <c r="M1350" s="149">
        <v>16.675000000000107</v>
      </c>
      <c r="N1350" s="91">
        <v>-2.5022177463215699E-6</v>
      </c>
    </row>
    <row r="1351" spans="13:14" x14ac:dyDescent="0.2">
      <c r="M1351" s="149">
        <v>16.687500000000107</v>
      </c>
      <c r="N1351" s="91">
        <v>-2.520216920718605E-6</v>
      </c>
    </row>
    <row r="1352" spans="13:14" x14ac:dyDescent="0.2">
      <c r="M1352" s="149">
        <v>16.700000000000109</v>
      </c>
      <c r="N1352" s="91">
        <v>-2.5380285204347051E-6</v>
      </c>
    </row>
    <row r="1353" spans="13:14" x14ac:dyDescent="0.2">
      <c r="M1353" s="149">
        <v>16.712500000000109</v>
      </c>
      <c r="N1353" s="91">
        <v>-2.5556496593574801E-6</v>
      </c>
    </row>
    <row r="1354" spans="13:14" x14ac:dyDescent="0.2">
      <c r="M1354" s="149">
        <v>16.725000000000108</v>
      </c>
      <c r="N1354" s="91">
        <v>-2.5730774922999641E-6</v>
      </c>
    </row>
    <row r="1355" spans="13:14" x14ac:dyDescent="0.2">
      <c r="M1355" s="149">
        <v>16.737500000000107</v>
      </c>
      <c r="N1355" s="91">
        <v>-2.5903092150006184E-6</v>
      </c>
    </row>
    <row r="1356" spans="13:14" x14ac:dyDescent="0.2">
      <c r="M1356" s="149">
        <v>16.750000000000107</v>
      </c>
      <c r="N1356" s="91">
        <v>-2.6073420641233294E-6</v>
      </c>
    </row>
    <row r="1357" spans="13:14" x14ac:dyDescent="0.2">
      <c r="M1357" s="149">
        <v>16.762500000000109</v>
      </c>
      <c r="N1357" s="91">
        <v>-2.6241733172574068E-6</v>
      </c>
    </row>
    <row r="1358" spans="13:14" x14ac:dyDescent="0.2">
      <c r="M1358" s="149">
        <v>16.775000000000109</v>
      </c>
      <c r="N1358" s="91">
        <v>-2.6408002929175891E-6</v>
      </c>
    </row>
    <row r="1359" spans="13:14" x14ac:dyDescent="0.2">
      <c r="M1359" s="149">
        <v>16.787500000000108</v>
      </c>
      <c r="N1359" s="91">
        <v>-2.6572203505440375E-6</v>
      </c>
    </row>
    <row r="1360" spans="13:14" x14ac:dyDescent="0.2">
      <c r="M1360" s="149">
        <v>16.800000000000107</v>
      </c>
      <c r="N1360" s="91">
        <v>-2.6734308905023385E-6</v>
      </c>
    </row>
    <row r="1361" spans="13:14" x14ac:dyDescent="0.2">
      <c r="M1361" s="149">
        <v>16.812500000000107</v>
      </c>
      <c r="N1361" s="91">
        <v>-2.689429354083506E-6</v>
      </c>
    </row>
    <row r="1362" spans="13:14" x14ac:dyDescent="0.2">
      <c r="M1362" s="149">
        <v>16.825000000000106</v>
      </c>
      <c r="N1362" s="91">
        <v>-2.7052132235039767E-6</v>
      </c>
    </row>
    <row r="1363" spans="13:14" x14ac:dyDescent="0.2">
      <c r="M1363" s="149">
        <v>16.837500000000109</v>
      </c>
      <c r="N1363" s="91">
        <v>-2.7207800219056164E-6</v>
      </c>
    </row>
    <row r="1364" spans="13:14" x14ac:dyDescent="0.2">
      <c r="M1364" s="149">
        <v>16.850000000000108</v>
      </c>
      <c r="N1364" s="91">
        <v>-2.7361273133557126E-6</v>
      </c>
    </row>
    <row r="1365" spans="13:14" x14ac:dyDescent="0.2">
      <c r="M1365" s="149">
        <v>16.862500000000107</v>
      </c>
      <c r="N1365" s="91">
        <v>-2.75125270284698E-6</v>
      </c>
    </row>
    <row r="1366" spans="13:14" x14ac:dyDescent="0.2">
      <c r="M1366" s="149">
        <v>16.875000000000107</v>
      </c>
      <c r="N1366" s="91">
        <v>-2.766153836297556E-6</v>
      </c>
    </row>
    <row r="1367" spans="13:14" x14ac:dyDescent="0.2">
      <c r="M1367" s="149">
        <v>16.887500000000106</v>
      </c>
      <c r="N1367" s="91">
        <v>-2.7808284005510074E-6</v>
      </c>
    </row>
    <row r="1368" spans="13:14" x14ac:dyDescent="0.2">
      <c r="M1368" s="149">
        <v>16.900000000000109</v>
      </c>
      <c r="N1368" s="91">
        <v>-2.7952741233763249E-6</v>
      </c>
    </row>
    <row r="1369" spans="13:14" x14ac:dyDescent="0.2">
      <c r="M1369" s="149">
        <v>16.912500000000108</v>
      </c>
      <c r="N1369" s="91">
        <v>-2.8094887734679224E-6</v>
      </c>
    </row>
    <row r="1370" spans="13:14" x14ac:dyDescent="0.2">
      <c r="M1370" s="149">
        <v>16.925000000000107</v>
      </c>
      <c r="N1370" s="91">
        <v>-2.8234701604456413E-6</v>
      </c>
    </row>
    <row r="1371" spans="13:14" x14ac:dyDescent="0.2">
      <c r="M1371" s="149">
        <v>16.937500000000107</v>
      </c>
      <c r="N1371" s="91">
        <v>-2.8372161348547486E-6</v>
      </c>
    </row>
    <row r="1372" spans="13:14" x14ac:dyDescent="0.2">
      <c r="M1372" s="149">
        <v>16.950000000000106</v>
      </c>
      <c r="N1372" s="91">
        <v>-2.8507245881659362E-6</v>
      </c>
    </row>
    <row r="1373" spans="13:14" x14ac:dyDescent="0.2">
      <c r="M1373" s="149">
        <v>16.962500000000105</v>
      </c>
      <c r="N1373" s="91">
        <v>-2.8639934527753214E-6</v>
      </c>
    </row>
    <row r="1374" spans="13:14" x14ac:dyDescent="0.2">
      <c r="M1374" s="149">
        <v>16.975000000000108</v>
      </c>
      <c r="N1374" s="91">
        <v>-2.8770207020044457E-6</v>
      </c>
    </row>
    <row r="1375" spans="13:14" x14ac:dyDescent="0.2">
      <c r="M1375" s="149">
        <v>16.987500000000107</v>
      </c>
      <c r="N1375" s="91">
        <v>-2.889804350100277E-6</v>
      </c>
    </row>
    <row r="1376" spans="13:14" x14ac:dyDescent="0.2">
      <c r="M1376" s="149">
        <v>17.000000000000107</v>
      </c>
      <c r="N1376" s="91">
        <v>-2.9023424522352083E-6</v>
      </c>
    </row>
    <row r="1377" spans="13:14" x14ac:dyDescent="0.2">
      <c r="M1377" s="149">
        <v>17.012500000000106</v>
      </c>
      <c r="N1377" s="91">
        <v>-2.9146331045070583E-6</v>
      </c>
    </row>
    <row r="1378" spans="13:14" x14ac:dyDescent="0.2">
      <c r="M1378" s="149">
        <v>17.025000000000105</v>
      </c>
      <c r="N1378" s="91">
        <v>-2.9266744439390711E-6</v>
      </c>
    </row>
    <row r="1379" spans="13:14" x14ac:dyDescent="0.2">
      <c r="M1379" s="149">
        <v>17.037500000000108</v>
      </c>
      <c r="N1379" s="91">
        <v>-2.938464648479917E-6</v>
      </c>
    </row>
    <row r="1380" spans="13:14" x14ac:dyDescent="0.2">
      <c r="M1380" s="149">
        <v>17.050000000000107</v>
      </c>
      <c r="N1380" s="91">
        <v>-2.9500019370036883E-6</v>
      </c>
    </row>
    <row r="1381" spans="13:14" x14ac:dyDescent="0.2">
      <c r="M1381" s="149">
        <v>17.062500000000107</v>
      </c>
      <c r="N1381" s="91">
        <v>-2.9612845693099071E-6</v>
      </c>
    </row>
    <row r="1382" spans="13:14" x14ac:dyDescent="0.2">
      <c r="M1382" s="149">
        <v>17.075000000000109</v>
      </c>
      <c r="N1382" s="91">
        <v>-2.9723108461235174E-6</v>
      </c>
    </row>
    <row r="1383" spans="13:14" x14ac:dyDescent="0.2">
      <c r="M1383" s="149">
        <v>17.087500000000109</v>
      </c>
      <c r="N1383" s="91">
        <v>-2.9830791090948912E-6</v>
      </c>
    </row>
    <row r="1384" spans="13:14" x14ac:dyDescent="0.2">
      <c r="M1384" s="149">
        <v>17.100000000000108</v>
      </c>
      <c r="N1384" s="91">
        <v>-2.9935877407998219E-6</v>
      </c>
    </row>
    <row r="1385" spans="13:14" x14ac:dyDescent="0.2">
      <c r="M1385" s="149">
        <v>17.112500000000107</v>
      </c>
      <c r="N1385" s="91">
        <v>-3.0038351647395326E-6</v>
      </c>
    </row>
    <row r="1386" spans="13:14" x14ac:dyDescent="0.2">
      <c r="M1386" s="149">
        <v>17.125000000000107</v>
      </c>
      <c r="N1386" s="91">
        <v>-3.0138198453406721E-6</v>
      </c>
    </row>
    <row r="1387" spans="13:14" x14ac:dyDescent="0.2">
      <c r="M1387" s="149">
        <v>17.137500000000109</v>
      </c>
      <c r="N1387" s="91">
        <v>-3.0235402879553084E-6</v>
      </c>
    </row>
    <row r="1388" spans="13:14" x14ac:dyDescent="0.2">
      <c r="M1388" s="149">
        <v>17.150000000000109</v>
      </c>
      <c r="N1388" s="91">
        <v>-3.0329950388609425E-6</v>
      </c>
    </row>
    <row r="1389" spans="13:14" x14ac:dyDescent="0.2">
      <c r="M1389" s="149">
        <v>17.162500000000108</v>
      </c>
      <c r="N1389" s="91">
        <v>-3.0421826852604961E-6</v>
      </c>
    </row>
    <row r="1390" spans="13:14" x14ac:dyDescent="0.2">
      <c r="M1390" s="149">
        <v>17.175000000000111</v>
      </c>
      <c r="N1390" s="91">
        <v>-3.051101855282316E-6</v>
      </c>
    </row>
    <row r="1391" spans="13:14" x14ac:dyDescent="0.2">
      <c r="M1391" s="149">
        <v>17.18750000000011</v>
      </c>
      <c r="N1391" s="91">
        <v>-3.0597512179801796E-6</v>
      </c>
    </row>
    <row r="1392" spans="13:14" x14ac:dyDescent="0.2">
      <c r="M1392" s="149">
        <v>17.200000000000109</v>
      </c>
      <c r="N1392" s="91">
        <v>-3.068129483333281E-6</v>
      </c>
    </row>
    <row r="1393" spans="13:14" x14ac:dyDescent="0.2">
      <c r="M1393" s="149">
        <v>17.212500000000109</v>
      </c>
      <c r="N1393" s="91">
        <v>-3.0762354022462466E-6</v>
      </c>
    </row>
    <row r="1394" spans="13:14" x14ac:dyDescent="0.2">
      <c r="M1394" s="149">
        <v>17.225000000000108</v>
      </c>
      <c r="N1394" s="91">
        <v>-3.0840677665491281E-6</v>
      </c>
    </row>
    <row r="1395" spans="13:14" x14ac:dyDescent="0.2">
      <c r="M1395" s="149">
        <v>17.237500000000111</v>
      </c>
      <c r="N1395" s="91">
        <v>-3.0916254089973978E-6</v>
      </c>
    </row>
    <row r="1396" spans="13:14" x14ac:dyDescent="0.2">
      <c r="M1396" s="149">
        <v>17.25000000000011</v>
      </c>
      <c r="N1396" s="91">
        <v>-3.0989072032719569E-6</v>
      </c>
    </row>
    <row r="1397" spans="13:14" x14ac:dyDescent="0.2">
      <c r="M1397" s="149">
        <v>17.262500000000109</v>
      </c>
      <c r="N1397" s="91">
        <v>-3.1059120639791328E-6</v>
      </c>
    </row>
    <row r="1398" spans="13:14" x14ac:dyDescent="0.2">
      <c r="M1398" s="149">
        <v>17.275000000000112</v>
      </c>
      <c r="N1398" s="91">
        <v>-3.1126389466506739E-6</v>
      </c>
    </row>
    <row r="1399" spans="13:14" x14ac:dyDescent="0.2">
      <c r="M1399" s="149">
        <v>17.287500000000112</v>
      </c>
      <c r="N1399" s="91">
        <v>-3.1190868477437561E-6</v>
      </c>
    </row>
    <row r="1400" spans="13:14" x14ac:dyDescent="0.2">
      <c r="M1400" s="149">
        <v>17.300000000000111</v>
      </c>
      <c r="N1400" s="91">
        <v>-3.1252548046409832E-6</v>
      </c>
    </row>
    <row r="1401" spans="13:14" x14ac:dyDescent="0.2">
      <c r="M1401" s="149">
        <v>17.31250000000011</v>
      </c>
      <c r="N1401" s="91">
        <v>-3.1311418956503849E-6</v>
      </c>
    </row>
    <row r="1402" spans="13:14" x14ac:dyDescent="0.2">
      <c r="M1402" s="149">
        <v>17.325000000000109</v>
      </c>
      <c r="N1402" s="91">
        <v>-3.1367472400054107E-6</v>
      </c>
    </row>
    <row r="1403" spans="13:14" x14ac:dyDescent="0.2">
      <c r="M1403" s="149">
        <v>17.337500000000112</v>
      </c>
      <c r="N1403" s="91">
        <v>-3.1420699978649382E-6</v>
      </c>
    </row>
    <row r="1404" spans="13:14" x14ac:dyDescent="0.2">
      <c r="M1404" s="149">
        <v>17.350000000000112</v>
      </c>
      <c r="N1404" s="91">
        <v>-3.1471093703132728E-6</v>
      </c>
    </row>
    <row r="1405" spans="13:14" x14ac:dyDescent="0.2">
      <c r="M1405" s="149">
        <v>17.362500000000111</v>
      </c>
      <c r="N1405" s="91">
        <v>-3.1518645993601405E-6</v>
      </c>
    </row>
    <row r="1406" spans="13:14" x14ac:dyDescent="0.2">
      <c r="M1406" s="149">
        <v>17.375000000000114</v>
      </c>
      <c r="N1406" s="91">
        <v>-3.1563349679406971E-6</v>
      </c>
    </row>
    <row r="1407" spans="13:14" x14ac:dyDescent="0.2">
      <c r="M1407" s="149">
        <v>17.387500000000113</v>
      </c>
      <c r="N1407" s="91">
        <v>-3.1605197999155206E-6</v>
      </c>
    </row>
    <row r="1408" spans="13:14" x14ac:dyDescent="0.2">
      <c r="M1408" s="149">
        <v>17.400000000000112</v>
      </c>
      <c r="N1408" s="91">
        <v>-3.1644184600706178E-6</v>
      </c>
    </row>
    <row r="1409" spans="13:14" x14ac:dyDescent="0.2">
      <c r="M1409" s="149">
        <v>17.412500000000112</v>
      </c>
      <c r="N1409" s="91">
        <v>-3.1680303541174189E-6</v>
      </c>
    </row>
    <row r="1410" spans="13:14" x14ac:dyDescent="0.2">
      <c r="M1410" s="149">
        <v>17.425000000000111</v>
      </c>
      <c r="N1410" s="91">
        <v>-3.1713549286927775E-6</v>
      </c>
    </row>
    <row r="1411" spans="13:14" x14ac:dyDescent="0.2">
      <c r="M1411" s="149">
        <v>17.437500000000114</v>
      </c>
      <c r="N1411" s="91">
        <v>-3.1743916713589743E-6</v>
      </c>
    </row>
    <row r="1412" spans="13:14" x14ac:dyDescent="0.2">
      <c r="M1412" s="149">
        <v>17.450000000000113</v>
      </c>
      <c r="N1412" s="91">
        <v>-3.177140110603716E-6</v>
      </c>
    </row>
    <row r="1413" spans="13:14" x14ac:dyDescent="0.2">
      <c r="M1413" s="149">
        <v>17.462500000000112</v>
      </c>
      <c r="N1413" s="91">
        <v>-3.179599815840135E-6</v>
      </c>
    </row>
    <row r="1414" spans="13:14" x14ac:dyDescent="0.2">
      <c r="M1414" s="149">
        <v>17.475000000000115</v>
      </c>
      <c r="N1414" s="91">
        <v>-3.18177039740679E-6</v>
      </c>
    </row>
    <row r="1415" spans="13:14" x14ac:dyDescent="0.2">
      <c r="M1415" s="149">
        <v>17.487500000000114</v>
      </c>
      <c r="N1415" s="91">
        <v>-3.1836515065676584E-6</v>
      </c>
    </row>
    <row r="1416" spans="13:14" x14ac:dyDescent="0.2">
      <c r="M1416" s="149">
        <v>17.500000000000114</v>
      </c>
      <c r="N1416" s="91">
        <v>-3.1852428355121518E-6</v>
      </c>
    </row>
    <row r="1417" spans="13:14" x14ac:dyDescent="0.2">
      <c r="M1417" s="149">
        <v>17.512500000000113</v>
      </c>
      <c r="N1417" s="91">
        <v>-3.1865441173551018E-6</v>
      </c>
    </row>
    <row r="1418" spans="13:14" x14ac:dyDescent="0.2">
      <c r="M1418" s="149">
        <v>17.525000000000112</v>
      </c>
      <c r="N1418" s="91">
        <v>-3.1875551261367664E-6</v>
      </c>
    </row>
    <row r="1419" spans="13:14" x14ac:dyDescent="0.2">
      <c r="M1419" s="149">
        <v>17.537500000000115</v>
      </c>
      <c r="N1419" s="91">
        <v>-3.1882756768228314E-6</v>
      </c>
    </row>
    <row r="1420" spans="13:14" x14ac:dyDescent="0.2">
      <c r="M1420" s="149">
        <v>17.550000000000114</v>
      </c>
      <c r="N1420" s="91">
        <v>-3.1887056253044042E-6</v>
      </c>
    </row>
    <row r="1421" spans="13:14" x14ac:dyDescent="0.2">
      <c r="M1421" s="149">
        <v>17.562500000000114</v>
      </c>
      <c r="N1421" s="91">
        <v>-3.188844868398017E-6</v>
      </c>
    </row>
    <row r="1422" spans="13:14" x14ac:dyDescent="0.2">
      <c r="M1422" s="149">
        <v>17.575000000000117</v>
      </c>
      <c r="N1422" s="91">
        <v>-3.1886933438456321E-6</v>
      </c>
    </row>
    <row r="1423" spans="13:14" x14ac:dyDescent="0.2">
      <c r="M1423" s="149">
        <v>17.587500000000116</v>
      </c>
      <c r="N1423" s="91">
        <v>-3.1882510303146385E-6</v>
      </c>
    </row>
    <row r="1424" spans="13:14" x14ac:dyDescent="0.2">
      <c r="M1424" s="149">
        <v>17.600000000000115</v>
      </c>
      <c r="N1424" s="91">
        <v>-3.1875179473978407E-6</v>
      </c>
    </row>
    <row r="1425" spans="13:14" x14ac:dyDescent="0.2">
      <c r="M1425" s="149">
        <v>17.612500000000114</v>
      </c>
      <c r="N1425" s="91">
        <v>-3.1864941556134767E-6</v>
      </c>
    </row>
    <row r="1426" spans="13:14" x14ac:dyDescent="0.2">
      <c r="M1426" s="149">
        <v>17.625000000000114</v>
      </c>
      <c r="N1426" s="91">
        <v>-3.1851797564052081E-6</v>
      </c>
    </row>
    <row r="1427" spans="13:14" x14ac:dyDescent="0.2">
      <c r="M1427" s="149">
        <v>17.637500000000117</v>
      </c>
      <c r="N1427" s="91">
        <v>-3.1835748921421218E-6</v>
      </c>
    </row>
    <row r="1428" spans="13:14" x14ac:dyDescent="0.2">
      <c r="M1428" s="149">
        <v>17.650000000000116</v>
      </c>
      <c r="N1428" s="91">
        <v>-3.1816797461187282E-6</v>
      </c>
    </row>
    <row r="1429" spans="13:14" x14ac:dyDescent="0.2">
      <c r="M1429" s="149">
        <v>17.662500000000115</v>
      </c>
      <c r="N1429" s="91">
        <v>-3.1794945425549672E-6</v>
      </c>
    </row>
    <row r="1430" spans="13:14" x14ac:dyDescent="0.2">
      <c r="M1430" s="149">
        <v>17.675000000000118</v>
      </c>
      <c r="N1430" s="91">
        <v>-3.1770195465962013E-6</v>
      </c>
    </row>
    <row r="1431" spans="13:14" x14ac:dyDescent="0.2">
      <c r="M1431" s="149">
        <v>17.687500000000117</v>
      </c>
      <c r="N1431" s="91">
        <v>-3.1742550643132157E-6</v>
      </c>
    </row>
    <row r="1432" spans="13:14" x14ac:dyDescent="0.2">
      <c r="M1432" s="149">
        <v>17.700000000000117</v>
      </c>
      <c r="N1432" s="91">
        <v>-3.1712014427022265E-6</v>
      </c>
    </row>
    <row r="1433" spans="13:14" x14ac:dyDescent="0.2">
      <c r="M1433" s="149">
        <v>17.712500000000116</v>
      </c>
      <c r="N1433" s="91">
        <v>-3.1678590696848683E-6</v>
      </c>
    </row>
    <row r="1434" spans="13:14" x14ac:dyDescent="0.2">
      <c r="M1434" s="149">
        <v>17.725000000000115</v>
      </c>
      <c r="N1434" s="91">
        <v>-3.1642283741082114E-6</v>
      </c>
    </row>
    <row r="1435" spans="13:14" x14ac:dyDescent="0.2">
      <c r="M1435" s="149">
        <v>17.737500000000118</v>
      </c>
      <c r="N1435" s="91">
        <v>-3.1603098257447436E-6</v>
      </c>
    </row>
    <row r="1436" spans="13:14" x14ac:dyDescent="0.2">
      <c r="M1436" s="149">
        <v>17.750000000000117</v>
      </c>
      <c r="N1436" s="91">
        <v>-3.1561039352923769E-6</v>
      </c>
    </row>
    <row r="1437" spans="13:14" x14ac:dyDescent="0.2">
      <c r="M1437" s="149">
        <v>17.762500000000117</v>
      </c>
      <c r="N1437" s="91">
        <v>-3.1516112543744533E-6</v>
      </c>
    </row>
    <row r="1438" spans="13:14" x14ac:dyDescent="0.2">
      <c r="M1438" s="149">
        <v>17.775000000000119</v>
      </c>
      <c r="N1438" s="91">
        <v>-3.1468323755397378E-6</v>
      </c>
    </row>
    <row r="1439" spans="13:14" x14ac:dyDescent="0.2">
      <c r="M1439" s="149">
        <v>17.787500000000119</v>
      </c>
      <c r="N1439" s="91">
        <v>-3.1417679322624242E-6</v>
      </c>
    </row>
    <row r="1440" spans="13:14" x14ac:dyDescent="0.2">
      <c r="M1440" s="149">
        <v>17.800000000000118</v>
      </c>
      <c r="N1440" s="91">
        <v>-3.1364185989421264E-6</v>
      </c>
    </row>
    <row r="1441" spans="13:14" x14ac:dyDescent="0.2">
      <c r="M1441" s="149">
        <v>17.812500000000117</v>
      </c>
      <c r="N1441" s="91">
        <v>-3.1307850909038842E-6</v>
      </c>
    </row>
    <row r="1442" spans="13:14" x14ac:dyDescent="0.2">
      <c r="M1442" s="149">
        <v>17.825000000000117</v>
      </c>
      <c r="N1442" s="91">
        <v>-3.1248681643981725E-6</v>
      </c>
    </row>
    <row r="1443" spans="13:14" x14ac:dyDescent="0.2">
      <c r="M1443" s="149">
        <v>17.837500000000119</v>
      </c>
      <c r="N1443" s="91">
        <v>-3.1186686166008724E-6</v>
      </c>
    </row>
    <row r="1444" spans="13:14" x14ac:dyDescent="0.2">
      <c r="M1444" s="149">
        <v>17.850000000000119</v>
      </c>
      <c r="N1444" s="91">
        <v>-3.1121872856133103E-6</v>
      </c>
    </row>
    <row r="1445" spans="13:14" x14ac:dyDescent="0.2">
      <c r="M1445" s="149">
        <v>17.862500000000118</v>
      </c>
      <c r="N1445" s="91">
        <v>-3.1054250504622297E-6</v>
      </c>
    </row>
    <row r="1446" spans="13:14" x14ac:dyDescent="0.2">
      <c r="M1446" s="149">
        <v>17.875000000000121</v>
      </c>
      <c r="N1446" s="91">
        <v>-3.0983828310997897E-6</v>
      </c>
    </row>
    <row r="1447" spans="13:14" x14ac:dyDescent="0.2">
      <c r="M1447" s="149">
        <v>17.88750000000012</v>
      </c>
      <c r="N1447" s="91">
        <v>-3.0910615884035959E-6</v>
      </c>
    </row>
    <row r="1448" spans="13:14" x14ac:dyDescent="0.2">
      <c r="M1448" s="149">
        <v>17.900000000000119</v>
      </c>
      <c r="N1448" s="91">
        <v>-3.0834623241766571E-6</v>
      </c>
    </row>
    <row r="1449" spans="13:14" x14ac:dyDescent="0.2">
      <c r="M1449" s="149">
        <v>17.912500000000119</v>
      </c>
      <c r="N1449" s="91">
        <v>-3.0755860811474253E-6</v>
      </c>
    </row>
    <row r="1450" spans="13:14" x14ac:dyDescent="0.2">
      <c r="M1450" s="149">
        <v>17.925000000000118</v>
      </c>
      <c r="N1450" s="91">
        <v>-3.0674339429697682E-6</v>
      </c>
    </row>
    <row r="1451" spans="13:14" x14ac:dyDescent="0.2">
      <c r="M1451" s="149">
        <v>17.937500000000121</v>
      </c>
      <c r="N1451" s="91">
        <v>-3.0590070342229807E-6</v>
      </c>
    </row>
    <row r="1452" spans="13:14" x14ac:dyDescent="0.2">
      <c r="M1452" s="149">
        <v>17.95000000000012</v>
      </c>
      <c r="N1452" s="91">
        <v>-3.0503065204117878E-6</v>
      </c>
    </row>
    <row r="1453" spans="13:14" x14ac:dyDescent="0.2">
      <c r="M1453" s="149">
        <v>17.962500000000119</v>
      </c>
      <c r="N1453" s="91">
        <v>-3.0413336079663249E-6</v>
      </c>
    </row>
    <row r="1454" spans="13:14" x14ac:dyDescent="0.2">
      <c r="M1454" s="149">
        <v>17.975000000000122</v>
      </c>
      <c r="N1454" s="91">
        <v>-3.0320895442421764E-6</v>
      </c>
    </row>
    <row r="1455" spans="13:14" x14ac:dyDescent="0.2">
      <c r="M1455" s="149">
        <v>17.987500000000122</v>
      </c>
      <c r="N1455" s="91">
        <v>-3.0225756175203269E-6</v>
      </c>
    </row>
    <row r="1456" spans="13:14" x14ac:dyDescent="0.2">
      <c r="M1456" s="149">
        <v>18.000000000000121</v>
      </c>
      <c r="N1456" s="91">
        <v>-3.012793157007211E-6</v>
      </c>
    </row>
    <row r="1457" spans="13:14" x14ac:dyDescent="0.2">
      <c r="M1457" s="149">
        <v>18.01250000000012</v>
      </c>
      <c r="N1457" s="91">
        <v>-3.0027435328346646E-6</v>
      </c>
    </row>
    <row r="1458" spans="13:14" x14ac:dyDescent="0.2">
      <c r="M1458" s="149">
        <v>18.025000000000119</v>
      </c>
      <c r="N1458" s="91">
        <v>-2.9924281560599699E-6</v>
      </c>
    </row>
    <row r="1459" spans="13:14" x14ac:dyDescent="0.2">
      <c r="M1459" s="149">
        <v>18.037500000000122</v>
      </c>
      <c r="N1459" s="91">
        <v>-2.9818484786658177E-6</v>
      </c>
    </row>
    <row r="1460" spans="13:14" x14ac:dyDescent="0.2">
      <c r="M1460" s="149">
        <v>18.050000000000122</v>
      </c>
      <c r="N1460" s="91">
        <v>-2.9710059935603348E-6</v>
      </c>
    </row>
    <row r="1461" spans="13:14" x14ac:dyDescent="0.2">
      <c r="M1461" s="149">
        <v>18.062500000000121</v>
      </c>
      <c r="N1461" s="91">
        <v>-2.9599022345770743E-6</v>
      </c>
    </row>
    <row r="1462" spans="13:14" x14ac:dyDescent="0.2">
      <c r="M1462" s="149">
        <v>18.075000000000124</v>
      </c>
      <c r="N1462" s="91">
        <v>-2.9485387764750015E-6</v>
      </c>
    </row>
    <row r="1463" spans="13:14" x14ac:dyDescent="0.2">
      <c r="M1463" s="149">
        <v>18.087500000000123</v>
      </c>
      <c r="N1463" s="91">
        <v>-2.9369172349385225E-6</v>
      </c>
    </row>
    <row r="1464" spans="13:14" x14ac:dyDescent="0.2">
      <c r="M1464" s="149">
        <v>18.100000000000122</v>
      </c>
      <c r="N1464" s="91">
        <v>-2.9250392665774625E-6</v>
      </c>
    </row>
    <row r="1465" spans="13:14" x14ac:dyDescent="0.2">
      <c r="M1465" s="149">
        <v>18.112500000000122</v>
      </c>
      <c r="N1465" s="91">
        <v>-2.9129065689270706E-6</v>
      </c>
    </row>
    <row r="1466" spans="13:14" x14ac:dyDescent="0.2">
      <c r="M1466" s="149">
        <v>18.125000000000121</v>
      </c>
      <c r="N1466" s="91">
        <v>-2.9005208804480219E-6</v>
      </c>
    </row>
    <row r="1467" spans="13:14" x14ac:dyDescent="0.2">
      <c r="M1467" s="149">
        <v>18.137500000000124</v>
      </c>
      <c r="N1467" s="91">
        <v>-2.8878839805264168E-6</v>
      </c>
    </row>
    <row r="1468" spans="13:14" x14ac:dyDescent="0.2">
      <c r="M1468" s="149">
        <v>18.150000000000123</v>
      </c>
      <c r="N1468" s="91">
        <v>-2.8749976894737841E-6</v>
      </c>
    </row>
    <row r="1469" spans="13:14" x14ac:dyDescent="0.2">
      <c r="M1469" s="149">
        <v>18.162500000000122</v>
      </c>
      <c r="N1469" s="91">
        <v>-2.8618638685270784E-6</v>
      </c>
    </row>
    <row r="1470" spans="13:14" x14ac:dyDescent="0.2">
      <c r="M1470" s="149">
        <v>18.175000000000125</v>
      </c>
      <c r="N1470" s="91">
        <v>-2.8484844198486633E-6</v>
      </c>
    </row>
    <row r="1471" spans="13:14" x14ac:dyDescent="0.2">
      <c r="M1471" s="149">
        <v>18.187500000000124</v>
      </c>
      <c r="N1471" s="91">
        <v>-2.8348612865263561E-6</v>
      </c>
    </row>
    <row r="1472" spans="13:14" x14ac:dyDescent="0.2">
      <c r="M1472" s="149">
        <v>18.200000000000124</v>
      </c>
      <c r="N1472" s="91">
        <v>-2.8209964525733816E-6</v>
      </c>
    </row>
    <row r="1473" spans="13:14" x14ac:dyDescent="0.2">
      <c r="M1473" s="149">
        <v>18.212500000000123</v>
      </c>
      <c r="N1473" s="91">
        <v>-2.8068919429283896E-6</v>
      </c>
    </row>
    <row r="1474" spans="13:14" x14ac:dyDescent="0.2">
      <c r="M1474" s="149">
        <v>18.225000000000122</v>
      </c>
      <c r="N1474" s="91">
        <v>-2.7925498234554661E-6</v>
      </c>
    </row>
    <row r="1475" spans="13:14" x14ac:dyDescent="0.2">
      <c r="M1475" s="149">
        <v>18.237500000000125</v>
      </c>
      <c r="N1475" s="91">
        <v>-2.7779722009441036E-6</v>
      </c>
    </row>
    <row r="1476" spans="13:14" x14ac:dyDescent="0.2">
      <c r="M1476" s="149">
        <v>18.250000000000124</v>
      </c>
      <c r="N1476" s="91">
        <v>-2.7631612231092394E-6</v>
      </c>
    </row>
    <row r="1477" spans="13:14" x14ac:dyDescent="0.2">
      <c r="M1477" s="149">
        <v>18.262500000000124</v>
      </c>
      <c r="N1477" s="91">
        <v>-2.7481190785912243E-6</v>
      </c>
    </row>
    <row r="1478" spans="13:14" x14ac:dyDescent="0.2">
      <c r="M1478" s="149">
        <v>18.275000000000126</v>
      </c>
      <c r="N1478" s="91">
        <v>-2.7328479969558432E-6</v>
      </c>
    </row>
    <row r="1479" spans="13:14" x14ac:dyDescent="0.2">
      <c r="M1479" s="149">
        <v>18.287500000000126</v>
      </c>
      <c r="N1479" s="91">
        <v>-2.7173502486942955E-6</v>
      </c>
    </row>
    <row r="1480" spans="13:14" x14ac:dyDescent="0.2">
      <c r="M1480" s="149">
        <v>18.300000000000125</v>
      </c>
      <c r="N1480" s="91">
        <v>-2.7016281452232161E-6</v>
      </c>
    </row>
    <row r="1481" spans="13:14" x14ac:dyDescent="0.2">
      <c r="M1481" s="149">
        <v>18.312500000000124</v>
      </c>
      <c r="N1481" s="91">
        <v>-2.6856840388846606E-6</v>
      </c>
    </row>
    <row r="1482" spans="13:14" x14ac:dyDescent="0.2">
      <c r="M1482" s="149">
        <v>18.325000000000124</v>
      </c>
      <c r="N1482" s="91">
        <v>-2.6695203229461085E-6</v>
      </c>
    </row>
    <row r="1483" spans="13:14" x14ac:dyDescent="0.2">
      <c r="M1483" s="149">
        <v>18.337500000000126</v>
      </c>
      <c r="N1483" s="91">
        <v>-2.6531394316004765E-6</v>
      </c>
    </row>
    <row r="1484" spans="13:14" x14ac:dyDescent="0.2">
      <c r="M1484" s="149">
        <v>18.350000000000126</v>
      </c>
      <c r="N1484" s="91">
        <v>-2.6365438399660817E-6</v>
      </c>
    </row>
    <row r="1485" spans="13:14" x14ac:dyDescent="0.2">
      <c r="M1485" s="149">
        <v>18.362500000000125</v>
      </c>
      <c r="N1485" s="91">
        <v>-2.6197360640866934E-6</v>
      </c>
    </row>
    <row r="1486" spans="13:14" x14ac:dyDescent="0.2">
      <c r="M1486" s="149">
        <v>18.375000000000128</v>
      </c>
      <c r="N1486" s="91">
        <v>-2.6027186609314902E-6</v>
      </c>
    </row>
    <row r="1487" spans="13:14" x14ac:dyDescent="0.2">
      <c r="M1487" s="149">
        <v>18.387500000000127</v>
      </c>
      <c r="N1487" s="91">
        <v>-2.5854942283950793E-6</v>
      </c>
    </row>
    <row r="1488" spans="13:14" x14ac:dyDescent="0.2">
      <c r="M1488" s="149">
        <v>18.400000000000126</v>
      </c>
      <c r="N1488" s="91">
        <v>-2.568065405297493E-6</v>
      </c>
    </row>
    <row r="1489" spans="13:14" x14ac:dyDescent="0.2">
      <c r="M1489" s="149">
        <v>18.412500000000126</v>
      </c>
      <c r="N1489" s="91">
        <v>-2.5504348713841986E-6</v>
      </c>
    </row>
    <row r="1490" spans="13:14" x14ac:dyDescent="0.2">
      <c r="M1490" s="149">
        <v>18.425000000000125</v>
      </c>
      <c r="N1490" s="91">
        <v>-2.5326053473260748E-6</v>
      </c>
    </row>
    <row r="1491" spans="13:14" x14ac:dyDescent="0.2">
      <c r="M1491" s="149">
        <v>18.437500000000128</v>
      </c>
      <c r="N1491" s="91">
        <v>-2.5145795947194269E-6</v>
      </c>
    </row>
    <row r="1492" spans="13:14" x14ac:dyDescent="0.2">
      <c r="M1492" s="149">
        <v>18.450000000000127</v>
      </c>
      <c r="N1492" s="91">
        <v>-2.4963604160859962E-6</v>
      </c>
    </row>
    <row r="1493" spans="13:14" x14ac:dyDescent="0.2">
      <c r="M1493" s="149">
        <v>18.462500000000126</v>
      </c>
      <c r="N1493" s="91">
        <v>-2.4779506548729506E-6</v>
      </c>
    </row>
    <row r="1494" spans="13:14" x14ac:dyDescent="0.2">
      <c r="M1494" s="149">
        <v>18.475000000000129</v>
      </c>
      <c r="N1494" s="91">
        <v>-2.4593531954528609E-6</v>
      </c>
    </row>
    <row r="1495" spans="13:14" x14ac:dyDescent="0.2">
      <c r="M1495" s="149">
        <v>18.487500000000129</v>
      </c>
      <c r="N1495" s="91">
        <v>-2.4405709631237441E-6</v>
      </c>
    </row>
    <row r="1496" spans="13:14" x14ac:dyDescent="0.2">
      <c r="M1496" s="149">
        <v>18.500000000000128</v>
      </c>
      <c r="N1496" s="91">
        <v>-2.4216069241090368E-6</v>
      </c>
    </row>
    <row r="1497" spans="13:14" x14ac:dyDescent="0.2">
      <c r="M1497" s="149">
        <v>18.512500000000127</v>
      </c>
      <c r="N1497" s="91">
        <v>-2.4024640855576064E-6</v>
      </c>
    </row>
    <row r="1498" spans="13:14" x14ac:dyDescent="0.2">
      <c r="M1498" s="149">
        <v>18.525000000000126</v>
      </c>
      <c r="N1498" s="91">
        <v>-2.3831454955437321E-6</v>
      </c>
    </row>
    <row r="1499" spans="13:14" x14ac:dyDescent="0.2">
      <c r="M1499" s="149">
        <v>18.537500000000129</v>
      </c>
      <c r="N1499" s="91">
        <v>-2.3636542430671342E-6</v>
      </c>
    </row>
    <row r="1500" spans="13:14" x14ac:dyDescent="0.2">
      <c r="M1500" s="149">
        <v>18.550000000000129</v>
      </c>
      <c r="N1500" s="91">
        <v>-2.3439934580529418E-6</v>
      </c>
    </row>
    <row r="1501" spans="13:14" x14ac:dyDescent="0.2">
      <c r="M1501" s="149">
        <v>18.562500000000128</v>
      </c>
      <c r="N1501" s="91">
        <v>-2.3241663113517355E-6</v>
      </c>
    </row>
    <row r="1502" spans="13:14" x14ac:dyDescent="0.2">
      <c r="M1502" s="149">
        <v>18.575000000000131</v>
      </c>
      <c r="N1502" s="91">
        <v>-2.3041760147394821E-6</v>
      </c>
    </row>
    <row r="1503" spans="13:14" x14ac:dyDescent="0.2">
      <c r="M1503" s="149">
        <v>18.58750000000013</v>
      </c>
      <c r="N1503" s="91">
        <v>-2.2840258209176062E-6</v>
      </c>
    </row>
    <row r="1504" spans="13:14" x14ac:dyDescent="0.2">
      <c r="M1504" s="149">
        <v>18.600000000000129</v>
      </c>
      <c r="N1504" s="91">
        <v>-2.2637190235129497E-6</v>
      </c>
    </row>
    <row r="1505" spans="13:14" x14ac:dyDescent="0.2">
      <c r="M1505" s="149">
        <v>18.612500000000129</v>
      </c>
      <c r="N1505" s="91">
        <v>-2.2432589570777757E-6</v>
      </c>
    </row>
    <row r="1506" spans="13:14" x14ac:dyDescent="0.2">
      <c r="M1506" s="149">
        <v>18.625000000000128</v>
      </c>
      <c r="N1506" s="91">
        <v>-2.2226489970897693E-6</v>
      </c>
    </row>
    <row r="1507" spans="13:14" x14ac:dyDescent="0.2">
      <c r="M1507" s="149">
        <v>18.637500000000131</v>
      </c>
      <c r="N1507" s="91">
        <v>-2.201892559952056E-6</v>
      </c>
    </row>
    <row r="1508" spans="13:14" x14ac:dyDescent="0.2">
      <c r="M1508" s="149">
        <v>18.65000000000013</v>
      </c>
      <c r="N1508" s="91">
        <v>-2.1809931029931725E-6</v>
      </c>
    </row>
    <row r="1509" spans="13:14" x14ac:dyDescent="0.2">
      <c r="M1509" s="149">
        <v>18.662500000000129</v>
      </c>
      <c r="N1509" s="91">
        <v>-2.1599541244670786E-6</v>
      </c>
    </row>
    <row r="1510" spans="13:14" x14ac:dyDescent="0.2">
      <c r="M1510" s="149">
        <v>18.675000000000132</v>
      </c>
      <c r="N1510" s="91">
        <v>-2.1387791635531753E-6</v>
      </c>
    </row>
    <row r="1511" spans="13:14" x14ac:dyDescent="0.2">
      <c r="M1511" s="149">
        <v>18.687500000000131</v>
      </c>
      <c r="N1511" s="91">
        <v>-2.1174718003562759E-6</v>
      </c>
    </row>
    <row r="1512" spans="13:14" x14ac:dyDescent="0.2">
      <c r="M1512" s="149">
        <v>18.700000000000131</v>
      </c>
      <c r="N1512" s="91">
        <v>-2.0960356559066194E-6</v>
      </c>
    </row>
    <row r="1513" spans="13:14" x14ac:dyDescent="0.2">
      <c r="M1513" s="149">
        <v>18.71250000000013</v>
      </c>
      <c r="N1513" s="91">
        <v>-2.074474392159875E-6</v>
      </c>
    </row>
    <row r="1514" spans="13:14" x14ac:dyDescent="0.2">
      <c r="M1514" s="149">
        <v>18.725000000000129</v>
      </c>
      <c r="N1514" s="91">
        <v>-2.0527917119971494E-6</v>
      </c>
    </row>
    <row r="1515" spans="13:14" x14ac:dyDescent="0.2">
      <c r="M1515" s="149">
        <v>18.737500000000132</v>
      </c>
      <c r="N1515" s="91">
        <v>-2.0309913592249413E-6</v>
      </c>
    </row>
    <row r="1516" spans="13:14" x14ac:dyDescent="0.2">
      <c r="M1516" s="149">
        <v>18.750000000000131</v>
      </c>
      <c r="N1516" s="91">
        <v>-2.0090771185752012E-6</v>
      </c>
    </row>
    <row r="1517" spans="13:14" x14ac:dyDescent="0.2">
      <c r="M1517" s="149">
        <v>18.762500000000131</v>
      </c>
      <c r="N1517" s="91">
        <v>-1.9870528157053062E-6</v>
      </c>
    </row>
    <row r="1518" spans="13:14" x14ac:dyDescent="0.2">
      <c r="M1518" s="149">
        <v>18.775000000000134</v>
      </c>
      <c r="N1518" s="91">
        <v>-1.9649223171980354E-6</v>
      </c>
    </row>
    <row r="1519" spans="13:14" x14ac:dyDescent="0.2">
      <c r="M1519" s="149">
        <v>18.787500000000133</v>
      </c>
      <c r="N1519" s="91">
        <v>-1.9426895305616269E-6</v>
      </c>
    </row>
    <row r="1520" spans="13:14" x14ac:dyDescent="0.2">
      <c r="M1520" s="149">
        <v>18.800000000000132</v>
      </c>
      <c r="N1520" s="91">
        <v>-1.9203584042297193E-6</v>
      </c>
    </row>
    <row r="1521" spans="13:14" x14ac:dyDescent="0.2">
      <c r="M1521" s="149">
        <v>18.812500000000131</v>
      </c>
      <c r="N1521" s="91">
        <v>-1.8979329275613759E-6</v>
      </c>
    </row>
    <row r="1522" spans="13:14" x14ac:dyDescent="0.2">
      <c r="M1522" s="149">
        <v>18.825000000000131</v>
      </c>
      <c r="N1522" s="91">
        <v>-1.8754171308410944E-6</v>
      </c>
    </row>
    <row r="1523" spans="13:14" x14ac:dyDescent="0.2">
      <c r="M1523" s="149">
        <v>18.837500000000134</v>
      </c>
      <c r="N1523" s="91">
        <v>-1.8528150852788105E-6</v>
      </c>
    </row>
    <row r="1524" spans="13:14" x14ac:dyDescent="0.2">
      <c r="M1524" s="149">
        <v>18.850000000000133</v>
      </c>
      <c r="N1524" s="91">
        <v>-1.8301309030098536E-6</v>
      </c>
    </row>
    <row r="1525" spans="13:14" x14ac:dyDescent="0.2">
      <c r="M1525" s="149">
        <v>18.862500000000132</v>
      </c>
      <c r="N1525" s="91">
        <v>-1.8073687370950039E-6</v>
      </c>
    </row>
    <row r="1526" spans="13:14" x14ac:dyDescent="0.2">
      <c r="M1526" s="149">
        <v>18.875000000000135</v>
      </c>
      <c r="N1526" s="91">
        <v>-1.7845327815204584E-6</v>
      </c>
    </row>
    <row r="1527" spans="13:14" x14ac:dyDescent="0.2">
      <c r="M1527" s="149">
        <v>18.887500000000134</v>
      </c>
      <c r="N1527" s="91">
        <v>-1.7616272711978437E-6</v>
      </c>
    </row>
    <row r="1528" spans="13:14" x14ac:dyDescent="0.2">
      <c r="M1528" s="149">
        <v>18.900000000000134</v>
      </c>
      <c r="N1528" s="91">
        <v>-1.738656481964199E-6</v>
      </c>
    </row>
    <row r="1529" spans="13:14" x14ac:dyDescent="0.2">
      <c r="M1529" s="149">
        <v>18.912500000000133</v>
      </c>
      <c r="N1529" s="91">
        <v>-1.7156247305819989E-6</v>
      </c>
    </row>
    <row r="1530" spans="13:14" x14ac:dyDescent="0.2">
      <c r="M1530" s="149">
        <v>18.925000000000132</v>
      </c>
      <c r="N1530" s="91">
        <v>-1.6925363747391564E-6</v>
      </c>
    </row>
    <row r="1531" spans="13:14" x14ac:dyDescent="0.2">
      <c r="M1531" s="149">
        <v>18.937500000000135</v>
      </c>
      <c r="N1531" s="91">
        <v>-1.6693958130489814E-6</v>
      </c>
    </row>
    <row r="1532" spans="13:14" x14ac:dyDescent="0.2">
      <c r="M1532" s="149">
        <v>18.950000000000134</v>
      </c>
      <c r="N1532" s="91">
        <v>-1.6462074850502256E-6</v>
      </c>
    </row>
    <row r="1533" spans="13:14" x14ac:dyDescent="0.2">
      <c r="M1533" s="149">
        <v>18.962500000000134</v>
      </c>
      <c r="N1533" s="91">
        <v>-1.6229758712070701E-6</v>
      </c>
    </row>
    <row r="1534" spans="13:14" x14ac:dyDescent="0.2">
      <c r="M1534" s="149">
        <v>18.975000000000136</v>
      </c>
      <c r="N1534" s="91">
        <v>-1.5997054929091125E-6</v>
      </c>
    </row>
    <row r="1535" spans="13:14" x14ac:dyDescent="0.2">
      <c r="M1535" s="149">
        <v>18.987500000000136</v>
      </c>
      <c r="N1535" s="91">
        <v>-1.5764009124713732E-6</v>
      </c>
    </row>
    <row r="1536" spans="13:14" x14ac:dyDescent="0.2">
      <c r="M1536" s="149">
        <v>19.000000000000135</v>
      </c>
      <c r="N1536" s="91">
        <v>-1.5530667331343089E-6</v>
      </c>
    </row>
    <row r="1537" spans="13:14" x14ac:dyDescent="0.2">
      <c r="M1537" s="149">
        <v>19.012500000000134</v>
      </c>
      <c r="N1537" s="91">
        <v>-1.5297075990637988E-6</v>
      </c>
    </row>
    <row r="1538" spans="13:14" x14ac:dyDescent="0.2">
      <c r="M1538" s="149">
        <v>19.025000000000134</v>
      </c>
      <c r="N1538" s="91">
        <v>-1.506328195351136E-6</v>
      </c>
    </row>
    <row r="1539" spans="13:14" x14ac:dyDescent="0.2">
      <c r="M1539" s="149">
        <v>19.037500000000136</v>
      </c>
      <c r="N1539" s="91">
        <v>-1.4829332480130565E-6</v>
      </c>
    </row>
    <row r="1540" spans="13:14" x14ac:dyDescent="0.2">
      <c r="M1540" s="149">
        <v>19.050000000000136</v>
      </c>
      <c r="N1540" s="91">
        <v>-1.459527523991708E-6</v>
      </c>
    </row>
    <row r="1541" spans="13:14" x14ac:dyDescent="0.2">
      <c r="M1541" s="149">
        <v>19.062500000000135</v>
      </c>
      <c r="N1541" s="91">
        <v>-1.436115831154664E-6</v>
      </c>
    </row>
    <row r="1542" spans="13:14" x14ac:dyDescent="0.2">
      <c r="M1542" s="149">
        <v>19.075000000000138</v>
      </c>
      <c r="N1542" s="91">
        <v>-1.4127030182949419E-6</v>
      </c>
    </row>
    <row r="1543" spans="13:14" x14ac:dyDescent="0.2">
      <c r="M1543" s="149">
        <v>19.087500000000137</v>
      </c>
      <c r="N1543" s="91">
        <v>-1.38929397513096E-6</v>
      </c>
    </row>
    <row r="1544" spans="13:14" x14ac:dyDescent="0.2">
      <c r="M1544" s="149">
        <v>19.100000000000136</v>
      </c>
      <c r="N1544" s="91">
        <v>-1.3658936323065682E-6</v>
      </c>
    </row>
    <row r="1545" spans="13:14" x14ac:dyDescent="0.2">
      <c r="M1545" s="149">
        <v>19.112500000000136</v>
      </c>
      <c r="N1545" s="91">
        <v>-1.3425069613910592E-6</v>
      </c>
    </row>
    <row r="1546" spans="13:14" x14ac:dyDescent="0.2">
      <c r="M1546" s="149">
        <v>19.125000000000135</v>
      </c>
      <c r="N1546" s="91">
        <v>-1.3191389748791399E-6</v>
      </c>
    </row>
    <row r="1547" spans="13:14" x14ac:dyDescent="0.2">
      <c r="M1547" s="149">
        <v>19.137500000000138</v>
      </c>
      <c r="N1547" s="91">
        <v>-1.2957947261909099E-6</v>
      </c>
    </row>
    <row r="1548" spans="13:14" x14ac:dyDescent="0.2">
      <c r="M1548" s="149">
        <v>19.150000000000137</v>
      </c>
      <c r="N1548" s="91">
        <v>-1.2724793096719638E-6</v>
      </c>
    </row>
    <row r="1549" spans="13:14" x14ac:dyDescent="0.2">
      <c r="M1549" s="149">
        <v>19.162500000000136</v>
      </c>
      <c r="N1549" s="91">
        <v>-1.2491978605932561E-6</v>
      </c>
    </row>
    <row r="1550" spans="13:14" x14ac:dyDescent="0.2">
      <c r="M1550" s="149">
        <v>19.175000000000139</v>
      </c>
      <c r="N1550" s="91">
        <v>-1.2259555551512071E-6</v>
      </c>
    </row>
    <row r="1551" spans="13:14" x14ac:dyDescent="0.2">
      <c r="M1551" s="149">
        <v>19.187500000000139</v>
      </c>
      <c r="N1551" s="91">
        <v>-1.2027576104676373E-6</v>
      </c>
    </row>
    <row r="1552" spans="13:14" x14ac:dyDescent="0.2">
      <c r="M1552" s="149">
        <v>19.200000000000138</v>
      </c>
      <c r="N1552" s="91">
        <v>-1.1796092845898086E-6</v>
      </c>
    </row>
    <row r="1553" spans="13:14" x14ac:dyDescent="0.2">
      <c r="M1553" s="149">
        <v>19.212500000000137</v>
      </c>
      <c r="N1553" s="91">
        <v>-1.1565158764904129E-6</v>
      </c>
    </row>
    <row r="1554" spans="13:14" x14ac:dyDescent="0.2">
      <c r="M1554" s="149">
        <v>19.225000000000136</v>
      </c>
      <c r="N1554" s="91">
        <v>-1.1334827260675274E-6</v>
      </c>
    </row>
    <row r="1555" spans="13:14" x14ac:dyDescent="0.2">
      <c r="M1555" s="149">
        <v>19.237500000000139</v>
      </c>
      <c r="N1555" s="91">
        <v>-1.1105152141447225E-6</v>
      </c>
    </row>
    <row r="1556" spans="13:14" x14ac:dyDescent="0.2">
      <c r="M1556" s="149">
        <v>19.250000000000139</v>
      </c>
      <c r="N1556" s="91">
        <v>-1.0876187624709423E-6</v>
      </c>
    </row>
    <row r="1557" spans="13:14" x14ac:dyDescent="0.2">
      <c r="M1557" s="149">
        <v>19.262500000000138</v>
      </c>
      <c r="N1557" s="91">
        <v>-1.0647988337205744E-6</v>
      </c>
    </row>
    <row r="1558" spans="13:14" x14ac:dyDescent="0.2">
      <c r="M1558" s="149">
        <v>19.275000000000141</v>
      </c>
      <c r="N1558" s="91">
        <v>-1.0420609314934147E-6</v>
      </c>
    </row>
    <row r="1559" spans="13:14" x14ac:dyDescent="0.2">
      <c r="M1559" s="149">
        <v>19.28750000000014</v>
      </c>
      <c r="N1559" s="91">
        <v>-1.0194106003147096E-6</v>
      </c>
    </row>
    <row r="1560" spans="13:14" x14ac:dyDescent="0.2">
      <c r="M1560" s="149">
        <v>19.300000000000139</v>
      </c>
      <c r="N1560" s="91">
        <v>-9.9685342563510982E-7</v>
      </c>
    </row>
    <row r="1561" spans="13:14" x14ac:dyDescent="0.2">
      <c r="M1561" s="149">
        <v>19.312500000000139</v>
      </c>
      <c r="N1561" s="91">
        <v>-9.7439503383069794E-7</v>
      </c>
    </row>
    <row r="1562" spans="13:14" x14ac:dyDescent="0.2">
      <c r="M1562" s="149">
        <v>19.325000000000138</v>
      </c>
      <c r="N1562" s="91">
        <v>-9.5204109220299752E-7</v>
      </c>
    </row>
    <row r="1563" spans="13:14" x14ac:dyDescent="0.2">
      <c r="M1563" s="149">
        <v>19.337500000000141</v>
      </c>
      <c r="N1563" s="91">
        <v>-9.2979730897894631E-7</v>
      </c>
    </row>
    <row r="1564" spans="13:14" x14ac:dyDescent="0.2">
      <c r="M1564" s="149">
        <v>19.35000000000014</v>
      </c>
      <c r="N1564" s="91">
        <v>-9.0766943331090036E-7</v>
      </c>
    </row>
    <row r="1565" spans="13:14" x14ac:dyDescent="0.2">
      <c r="M1565" s="149">
        <v>19.362500000000139</v>
      </c>
      <c r="N1565" s="91">
        <v>-8.8566325527662916E-7</v>
      </c>
    </row>
    <row r="1566" spans="13:14" x14ac:dyDescent="0.2">
      <c r="M1566" s="149">
        <v>19.375000000000142</v>
      </c>
      <c r="N1566" s="91">
        <v>-8.6378460587937388E-7</v>
      </c>
    </row>
    <row r="1567" spans="13:14" x14ac:dyDescent="0.2">
      <c r="M1567" s="149">
        <v>19.387500000000141</v>
      </c>
      <c r="N1567" s="91">
        <v>-8.4203935704776523E-7</v>
      </c>
    </row>
    <row r="1568" spans="13:14" x14ac:dyDescent="0.2">
      <c r="M1568" s="149">
        <v>19.400000000000141</v>
      </c>
      <c r="N1568" s="91">
        <v>-8.2043342163584118E-7</v>
      </c>
    </row>
    <row r="1569" spans="13:14" x14ac:dyDescent="0.2">
      <c r="M1569" s="149">
        <v>19.41250000000014</v>
      </c>
      <c r="N1569" s="91">
        <v>-7.9897275342312085E-7</v>
      </c>
    </row>
    <row r="1570" spans="13:14" x14ac:dyDescent="0.2">
      <c r="M1570" s="149">
        <v>19.425000000000139</v>
      </c>
      <c r="N1570" s="91">
        <v>-7.7766334711450203E-7</v>
      </c>
    </row>
    <row r="1571" spans="13:14" x14ac:dyDescent="0.2">
      <c r="M1571" s="149">
        <v>19.437500000000142</v>
      </c>
      <c r="N1571" s="91">
        <v>-7.5651123834031145E-7</v>
      </c>
    </row>
    <row r="1572" spans="13:14" x14ac:dyDescent="0.2">
      <c r="M1572" s="149">
        <v>19.450000000000141</v>
      </c>
      <c r="N1572" s="91">
        <v>-7.3552250365633702E-7</v>
      </c>
    </row>
    <row r="1573" spans="13:14" x14ac:dyDescent="0.2">
      <c r="M1573" s="149">
        <v>19.462500000000141</v>
      </c>
      <c r="N1573" s="91">
        <v>-7.1470326054376475E-7</v>
      </c>
    </row>
    <row r="1574" spans="13:14" x14ac:dyDescent="0.2">
      <c r="M1574" s="149">
        <v>19.475000000000144</v>
      </c>
      <c r="N1574" s="91">
        <v>-6.9405966740921026E-7</v>
      </c>
    </row>
    <row r="1575" spans="13:14" x14ac:dyDescent="0.2">
      <c r="M1575" s="149">
        <v>19.487500000000143</v>
      </c>
      <c r="N1575" s="91">
        <v>-6.7359792358469645E-7</v>
      </c>
    </row>
    <row r="1576" spans="13:14" x14ac:dyDescent="0.2">
      <c r="M1576" s="149">
        <v>19.500000000000142</v>
      </c>
      <c r="N1576" s="91">
        <v>-6.5332426932769831E-7</v>
      </c>
    </row>
    <row r="1577" spans="13:14" x14ac:dyDescent="0.2">
      <c r="M1577" s="149">
        <v>19.512500000000141</v>
      </c>
      <c r="N1577" s="91">
        <v>-6.3324498582111761E-7</v>
      </c>
    </row>
    <row r="1578" spans="13:14" x14ac:dyDescent="0.2">
      <c r="M1578" s="149">
        <v>19.525000000000141</v>
      </c>
      <c r="N1578" s="91">
        <v>-6.1336639517325666E-7</v>
      </c>
    </row>
    <row r="1579" spans="13:14" x14ac:dyDescent="0.2">
      <c r="M1579" s="149">
        <v>19.537500000000144</v>
      </c>
      <c r="N1579" s="91">
        <v>-5.9369486041785397E-7</v>
      </c>
    </row>
    <row r="1580" spans="13:14" x14ac:dyDescent="0.2">
      <c r="M1580" s="149">
        <v>19.550000000000143</v>
      </c>
      <c r="N1580" s="91">
        <v>-5.7423678551409095E-7</v>
      </c>
    </row>
    <row r="1581" spans="13:14" x14ac:dyDescent="0.2">
      <c r="M1581" s="149">
        <v>19.562500000000142</v>
      </c>
      <c r="N1581" s="91">
        <v>-5.5499861534655595E-7</v>
      </c>
    </row>
    <row r="1582" spans="13:14" x14ac:dyDescent="0.2">
      <c r="M1582" s="149">
        <v>19.575000000000145</v>
      </c>
      <c r="N1582" s="91">
        <v>-5.3598683572527167E-7</v>
      </c>
    </row>
    <row r="1583" spans="13:14" x14ac:dyDescent="0.2">
      <c r="M1583" s="149">
        <v>19.587500000000144</v>
      </c>
      <c r="N1583" s="91">
        <v>-5.1720797338566418E-7</v>
      </c>
    </row>
    <row r="1584" spans="13:14" x14ac:dyDescent="0.2">
      <c r="M1584" s="149">
        <v>19.600000000000144</v>
      </c>
      <c r="N1584" s="91">
        <v>-4.9866859598862011E-7</v>
      </c>
    </row>
    <row r="1585" spans="13:14" x14ac:dyDescent="0.2">
      <c r="M1585" s="149">
        <v>19.612500000000143</v>
      </c>
      <c r="N1585" s="91">
        <v>-4.8037531212041527E-7</v>
      </c>
    </row>
    <row r="1586" spans="13:14" x14ac:dyDescent="0.2">
      <c r="M1586" s="149">
        <v>19.625000000000142</v>
      </c>
      <c r="N1586" s="91">
        <v>-4.6233477129278618E-7</v>
      </c>
    </row>
    <row r="1587" spans="13:14" x14ac:dyDescent="0.2">
      <c r="M1587" s="149">
        <v>19.637500000000145</v>
      </c>
      <c r="N1587" s="91">
        <v>-4.4455366394287006E-7</v>
      </c>
    </row>
    <row r="1588" spans="13:14" x14ac:dyDescent="0.2">
      <c r="M1588" s="149">
        <v>19.650000000000144</v>
      </c>
      <c r="N1588" s="91">
        <v>-4.2703872143323518E-7</v>
      </c>
    </row>
    <row r="1589" spans="13:14" x14ac:dyDescent="0.2">
      <c r="M1589" s="149">
        <v>19.662500000000144</v>
      </c>
      <c r="N1589" s="91">
        <v>-4.0979671605188291E-7</v>
      </c>
    </row>
    <row r="1590" spans="13:14" x14ac:dyDescent="0.2">
      <c r="M1590" s="149">
        <v>19.675000000000146</v>
      </c>
      <c r="N1590" s="91">
        <v>-3.9283446101223204E-7</v>
      </c>
    </row>
    <row r="1591" spans="13:14" x14ac:dyDescent="0.2">
      <c r="M1591" s="149">
        <v>19.687500000000146</v>
      </c>
      <c r="N1591" s="91">
        <v>-3.7615881045312544E-7</v>
      </c>
    </row>
    <row r="1592" spans="13:14" x14ac:dyDescent="0.2">
      <c r="M1592" s="149">
        <v>19.700000000000145</v>
      </c>
      <c r="N1592" s="91">
        <v>-3.5977665943882338E-7</v>
      </c>
    </row>
    <row r="1593" spans="13:14" x14ac:dyDescent="0.2">
      <c r="M1593" s="149">
        <v>19.712500000000144</v>
      </c>
      <c r="N1593" s="91">
        <v>-3.4369494395904296E-7</v>
      </c>
    </row>
    <row r="1594" spans="13:14" x14ac:dyDescent="0.2">
      <c r="M1594" s="149">
        <v>19.725000000000144</v>
      </c>
      <c r="N1594" s="91">
        <v>-3.2792064092890877E-7</v>
      </c>
    </row>
    <row r="1595" spans="13:14" x14ac:dyDescent="0.2">
      <c r="M1595" s="149">
        <v>19.737500000000146</v>
      </c>
      <c r="N1595" s="91">
        <v>-3.1246076818895538E-7</v>
      </c>
    </row>
    <row r="1596" spans="13:14" x14ac:dyDescent="0.2">
      <c r="M1596" s="149">
        <v>19.750000000000146</v>
      </c>
      <c r="N1596" s="91">
        <v>-2.9732238450514958E-7</v>
      </c>
    </row>
    <row r="1597" spans="13:14" x14ac:dyDescent="0.2">
      <c r="M1597" s="149">
        <v>19.762500000000145</v>
      </c>
      <c r="N1597" s="91">
        <v>-2.8251258956890912E-7</v>
      </c>
    </row>
    <row r="1598" spans="13:14" x14ac:dyDescent="0.2">
      <c r="M1598" s="149">
        <v>19.775000000000148</v>
      </c>
      <c r="N1598" s="91">
        <v>-2.6803852399704296E-7</v>
      </c>
    </row>
    <row r="1599" spans="13:14" x14ac:dyDescent="0.2">
      <c r="M1599" s="149">
        <v>19.787500000000147</v>
      </c>
      <c r="N1599" s="91">
        <v>-2.53907369331796E-7</v>
      </c>
    </row>
    <row r="1600" spans="13:14" x14ac:dyDescent="0.2">
      <c r="M1600" s="149">
        <v>19.800000000000146</v>
      </c>
      <c r="N1600" s="91">
        <v>-2.4012634804085558E-7</v>
      </c>
    </row>
    <row r="1601" spans="13:14" x14ac:dyDescent="0.2">
      <c r="M1601" s="149">
        <v>19.812500000000146</v>
      </c>
      <c r="N1601" s="91">
        <v>-2.2670272351733153E-7</v>
      </c>
    </row>
    <row r="1602" spans="13:14" x14ac:dyDescent="0.2">
      <c r="M1602" s="149">
        <v>19.825000000000145</v>
      </c>
      <c r="N1602" s="91">
        <v>-2.1364380007971741E-7</v>
      </c>
    </row>
    <row r="1603" spans="13:14" x14ac:dyDescent="0.2">
      <c r="M1603" s="149">
        <v>19.837500000000148</v>
      </c>
      <c r="N1603" s="91">
        <v>-2.0095692297198897E-7</v>
      </c>
    </row>
    <row r="1604" spans="13:14" x14ac:dyDescent="0.2">
      <c r="M1604" s="149">
        <v>19.850000000000147</v>
      </c>
      <c r="N1604" s="91">
        <v>-1.8864947836350101E-7</v>
      </c>
    </row>
    <row r="1605" spans="13:14" x14ac:dyDescent="0.2">
      <c r="M1605" s="149">
        <v>19.862500000000146</v>
      </c>
      <c r="N1605" s="91">
        <v>-1.7672889334908028E-7</v>
      </c>
    </row>
    <row r="1606" spans="13:14" x14ac:dyDescent="0.2">
      <c r="M1606" s="149">
        <v>19.875000000000149</v>
      </c>
      <c r="N1606" s="91">
        <v>-1.652026359489475E-7</v>
      </c>
    </row>
    <row r="1607" spans="13:14" x14ac:dyDescent="0.2">
      <c r="M1607" s="149">
        <v>19.887500000000149</v>
      </c>
      <c r="N1607" s="91">
        <v>-1.5407821510872033E-7</v>
      </c>
    </row>
    <row r="1608" spans="13:14" x14ac:dyDescent="0.2">
      <c r="M1608" s="149">
        <v>19.900000000000148</v>
      </c>
      <c r="N1608" s="91">
        <v>-1.4336318069952235E-7</v>
      </c>
    </row>
    <row r="1609" spans="13:14" x14ac:dyDescent="0.2">
      <c r="M1609" s="149">
        <v>19.912500000000147</v>
      </c>
      <c r="N1609" s="91">
        <v>-1.3306512351784127E-7</v>
      </c>
    </row>
    <row r="1610" spans="13:14" x14ac:dyDescent="0.2">
      <c r="M1610" s="149">
        <v>19.925000000000146</v>
      </c>
      <c r="N1610" s="91">
        <v>-1.2319167528557551E-7</v>
      </c>
    </row>
    <row r="1611" spans="13:14" x14ac:dyDescent="0.2">
      <c r="M1611" s="149">
        <v>19.937500000000149</v>
      </c>
      <c r="N1611" s="91">
        <v>-1.1375050865012521E-7</v>
      </c>
    </row>
    <row r="1612" spans="13:14" x14ac:dyDescent="0.2">
      <c r="M1612" s="149">
        <v>19.950000000000149</v>
      </c>
      <c r="N1612" s="91">
        <v>-1.0474933718425288E-7</v>
      </c>
    </row>
    <row r="1613" spans="13:14" x14ac:dyDescent="0.2">
      <c r="M1613" s="149">
        <v>19.962500000000148</v>
      </c>
      <c r="N1613" s="91">
        <v>-9.6195915386133422E-8</v>
      </c>
    </row>
    <row r="1614" spans="13:14" x14ac:dyDescent="0.2">
      <c r="M1614" s="149">
        <v>19.975000000000151</v>
      </c>
      <c r="N1614" s="91">
        <v>-8.8098038679428703E-8</v>
      </c>
    </row>
    <row r="1615" spans="13:14" x14ac:dyDescent="0.2">
      <c r="M1615" s="149">
        <v>19.98750000000015</v>
      </c>
      <c r="N1615" s="91">
        <v>-8.0463543413187259E-8</v>
      </c>
    </row>
    <row r="1616" spans="13:14" x14ac:dyDescent="0.2">
      <c r="M1616" s="149">
        <v>20.000000000000149</v>
      </c>
      <c r="N1616" s="91">
        <v>-7.3300306861922118E-8</v>
      </c>
    </row>
  </sheetData>
  <mergeCells count="9">
    <mergeCell ref="S11:T11"/>
    <mergeCell ref="U11:V11"/>
    <mergeCell ref="W11:X11"/>
    <mergeCell ref="A10:B10"/>
    <mergeCell ref="A1:F1"/>
    <mergeCell ref="G1:N1"/>
    <mergeCell ref="M11:N11"/>
    <mergeCell ref="O11:P11"/>
    <mergeCell ref="Q11:R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84" r:id="rId3" name="ComboBox1">
          <controlPr defaultSize="0" autoLine="0" linkedCell="SelectedAct" listFillRange="BeamActHead" r:id="rId4">
            <anchor moveWithCells="1">
              <from>
                <xdr:col>2</xdr:col>
                <xdr:colOff>0</xdr:colOff>
                <xdr:row>9</xdr:row>
                <xdr:rowOff>9525</xdr:rowOff>
              </from>
              <to>
                <xdr:col>3</xdr:col>
                <xdr:colOff>561975</xdr:colOff>
                <xdr:row>10</xdr:row>
                <xdr:rowOff>85725</xdr:rowOff>
              </to>
            </anchor>
          </controlPr>
        </control>
      </mc:Choice>
      <mc:Fallback>
        <control shapeId="430084" r:id="rId3" name="ComboBox1"/>
      </mc:Fallback>
    </mc:AlternateContent>
    <mc:AlternateContent xmlns:mc="http://schemas.openxmlformats.org/markup-compatibility/2006">
      <mc:Choice Requires="x14">
        <control shapeId="430125" r:id="rId5" name="CommandButton1">
          <controlPr defaultSize="0" autoLine="0" r:id="rId6">
            <anchor>
              <from>
                <xdr:col>6</xdr:col>
                <xdr:colOff>600075</xdr:colOff>
                <xdr:row>9</xdr:row>
                <xdr:rowOff>38100</xdr:rowOff>
              </from>
              <to>
                <xdr:col>10</xdr:col>
                <xdr:colOff>266700</xdr:colOff>
                <xdr:row>11</xdr:row>
                <xdr:rowOff>66675</xdr:rowOff>
              </to>
            </anchor>
          </controlPr>
        </control>
      </mc:Choice>
      <mc:Fallback>
        <control shapeId="430125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722"/>
  <sheetViews>
    <sheetView workbookViewId="0">
      <selection activeCell="G22" sqref="G22"/>
    </sheetView>
  </sheetViews>
  <sheetFormatPr defaultRowHeight="12.75" x14ac:dyDescent="0.2"/>
  <cols>
    <col min="4" max="4" width="11.42578125" customWidth="1"/>
    <col min="6" max="6" width="9.5703125" bestFit="1" customWidth="1"/>
    <col min="8" max="9" width="9.5703125" bestFit="1" customWidth="1"/>
    <col min="12" max="12" width="9.5703125" bestFit="1" customWidth="1"/>
    <col min="13" max="13" width="12.42578125" bestFit="1" customWidth="1"/>
    <col min="15" max="15" width="10.42578125" customWidth="1"/>
    <col min="16" max="16" width="10.28515625" customWidth="1"/>
  </cols>
  <sheetData>
    <row r="1" spans="1:8" x14ac:dyDescent="0.2">
      <c r="D1" s="4" t="s">
        <v>115</v>
      </c>
      <c r="F1" s="105"/>
      <c r="G1" s="22">
        <v>0.16558779840124771</v>
      </c>
    </row>
    <row r="2" spans="1:8" x14ac:dyDescent="0.2">
      <c r="A2" s="61" t="s">
        <v>18</v>
      </c>
      <c r="B2" s="16" t="s">
        <v>12</v>
      </c>
      <c r="C2" s="91"/>
      <c r="D2" s="5" t="s">
        <v>127</v>
      </c>
      <c r="E2" s="4"/>
      <c r="F2" s="44"/>
      <c r="G2" s="22">
        <v>5.5469187791459262E-3</v>
      </c>
      <c r="H2">
        <f>G2/G1</f>
        <v>3.3498354544848695E-2</v>
      </c>
    </row>
    <row r="3" spans="1:8" x14ac:dyDescent="0.2">
      <c r="A3" s="40">
        <v>0</v>
      </c>
      <c r="B3" s="39">
        <v>0</v>
      </c>
      <c r="C3" s="41"/>
      <c r="D3" s="4" t="s">
        <v>116</v>
      </c>
      <c r="E3" s="4"/>
      <c r="F3" s="105"/>
      <c r="G3" s="22">
        <v>3.0167051590979099E-5</v>
      </c>
      <c r="H3">
        <f>G3/G2</f>
        <v>5.4385241234096455E-3</v>
      </c>
    </row>
    <row r="4" spans="1:8" x14ac:dyDescent="0.2">
      <c r="A4" s="40">
        <v>-8.0333333333333297</v>
      </c>
      <c r="B4" s="41">
        <v>-1.7516015964934211E-7</v>
      </c>
      <c r="C4" s="41"/>
      <c r="D4" s="2"/>
      <c r="E4" s="2"/>
      <c r="F4" s="2"/>
      <c r="G4" s="2"/>
    </row>
    <row r="5" spans="1:8" x14ac:dyDescent="0.2">
      <c r="A5" s="40">
        <v>0</v>
      </c>
      <c r="B5" s="41">
        <v>0</v>
      </c>
      <c r="C5" s="41"/>
      <c r="D5" s="2"/>
      <c r="E5" s="2"/>
      <c r="F5" s="2"/>
      <c r="G5" s="2"/>
    </row>
    <row r="6" spans="1:8" x14ac:dyDescent="0.2">
      <c r="A6" s="40">
        <v>3.1391253644314867</v>
      </c>
      <c r="B6" s="41">
        <v>7.5154452327889585E-6</v>
      </c>
      <c r="C6" s="41"/>
      <c r="D6" s="2"/>
      <c r="E6" s="2"/>
      <c r="F6" s="2"/>
      <c r="G6" s="2"/>
    </row>
    <row r="7" spans="1:8" x14ac:dyDescent="0.2">
      <c r="A7" s="40">
        <v>-1.5673469387755115</v>
      </c>
      <c r="B7" s="41">
        <v>-1.2076663819207316E-6</v>
      </c>
      <c r="C7" s="41"/>
      <c r="D7" s="2"/>
      <c r="E7" s="2"/>
      <c r="F7" s="2"/>
      <c r="G7" s="2"/>
    </row>
    <row r="8" spans="1:8" x14ac:dyDescent="0.2">
      <c r="A8" s="40">
        <v>0</v>
      </c>
      <c r="B8" s="41">
        <v>0</v>
      </c>
      <c r="C8" s="41"/>
      <c r="D8" s="2"/>
      <c r="E8" s="2"/>
      <c r="F8" s="2"/>
      <c r="G8" s="2"/>
    </row>
    <row r="9" spans="1:8" x14ac:dyDescent="0.2">
      <c r="A9" s="40"/>
      <c r="B9" s="41"/>
      <c r="C9" s="41"/>
      <c r="D9" s="2"/>
      <c r="E9" s="2"/>
      <c r="F9" s="2"/>
      <c r="G9" s="2"/>
    </row>
    <row r="10" spans="1:8" x14ac:dyDescent="0.2">
      <c r="A10" s="40"/>
      <c r="B10" s="40"/>
      <c r="C10" s="41"/>
      <c r="D10" s="2"/>
      <c r="E10" s="2"/>
      <c r="F10" s="2"/>
      <c r="G10" s="2"/>
    </row>
    <row r="11" spans="1:8" x14ac:dyDescent="0.2">
      <c r="A11" s="40"/>
      <c r="B11" s="40"/>
      <c r="C11" s="41"/>
      <c r="D11" s="2"/>
      <c r="E11" s="2"/>
      <c r="F11" s="2"/>
      <c r="G11" s="2"/>
    </row>
    <row r="12" spans="1:8" x14ac:dyDescent="0.2">
      <c r="A12" s="40"/>
      <c r="B12" s="40"/>
      <c r="C12" s="41"/>
      <c r="D12" s="2"/>
      <c r="E12" s="2"/>
      <c r="F12" s="2"/>
      <c r="G12" s="2"/>
    </row>
    <row r="13" spans="1:8" x14ac:dyDescent="0.2">
      <c r="A13" s="40"/>
      <c r="B13" s="40"/>
      <c r="C13" s="41"/>
      <c r="D13" s="2"/>
      <c r="E13" s="2"/>
      <c r="F13" s="2"/>
      <c r="G13" s="2"/>
    </row>
    <row r="14" spans="1:8" x14ac:dyDescent="0.2">
      <c r="A14" s="40"/>
      <c r="B14" s="40"/>
      <c r="C14" s="41"/>
      <c r="D14" s="2"/>
      <c r="E14" s="2"/>
      <c r="F14" s="2"/>
      <c r="G14" s="2"/>
    </row>
    <row r="15" spans="1:8" x14ac:dyDescent="0.2">
      <c r="A15" s="40"/>
      <c r="B15" s="40"/>
      <c r="C15" s="41"/>
      <c r="D15" s="2"/>
      <c r="E15" s="2"/>
      <c r="F15" s="2"/>
      <c r="G15" s="2"/>
    </row>
    <row r="16" spans="1:8" x14ac:dyDescent="0.2">
      <c r="A16" s="40"/>
      <c r="B16" s="40"/>
      <c r="C16" s="41"/>
      <c r="D16" s="2"/>
      <c r="E16" s="2"/>
      <c r="F16" s="2"/>
      <c r="G16" s="2"/>
    </row>
    <row r="17" spans="1:7" x14ac:dyDescent="0.2">
      <c r="A17" s="40"/>
      <c r="B17" s="40"/>
      <c r="C17" s="41"/>
      <c r="D17" s="2"/>
      <c r="E17" s="2"/>
      <c r="F17" s="2"/>
      <c r="G17" s="2"/>
    </row>
    <row r="18" spans="1:7" x14ac:dyDescent="0.2">
      <c r="A18" s="40"/>
      <c r="B18" s="40"/>
      <c r="C18" s="41"/>
      <c r="D18" s="2"/>
      <c r="E18" s="2"/>
      <c r="F18" s="2"/>
      <c r="G18" s="2"/>
    </row>
    <row r="19" spans="1:7" x14ac:dyDescent="0.2">
      <c r="A19" s="40"/>
      <c r="B19" s="40"/>
      <c r="C19" s="41"/>
      <c r="D19" s="2"/>
      <c r="E19" s="2"/>
      <c r="F19" s="2"/>
      <c r="G19" s="2"/>
    </row>
    <row r="20" spans="1:7" x14ac:dyDescent="0.2">
      <c r="A20" s="40"/>
      <c r="B20" s="40"/>
      <c r="C20" s="41"/>
      <c r="D20" s="2"/>
      <c r="E20" s="2"/>
      <c r="F20" s="2"/>
      <c r="G20" s="2"/>
    </row>
    <row r="21" spans="1:7" x14ac:dyDescent="0.2">
      <c r="A21" s="40"/>
      <c r="B21" s="40"/>
      <c r="C21" s="41"/>
      <c r="D21" s="63"/>
      <c r="E21" s="2"/>
      <c r="F21" s="2"/>
      <c r="G21" s="2"/>
    </row>
    <row r="22" spans="1:7" x14ac:dyDescent="0.2">
      <c r="A22" s="40"/>
      <c r="B22" s="40"/>
      <c r="C22" s="41"/>
      <c r="D22" s="63"/>
      <c r="E22" s="2"/>
      <c r="F22" s="2"/>
      <c r="G22" s="2"/>
    </row>
    <row r="23" spans="1:7" x14ac:dyDescent="0.2">
      <c r="A23" s="40"/>
      <c r="B23" s="40"/>
      <c r="C23" s="41"/>
      <c r="D23" s="63"/>
      <c r="E23" s="2"/>
      <c r="F23" s="2"/>
      <c r="G23" s="2"/>
    </row>
    <row r="24" spans="1:7" x14ac:dyDescent="0.2">
      <c r="A24" s="40"/>
      <c r="B24" s="40"/>
      <c r="C24" s="41"/>
      <c r="D24" s="63"/>
      <c r="E24" s="2"/>
      <c r="F24" s="2"/>
      <c r="G24" s="2"/>
    </row>
    <row r="25" spans="1:7" x14ac:dyDescent="0.2">
      <c r="A25" s="40"/>
      <c r="B25" s="40"/>
      <c r="C25" s="41"/>
      <c r="D25" s="63"/>
      <c r="E25" s="2"/>
      <c r="F25" s="2"/>
      <c r="G25" s="2"/>
    </row>
    <row r="26" spans="1:7" x14ac:dyDescent="0.2">
      <c r="A26" s="40"/>
      <c r="B26" s="40"/>
      <c r="C26" s="41"/>
      <c r="D26" s="63"/>
      <c r="E26" s="2"/>
      <c r="F26" s="2"/>
      <c r="G26" s="2"/>
    </row>
    <row r="27" spans="1:7" x14ac:dyDescent="0.2">
      <c r="A27" s="40"/>
      <c r="B27" s="40"/>
      <c r="C27" s="41"/>
      <c r="D27" s="63"/>
      <c r="E27" s="2"/>
      <c r="F27" s="2"/>
      <c r="G27" s="2"/>
    </row>
    <row r="28" spans="1:7" x14ac:dyDescent="0.2">
      <c r="A28" s="40"/>
      <c r="B28" s="40"/>
      <c r="C28" s="41"/>
      <c r="D28" s="63"/>
      <c r="E28" s="2"/>
      <c r="F28" s="2"/>
      <c r="G28" s="2"/>
    </row>
    <row r="29" spans="1:7" x14ac:dyDescent="0.2">
      <c r="A29" s="40"/>
      <c r="B29" s="40"/>
      <c r="C29" s="41"/>
      <c r="D29" s="63"/>
      <c r="E29" s="2"/>
      <c r="F29" s="2"/>
      <c r="G29" s="2"/>
    </row>
    <row r="30" spans="1:7" x14ac:dyDescent="0.2">
      <c r="A30" s="40"/>
      <c r="B30" s="40"/>
      <c r="C30" s="41"/>
      <c r="D30" s="63"/>
      <c r="E30" s="2"/>
      <c r="F30" s="2"/>
      <c r="G30" s="2"/>
    </row>
    <row r="31" spans="1:7" x14ac:dyDescent="0.2">
      <c r="C31" s="41"/>
      <c r="D31" s="63"/>
      <c r="E31" s="2"/>
      <c r="F31" s="2"/>
      <c r="G31" s="2"/>
    </row>
    <row r="32" spans="1:7" x14ac:dyDescent="0.2">
      <c r="C32" s="41"/>
      <c r="D32" s="63"/>
      <c r="E32" s="2"/>
      <c r="F32" s="2"/>
      <c r="G32" s="2"/>
    </row>
    <row r="33" spans="3:7" x14ac:dyDescent="0.2">
      <c r="C33" s="41"/>
      <c r="D33" s="63"/>
      <c r="E33" s="2"/>
      <c r="F33" s="2"/>
      <c r="G33" s="2"/>
    </row>
    <row r="34" spans="3:7" x14ac:dyDescent="0.2">
      <c r="C34" s="41"/>
      <c r="D34" s="63"/>
      <c r="E34" s="2"/>
      <c r="F34" s="2"/>
      <c r="G34" s="2"/>
    </row>
    <row r="35" spans="3:7" x14ac:dyDescent="0.2">
      <c r="C35" s="41"/>
      <c r="D35" s="63"/>
      <c r="E35" s="2"/>
      <c r="F35" s="2"/>
      <c r="G35" s="2"/>
    </row>
    <row r="36" spans="3:7" x14ac:dyDescent="0.2">
      <c r="D36" s="63"/>
      <c r="E36" s="2"/>
      <c r="F36" s="2"/>
      <c r="G36" s="2"/>
    </row>
    <row r="37" spans="3:7" x14ac:dyDescent="0.2">
      <c r="D37" s="63"/>
      <c r="E37" s="2"/>
      <c r="F37" s="2"/>
      <c r="G37" s="2"/>
    </row>
    <row r="38" spans="3:7" x14ac:dyDescent="0.2">
      <c r="D38" s="63"/>
      <c r="E38" s="2"/>
      <c r="F38" s="2"/>
      <c r="G38" s="2"/>
    </row>
    <row r="39" spans="3:7" x14ac:dyDescent="0.2">
      <c r="D39" s="63"/>
      <c r="E39" s="2"/>
      <c r="F39" s="2"/>
      <c r="G39" s="2"/>
    </row>
    <row r="40" spans="3:7" x14ac:dyDescent="0.2">
      <c r="D40" s="63"/>
      <c r="E40" s="2"/>
      <c r="F40" s="2"/>
      <c r="G40" s="2"/>
    </row>
    <row r="41" spans="3:7" x14ac:dyDescent="0.2">
      <c r="D41" s="63"/>
      <c r="E41" s="2"/>
      <c r="F41" s="2"/>
      <c r="G41" s="2"/>
    </row>
    <row r="42" spans="3:7" x14ac:dyDescent="0.2">
      <c r="D42" s="63"/>
      <c r="E42" s="2"/>
      <c r="F42" s="2"/>
      <c r="G42" s="2"/>
    </row>
    <row r="43" spans="3:7" x14ac:dyDescent="0.2">
      <c r="D43" s="63"/>
      <c r="E43" s="2"/>
      <c r="F43" s="2"/>
      <c r="G43" s="2"/>
    </row>
    <row r="44" spans="3:7" x14ac:dyDescent="0.2">
      <c r="D44" s="63"/>
      <c r="E44" s="2"/>
      <c r="F44" s="2"/>
      <c r="G44" s="2"/>
    </row>
    <row r="45" spans="3:7" x14ac:dyDescent="0.2">
      <c r="D45" s="63"/>
      <c r="E45" s="2"/>
      <c r="F45" s="2"/>
      <c r="G45" s="2"/>
    </row>
    <row r="46" spans="3:7" x14ac:dyDescent="0.2">
      <c r="D46" s="63"/>
      <c r="E46" s="2"/>
      <c r="F46" s="2"/>
      <c r="G46" s="2"/>
    </row>
    <row r="47" spans="3:7" x14ac:dyDescent="0.2">
      <c r="D47" s="63"/>
      <c r="E47" s="2"/>
      <c r="F47" s="2"/>
      <c r="G47" s="2"/>
    </row>
    <row r="48" spans="3:7" x14ac:dyDescent="0.2">
      <c r="D48" s="63"/>
      <c r="E48" s="2"/>
      <c r="F48" s="2"/>
      <c r="G48" s="2"/>
    </row>
    <row r="49" spans="4:7" x14ac:dyDescent="0.2">
      <c r="D49" s="63"/>
      <c r="E49" s="2"/>
      <c r="F49" s="2"/>
      <c r="G49" s="2"/>
    </row>
    <row r="50" spans="4:7" x14ac:dyDescent="0.2">
      <c r="D50" s="63"/>
      <c r="E50" s="2"/>
      <c r="F50" s="2"/>
      <c r="G50" s="2"/>
    </row>
    <row r="51" spans="4:7" x14ac:dyDescent="0.2">
      <c r="D51" s="63"/>
      <c r="E51" s="2"/>
      <c r="F51" s="2"/>
      <c r="G51" s="2"/>
    </row>
    <row r="52" spans="4:7" x14ac:dyDescent="0.2">
      <c r="D52" s="63"/>
      <c r="E52" s="2"/>
      <c r="F52" s="2"/>
      <c r="G52" s="2"/>
    </row>
    <row r="53" spans="4:7" x14ac:dyDescent="0.2">
      <c r="D53" s="63"/>
      <c r="E53" s="2"/>
      <c r="F53" s="2"/>
      <c r="G53" s="2"/>
    </row>
    <row r="54" spans="4:7" x14ac:dyDescent="0.2">
      <c r="D54" s="63"/>
      <c r="E54" s="2"/>
      <c r="F54" s="2"/>
      <c r="G54" s="2"/>
    </row>
    <row r="55" spans="4:7" x14ac:dyDescent="0.2">
      <c r="D55" s="63"/>
      <c r="E55" s="2"/>
      <c r="F55" s="2"/>
      <c r="G55" s="2"/>
    </row>
    <row r="56" spans="4:7" x14ac:dyDescent="0.2">
      <c r="D56" s="63"/>
      <c r="E56" s="2"/>
      <c r="F56" s="2"/>
      <c r="G56" s="2"/>
    </row>
    <row r="57" spans="4:7" x14ac:dyDescent="0.2">
      <c r="D57" s="63"/>
      <c r="E57" s="2"/>
      <c r="F57" s="2"/>
      <c r="G57" s="2"/>
    </row>
    <row r="58" spans="4:7" x14ac:dyDescent="0.2">
      <c r="D58" s="63"/>
      <c r="E58" s="2"/>
      <c r="F58" s="2"/>
      <c r="G58" s="2"/>
    </row>
    <row r="59" spans="4:7" x14ac:dyDescent="0.2">
      <c r="D59" s="63"/>
      <c r="E59" s="2"/>
      <c r="F59" s="2"/>
      <c r="G59" s="2"/>
    </row>
    <row r="60" spans="4:7" x14ac:dyDescent="0.2">
      <c r="D60" s="63"/>
      <c r="E60" s="2"/>
      <c r="F60" s="2"/>
      <c r="G60" s="2"/>
    </row>
    <row r="61" spans="4:7" x14ac:dyDescent="0.2">
      <c r="D61" s="63"/>
      <c r="E61" s="2"/>
      <c r="F61" s="2"/>
      <c r="G61" s="2"/>
    </row>
    <row r="62" spans="4:7" x14ac:dyDescent="0.2">
      <c r="D62" s="63"/>
      <c r="E62" s="2"/>
      <c r="F62" s="2"/>
      <c r="G62" s="2"/>
    </row>
    <row r="63" spans="4:7" x14ac:dyDescent="0.2">
      <c r="D63" s="63"/>
      <c r="E63" s="2"/>
      <c r="F63" s="2"/>
      <c r="G63" s="2"/>
    </row>
    <row r="64" spans="4:7" x14ac:dyDescent="0.2">
      <c r="D64" s="63"/>
      <c r="E64" s="2"/>
      <c r="F64" s="2"/>
      <c r="G64" s="2"/>
    </row>
    <row r="65" spans="4:7" x14ac:dyDescent="0.2">
      <c r="D65" s="63"/>
      <c r="E65" s="2"/>
      <c r="F65" s="2"/>
      <c r="G65" s="2"/>
    </row>
    <row r="66" spans="4:7" x14ac:dyDescent="0.2">
      <c r="D66" s="63"/>
      <c r="E66" s="2"/>
      <c r="F66" s="2"/>
      <c r="G66" s="2"/>
    </row>
    <row r="67" spans="4:7" x14ac:dyDescent="0.2">
      <c r="D67" s="63"/>
      <c r="E67" s="2"/>
      <c r="F67" s="2"/>
      <c r="G67" s="2"/>
    </row>
    <row r="68" spans="4:7" x14ac:dyDescent="0.2">
      <c r="D68" s="63"/>
      <c r="E68" s="2"/>
      <c r="F68" s="2"/>
      <c r="G68" s="2"/>
    </row>
    <row r="69" spans="4:7" x14ac:dyDescent="0.2">
      <c r="D69" s="63"/>
      <c r="E69" s="2"/>
      <c r="F69" s="2"/>
      <c r="G69" s="2"/>
    </row>
    <row r="70" spans="4:7" x14ac:dyDescent="0.2">
      <c r="D70" s="63"/>
      <c r="E70" s="2"/>
      <c r="F70" s="2"/>
      <c r="G70" s="2"/>
    </row>
    <row r="71" spans="4:7" x14ac:dyDescent="0.2">
      <c r="D71" s="63"/>
      <c r="E71" s="2"/>
      <c r="F71" s="2"/>
      <c r="G71" s="2"/>
    </row>
    <row r="72" spans="4:7" x14ac:dyDescent="0.2">
      <c r="D72" s="63"/>
      <c r="E72" s="2"/>
      <c r="F72" s="2"/>
      <c r="G72" s="2"/>
    </row>
    <row r="73" spans="4:7" x14ac:dyDescent="0.2">
      <c r="D73" s="63"/>
      <c r="E73" s="2"/>
      <c r="F73" s="2"/>
      <c r="G73" s="2"/>
    </row>
    <row r="74" spans="4:7" x14ac:dyDescent="0.2">
      <c r="D74" s="63"/>
      <c r="E74" s="2"/>
      <c r="F74" s="2"/>
      <c r="G74" s="2"/>
    </row>
    <row r="75" spans="4:7" x14ac:dyDescent="0.2">
      <c r="D75" s="63"/>
      <c r="E75" s="2"/>
      <c r="F75" s="2"/>
      <c r="G75" s="2"/>
    </row>
    <row r="76" spans="4:7" x14ac:dyDescent="0.2">
      <c r="D76" s="63"/>
      <c r="E76" s="2"/>
      <c r="F76" s="2"/>
      <c r="G76" s="2"/>
    </row>
    <row r="77" spans="4:7" x14ac:dyDescent="0.2">
      <c r="D77" s="63"/>
      <c r="E77" s="2"/>
      <c r="F77" s="2"/>
      <c r="G77" s="2"/>
    </row>
    <row r="78" spans="4:7" x14ac:dyDescent="0.2">
      <c r="D78" s="63"/>
      <c r="E78" s="2"/>
      <c r="F78" s="2"/>
      <c r="G78" s="2"/>
    </row>
    <row r="79" spans="4:7" x14ac:dyDescent="0.2">
      <c r="D79" s="63"/>
      <c r="E79" s="2"/>
      <c r="F79" s="2"/>
      <c r="G79" s="2"/>
    </row>
    <row r="80" spans="4:7" x14ac:dyDescent="0.2">
      <c r="D80" s="63"/>
      <c r="E80" s="2"/>
      <c r="F80" s="2"/>
      <c r="G80" s="2"/>
    </row>
    <row r="81" spans="4:7" x14ac:dyDescent="0.2">
      <c r="D81" s="63"/>
      <c r="E81" s="2"/>
      <c r="F81" s="2"/>
      <c r="G81" s="2"/>
    </row>
    <row r="82" spans="4:7" x14ac:dyDescent="0.2">
      <c r="D82" s="63"/>
      <c r="E82" s="2"/>
      <c r="F82" s="2"/>
      <c r="G82" s="2"/>
    </row>
    <row r="83" spans="4:7" x14ac:dyDescent="0.2">
      <c r="D83" s="63"/>
      <c r="E83" s="2"/>
      <c r="F83" s="2"/>
      <c r="G83" s="2"/>
    </row>
    <row r="84" spans="4:7" x14ac:dyDescent="0.2">
      <c r="D84" s="63"/>
      <c r="E84" s="2"/>
      <c r="F84" s="2"/>
      <c r="G84" s="2"/>
    </row>
    <row r="85" spans="4:7" x14ac:dyDescent="0.2">
      <c r="D85" s="63"/>
      <c r="E85" s="2"/>
      <c r="F85" s="2"/>
      <c r="G85" s="2"/>
    </row>
    <row r="86" spans="4:7" x14ac:dyDescent="0.2">
      <c r="D86" s="63"/>
      <c r="E86" s="2"/>
      <c r="F86" s="2"/>
      <c r="G86" s="2"/>
    </row>
    <row r="87" spans="4:7" x14ac:dyDescent="0.2">
      <c r="D87" s="63"/>
      <c r="E87" s="2"/>
      <c r="F87" s="2"/>
      <c r="G87" s="2"/>
    </row>
    <row r="88" spans="4:7" x14ac:dyDescent="0.2">
      <c r="D88" s="63"/>
      <c r="E88" s="2"/>
      <c r="F88" s="2"/>
      <c r="G88" s="2"/>
    </row>
    <row r="89" spans="4:7" x14ac:dyDescent="0.2">
      <c r="D89" s="63"/>
      <c r="E89" s="2"/>
      <c r="F89" s="2"/>
      <c r="G89" s="2"/>
    </row>
    <row r="90" spans="4:7" x14ac:dyDescent="0.2">
      <c r="D90" s="63"/>
      <c r="E90" s="2"/>
      <c r="F90" s="2"/>
      <c r="G90" s="2"/>
    </row>
    <row r="91" spans="4:7" x14ac:dyDescent="0.2">
      <c r="D91" s="63"/>
      <c r="E91" s="2"/>
      <c r="F91" s="2"/>
      <c r="G91" s="2"/>
    </row>
    <row r="92" spans="4:7" x14ac:dyDescent="0.2">
      <c r="D92" s="63"/>
      <c r="E92" s="2"/>
      <c r="F92" s="2"/>
      <c r="G92" s="2"/>
    </row>
    <row r="93" spans="4:7" x14ac:dyDescent="0.2">
      <c r="D93" s="63"/>
      <c r="E93" s="2"/>
      <c r="F93" s="2"/>
      <c r="G93" s="2"/>
    </row>
    <row r="94" spans="4:7" x14ac:dyDescent="0.2">
      <c r="D94" s="63"/>
      <c r="E94" s="2"/>
      <c r="F94" s="2"/>
      <c r="G94" s="2"/>
    </row>
    <row r="95" spans="4:7" x14ac:dyDescent="0.2">
      <c r="D95" s="63"/>
      <c r="E95" s="2"/>
      <c r="F95" s="2"/>
      <c r="G95" s="2"/>
    </row>
    <row r="96" spans="4:7" x14ac:dyDescent="0.2">
      <c r="D96" s="63"/>
      <c r="E96" s="2"/>
      <c r="F96" s="2"/>
      <c r="G96" s="2"/>
    </row>
    <row r="97" spans="4:7" x14ac:dyDescent="0.2">
      <c r="D97" s="63"/>
      <c r="E97" s="2"/>
      <c r="F97" s="2"/>
      <c r="G97" s="2"/>
    </row>
    <row r="98" spans="4:7" x14ac:dyDescent="0.2">
      <c r="D98" s="63"/>
      <c r="E98" s="2"/>
      <c r="F98" s="2"/>
      <c r="G98" s="2"/>
    </row>
    <row r="99" spans="4:7" x14ac:dyDescent="0.2">
      <c r="D99" s="63"/>
      <c r="E99" s="2"/>
      <c r="F99" s="2"/>
      <c r="G99" s="2"/>
    </row>
    <row r="100" spans="4:7" x14ac:dyDescent="0.2">
      <c r="D100" s="63"/>
      <c r="E100" s="2"/>
      <c r="F100" s="2"/>
      <c r="G100" s="2"/>
    </row>
    <row r="101" spans="4:7" x14ac:dyDescent="0.2">
      <c r="D101" s="63"/>
      <c r="E101" s="2"/>
      <c r="F101" s="2"/>
      <c r="G101" s="2"/>
    </row>
    <row r="102" spans="4:7" x14ac:dyDescent="0.2">
      <c r="D102" s="63"/>
      <c r="E102" s="2"/>
      <c r="F102" s="2"/>
      <c r="G102" s="2"/>
    </row>
    <row r="103" spans="4:7" x14ac:dyDescent="0.2">
      <c r="D103" s="63"/>
      <c r="E103" s="2"/>
      <c r="F103" s="2"/>
      <c r="G103" s="2"/>
    </row>
    <row r="104" spans="4:7" x14ac:dyDescent="0.2">
      <c r="D104" s="63"/>
      <c r="E104" s="2"/>
      <c r="F104" s="2"/>
      <c r="G104" s="2"/>
    </row>
    <row r="105" spans="4:7" x14ac:dyDescent="0.2">
      <c r="D105" s="63"/>
      <c r="E105" s="2"/>
      <c r="F105" s="2"/>
      <c r="G105" s="2"/>
    </row>
    <row r="106" spans="4:7" x14ac:dyDescent="0.2">
      <c r="D106" s="63"/>
      <c r="E106" s="2"/>
      <c r="F106" s="2"/>
      <c r="G106" s="2"/>
    </row>
    <row r="107" spans="4:7" x14ac:dyDescent="0.2">
      <c r="D107" s="63"/>
      <c r="E107" s="2"/>
      <c r="F107" s="2"/>
      <c r="G107" s="2"/>
    </row>
    <row r="108" spans="4:7" x14ac:dyDescent="0.2">
      <c r="D108" s="63"/>
      <c r="E108" s="2"/>
      <c r="F108" s="2"/>
      <c r="G108" s="2"/>
    </row>
    <row r="109" spans="4:7" x14ac:dyDescent="0.2">
      <c r="D109" s="63"/>
      <c r="E109" s="2"/>
      <c r="F109" s="2"/>
      <c r="G109" s="2"/>
    </row>
    <row r="110" spans="4:7" x14ac:dyDescent="0.2">
      <c r="D110" s="63"/>
      <c r="E110" s="2"/>
      <c r="F110" s="2"/>
      <c r="G110" s="2"/>
    </row>
    <row r="111" spans="4:7" x14ac:dyDescent="0.2">
      <c r="D111" s="63"/>
      <c r="E111" s="2"/>
      <c r="F111" s="2"/>
      <c r="G111" s="2"/>
    </row>
    <row r="112" spans="4:7" x14ac:dyDescent="0.2">
      <c r="D112" s="63"/>
      <c r="E112" s="2"/>
      <c r="F112" s="2"/>
      <c r="G112" s="2"/>
    </row>
    <row r="113" spans="4:7" x14ac:dyDescent="0.2">
      <c r="D113" s="63"/>
      <c r="E113" s="2"/>
      <c r="F113" s="2"/>
      <c r="G113" s="2"/>
    </row>
    <row r="114" spans="4:7" x14ac:dyDescent="0.2">
      <c r="D114" s="63"/>
      <c r="E114" s="2"/>
      <c r="F114" s="2"/>
      <c r="G114" s="2"/>
    </row>
    <row r="115" spans="4:7" x14ac:dyDescent="0.2">
      <c r="D115" s="63"/>
      <c r="E115" s="2"/>
      <c r="F115" s="2"/>
      <c r="G115" s="2"/>
    </row>
    <row r="116" spans="4:7" x14ac:dyDescent="0.2">
      <c r="D116" s="63"/>
      <c r="E116" s="2"/>
      <c r="F116" s="2"/>
      <c r="G116" s="2"/>
    </row>
    <row r="117" spans="4:7" x14ac:dyDescent="0.2">
      <c r="D117" s="63"/>
      <c r="E117" s="2"/>
      <c r="F117" s="2"/>
      <c r="G117" s="2"/>
    </row>
    <row r="118" spans="4:7" x14ac:dyDescent="0.2">
      <c r="D118" s="63"/>
      <c r="E118" s="2"/>
      <c r="F118" s="2"/>
      <c r="G118" s="2"/>
    </row>
    <row r="119" spans="4:7" x14ac:dyDescent="0.2">
      <c r="D119" s="63"/>
      <c r="E119" s="2"/>
      <c r="F119" s="2"/>
      <c r="G119" s="2"/>
    </row>
    <row r="120" spans="4:7" x14ac:dyDescent="0.2">
      <c r="D120" s="63"/>
      <c r="E120" s="2"/>
      <c r="F120" s="2"/>
      <c r="G120" s="2"/>
    </row>
    <row r="121" spans="4:7" x14ac:dyDescent="0.2">
      <c r="D121" s="63"/>
      <c r="E121" s="2"/>
      <c r="F121" s="2"/>
      <c r="G121" s="2"/>
    </row>
    <row r="122" spans="4:7" x14ac:dyDescent="0.2">
      <c r="D122" s="63"/>
      <c r="E122" s="2"/>
      <c r="F122" s="2"/>
      <c r="G122" s="2"/>
    </row>
    <row r="123" spans="4:7" x14ac:dyDescent="0.2">
      <c r="D123" s="63"/>
      <c r="E123" s="2"/>
      <c r="F123" s="2"/>
      <c r="G123" s="2"/>
    </row>
    <row r="124" spans="4:7" x14ac:dyDescent="0.2">
      <c r="D124" s="63"/>
      <c r="E124" s="2"/>
      <c r="F124" s="2"/>
      <c r="G124" s="2"/>
    </row>
    <row r="125" spans="4:7" x14ac:dyDescent="0.2">
      <c r="D125" s="63"/>
      <c r="E125" s="2"/>
      <c r="F125" s="2"/>
      <c r="G125" s="2"/>
    </row>
    <row r="126" spans="4:7" x14ac:dyDescent="0.2">
      <c r="D126" s="63"/>
      <c r="E126" s="2"/>
      <c r="F126" s="2"/>
      <c r="G126" s="2"/>
    </row>
    <row r="127" spans="4:7" x14ac:dyDescent="0.2">
      <c r="D127" s="63"/>
      <c r="E127" s="2"/>
      <c r="F127" s="2"/>
      <c r="G127" s="2"/>
    </row>
    <row r="128" spans="4:7" x14ac:dyDescent="0.2">
      <c r="D128" s="63"/>
      <c r="E128" s="2"/>
      <c r="F128" s="2"/>
      <c r="G128" s="2"/>
    </row>
    <row r="129" spans="4:7" x14ac:dyDescent="0.2">
      <c r="D129" s="63"/>
      <c r="E129" s="2"/>
      <c r="F129" s="2"/>
      <c r="G129" s="2"/>
    </row>
    <row r="130" spans="4:7" x14ac:dyDescent="0.2">
      <c r="D130" s="63"/>
      <c r="E130" s="2"/>
      <c r="F130" s="2"/>
      <c r="G130" s="2"/>
    </row>
    <row r="131" spans="4:7" x14ac:dyDescent="0.2">
      <c r="D131" s="63"/>
      <c r="E131" s="2"/>
      <c r="F131" s="2"/>
      <c r="G131" s="2"/>
    </row>
    <row r="132" spans="4:7" x14ac:dyDescent="0.2">
      <c r="D132" s="63"/>
      <c r="E132" s="2"/>
      <c r="F132" s="2"/>
      <c r="G132" s="2"/>
    </row>
    <row r="133" spans="4:7" x14ac:dyDescent="0.2">
      <c r="D133" s="63"/>
      <c r="E133" s="2"/>
      <c r="F133" s="2"/>
      <c r="G133" s="2"/>
    </row>
    <row r="134" spans="4:7" x14ac:dyDescent="0.2">
      <c r="D134" s="63"/>
      <c r="E134" s="2"/>
      <c r="F134" s="2"/>
      <c r="G134" s="2"/>
    </row>
    <row r="135" spans="4:7" x14ac:dyDescent="0.2">
      <c r="D135" s="63"/>
      <c r="E135" s="2"/>
      <c r="F135" s="2"/>
      <c r="G135" s="2"/>
    </row>
    <row r="136" spans="4:7" x14ac:dyDescent="0.2">
      <c r="D136" s="63"/>
      <c r="E136" s="2"/>
      <c r="F136" s="2"/>
      <c r="G136" s="2"/>
    </row>
    <row r="137" spans="4:7" x14ac:dyDescent="0.2">
      <c r="D137" s="63"/>
      <c r="E137" s="2"/>
      <c r="F137" s="2"/>
      <c r="G137" s="2"/>
    </row>
    <row r="138" spans="4:7" x14ac:dyDescent="0.2">
      <c r="D138" s="63"/>
      <c r="E138" s="2"/>
      <c r="F138" s="2"/>
      <c r="G138" s="2"/>
    </row>
    <row r="139" spans="4:7" x14ac:dyDescent="0.2">
      <c r="D139" s="63"/>
      <c r="E139" s="2"/>
      <c r="F139" s="2"/>
      <c r="G139" s="2"/>
    </row>
    <row r="140" spans="4:7" x14ac:dyDescent="0.2">
      <c r="D140" s="63"/>
      <c r="E140" s="2"/>
      <c r="F140" s="2"/>
      <c r="G140" s="2"/>
    </row>
    <row r="141" spans="4:7" x14ac:dyDescent="0.2">
      <c r="D141" s="63"/>
      <c r="E141" s="2"/>
      <c r="F141" s="2"/>
      <c r="G141" s="2"/>
    </row>
    <row r="142" spans="4:7" x14ac:dyDescent="0.2">
      <c r="D142" s="63"/>
      <c r="E142" s="2"/>
      <c r="F142" s="2"/>
      <c r="G142" s="2"/>
    </row>
    <row r="143" spans="4:7" x14ac:dyDescent="0.2">
      <c r="D143" s="63"/>
      <c r="E143" s="2"/>
      <c r="F143" s="2"/>
      <c r="G143" s="2"/>
    </row>
    <row r="144" spans="4:7" x14ac:dyDescent="0.2">
      <c r="D144" s="63"/>
      <c r="E144" s="2"/>
      <c r="F144" s="2"/>
      <c r="G144" s="2"/>
    </row>
    <row r="145" spans="4:7" x14ac:dyDescent="0.2">
      <c r="D145" s="63"/>
      <c r="E145" s="2"/>
      <c r="F145" s="2"/>
      <c r="G145" s="2"/>
    </row>
    <row r="146" spans="4:7" x14ac:dyDescent="0.2">
      <c r="D146" s="63"/>
      <c r="E146" s="2"/>
      <c r="F146" s="2"/>
      <c r="G146" s="2"/>
    </row>
    <row r="147" spans="4:7" x14ac:dyDescent="0.2">
      <c r="D147" s="63"/>
      <c r="E147" s="2"/>
      <c r="F147" s="2"/>
      <c r="G147" s="2"/>
    </row>
    <row r="148" spans="4:7" x14ac:dyDescent="0.2">
      <c r="D148" s="63"/>
      <c r="E148" s="2"/>
      <c r="F148" s="2"/>
      <c r="G148" s="2"/>
    </row>
    <row r="149" spans="4:7" x14ac:dyDescent="0.2">
      <c r="D149" s="63"/>
      <c r="E149" s="2"/>
      <c r="F149" s="2"/>
      <c r="G149" s="2"/>
    </row>
    <row r="150" spans="4:7" x14ac:dyDescent="0.2">
      <c r="D150" s="63"/>
      <c r="E150" s="2"/>
      <c r="F150" s="2"/>
      <c r="G150" s="2"/>
    </row>
    <row r="151" spans="4:7" x14ac:dyDescent="0.2">
      <c r="D151" s="63"/>
      <c r="E151" s="2"/>
      <c r="F151" s="2"/>
      <c r="G151" s="2"/>
    </row>
    <row r="152" spans="4:7" x14ac:dyDescent="0.2">
      <c r="D152" s="63"/>
      <c r="E152" s="2"/>
      <c r="F152" s="2"/>
      <c r="G152" s="2"/>
    </row>
    <row r="153" spans="4:7" x14ac:dyDescent="0.2">
      <c r="D153" s="63"/>
      <c r="E153" s="2"/>
      <c r="F153" s="2"/>
      <c r="G153" s="2"/>
    </row>
    <row r="154" spans="4:7" x14ac:dyDescent="0.2">
      <c r="D154" s="63"/>
      <c r="E154" s="2"/>
      <c r="F154" s="2"/>
      <c r="G154" s="2"/>
    </row>
    <row r="155" spans="4:7" x14ac:dyDescent="0.2">
      <c r="D155" s="63"/>
      <c r="E155" s="2"/>
      <c r="F155" s="2"/>
      <c r="G155" s="2"/>
    </row>
    <row r="156" spans="4:7" x14ac:dyDescent="0.2">
      <c r="D156" s="63"/>
      <c r="E156" s="2"/>
      <c r="F156" s="2"/>
      <c r="G156" s="2"/>
    </row>
    <row r="157" spans="4:7" x14ac:dyDescent="0.2">
      <c r="D157" s="63"/>
      <c r="E157" s="2"/>
      <c r="F157" s="2"/>
      <c r="G157" s="2"/>
    </row>
    <row r="158" spans="4:7" x14ac:dyDescent="0.2">
      <c r="D158" s="63"/>
      <c r="E158" s="2"/>
      <c r="F158" s="2"/>
      <c r="G158" s="2"/>
    </row>
    <row r="159" spans="4:7" x14ac:dyDescent="0.2">
      <c r="D159" s="63"/>
      <c r="E159" s="2"/>
      <c r="F159" s="2"/>
      <c r="G159" s="2"/>
    </row>
    <row r="160" spans="4:7" x14ac:dyDescent="0.2">
      <c r="D160" s="63"/>
      <c r="E160" s="2"/>
      <c r="F160" s="2"/>
      <c r="G160" s="2"/>
    </row>
    <row r="161" spans="4:7" x14ac:dyDescent="0.2">
      <c r="D161" s="63"/>
      <c r="E161" s="2"/>
      <c r="F161" s="2"/>
      <c r="G161" s="2"/>
    </row>
    <row r="162" spans="4:7" x14ac:dyDescent="0.2">
      <c r="D162" s="63"/>
      <c r="E162" s="2"/>
      <c r="F162" s="2"/>
      <c r="G162" s="2"/>
    </row>
    <row r="163" spans="4:7" x14ac:dyDescent="0.2">
      <c r="D163" s="63"/>
      <c r="E163" s="2"/>
      <c r="F163" s="2"/>
      <c r="G163" s="2"/>
    </row>
    <row r="164" spans="4:7" x14ac:dyDescent="0.2">
      <c r="D164" s="63"/>
      <c r="E164" s="2"/>
      <c r="F164" s="2"/>
      <c r="G164" s="2"/>
    </row>
    <row r="165" spans="4:7" x14ac:dyDescent="0.2">
      <c r="D165" s="63"/>
      <c r="E165" s="2"/>
      <c r="F165" s="2"/>
      <c r="G165" s="2"/>
    </row>
    <row r="166" spans="4:7" x14ac:dyDescent="0.2">
      <c r="D166" s="63"/>
      <c r="E166" s="2"/>
      <c r="F166" s="2"/>
      <c r="G166" s="2"/>
    </row>
    <row r="167" spans="4:7" x14ac:dyDescent="0.2">
      <c r="D167" s="63"/>
      <c r="E167" s="2"/>
      <c r="F167" s="2"/>
      <c r="G167" s="2"/>
    </row>
    <row r="168" spans="4:7" x14ac:dyDescent="0.2">
      <c r="D168" s="63"/>
      <c r="E168" s="2"/>
      <c r="F168" s="2"/>
      <c r="G168" s="2"/>
    </row>
    <row r="169" spans="4:7" x14ac:dyDescent="0.2">
      <c r="D169" s="63"/>
      <c r="E169" s="2"/>
      <c r="F169" s="2"/>
      <c r="G169" s="2"/>
    </row>
    <row r="170" spans="4:7" x14ac:dyDescent="0.2">
      <c r="D170" s="63"/>
      <c r="E170" s="2"/>
      <c r="F170" s="2"/>
      <c r="G170" s="2"/>
    </row>
    <row r="171" spans="4:7" x14ac:dyDescent="0.2">
      <c r="D171" s="63"/>
      <c r="E171" s="2"/>
      <c r="F171" s="2"/>
      <c r="G171" s="2"/>
    </row>
    <row r="172" spans="4:7" x14ac:dyDescent="0.2">
      <c r="D172" s="63"/>
      <c r="E172" s="2"/>
      <c r="F172" s="2"/>
      <c r="G172" s="2"/>
    </row>
    <row r="173" spans="4:7" x14ac:dyDescent="0.2">
      <c r="D173" s="63"/>
      <c r="E173" s="2"/>
      <c r="F173" s="2"/>
      <c r="G173" s="2"/>
    </row>
    <row r="174" spans="4:7" x14ac:dyDescent="0.2">
      <c r="D174" s="63"/>
      <c r="E174" s="2"/>
      <c r="F174" s="2"/>
      <c r="G174" s="2"/>
    </row>
    <row r="175" spans="4:7" x14ac:dyDescent="0.2">
      <c r="D175" s="63"/>
      <c r="E175" s="2"/>
      <c r="F175" s="2"/>
      <c r="G175" s="2"/>
    </row>
    <row r="176" spans="4:7" x14ac:dyDescent="0.2">
      <c r="D176" s="63"/>
      <c r="E176" s="2"/>
      <c r="F176" s="2"/>
      <c r="G176" s="2"/>
    </row>
    <row r="177" spans="4:7" x14ac:dyDescent="0.2">
      <c r="D177" s="63"/>
      <c r="E177" s="2"/>
      <c r="F177" s="2"/>
      <c r="G177" s="2"/>
    </row>
    <row r="178" spans="4:7" x14ac:dyDescent="0.2">
      <c r="D178" s="63"/>
      <c r="E178" s="2"/>
      <c r="F178" s="2"/>
      <c r="G178" s="2"/>
    </row>
    <row r="179" spans="4:7" x14ac:dyDescent="0.2">
      <c r="D179" s="63"/>
      <c r="E179" s="2"/>
      <c r="F179" s="2"/>
      <c r="G179" s="2"/>
    </row>
    <row r="180" spans="4:7" x14ac:dyDescent="0.2">
      <c r="D180" s="63"/>
      <c r="E180" s="2"/>
      <c r="F180" s="2"/>
      <c r="G180" s="2"/>
    </row>
    <row r="181" spans="4:7" x14ac:dyDescent="0.2">
      <c r="D181" s="63"/>
      <c r="E181" s="2"/>
      <c r="F181" s="2"/>
      <c r="G181" s="2"/>
    </row>
    <row r="182" spans="4:7" x14ac:dyDescent="0.2">
      <c r="D182" s="63"/>
      <c r="E182" s="2"/>
      <c r="F182" s="2"/>
      <c r="G182" s="2"/>
    </row>
    <row r="183" spans="4:7" x14ac:dyDescent="0.2">
      <c r="D183" s="63"/>
      <c r="E183" s="2"/>
      <c r="F183" s="2"/>
      <c r="G183" s="2"/>
    </row>
    <row r="184" spans="4:7" x14ac:dyDescent="0.2">
      <c r="D184" s="63"/>
      <c r="E184" s="2"/>
      <c r="F184" s="2"/>
      <c r="G184" s="2"/>
    </row>
    <row r="185" spans="4:7" x14ac:dyDescent="0.2">
      <c r="D185" s="63"/>
      <c r="E185" s="2"/>
      <c r="F185" s="2"/>
      <c r="G185" s="2"/>
    </row>
    <row r="186" spans="4:7" x14ac:dyDescent="0.2">
      <c r="D186" s="63"/>
      <c r="E186" s="2"/>
      <c r="F186" s="2"/>
      <c r="G186" s="2"/>
    </row>
    <row r="187" spans="4:7" x14ac:dyDescent="0.2">
      <c r="D187" s="63"/>
      <c r="E187" s="2"/>
      <c r="F187" s="2"/>
      <c r="G187" s="2"/>
    </row>
    <row r="188" spans="4:7" x14ac:dyDescent="0.2">
      <c r="D188" s="63"/>
      <c r="E188" s="2"/>
      <c r="F188" s="2"/>
      <c r="G188" s="2"/>
    </row>
    <row r="189" spans="4:7" x14ac:dyDescent="0.2">
      <c r="D189" s="63"/>
      <c r="E189" s="2"/>
      <c r="F189" s="2"/>
      <c r="G189" s="2"/>
    </row>
    <row r="190" spans="4:7" x14ac:dyDescent="0.2">
      <c r="D190" s="63"/>
      <c r="E190" s="2"/>
      <c r="F190" s="2"/>
      <c r="G190" s="2"/>
    </row>
    <row r="191" spans="4:7" x14ac:dyDescent="0.2">
      <c r="D191" s="63"/>
      <c r="E191" s="2"/>
      <c r="F191" s="2"/>
      <c r="G191" s="2"/>
    </row>
    <row r="192" spans="4:7" x14ac:dyDescent="0.2">
      <c r="D192" s="63"/>
      <c r="E192" s="2"/>
      <c r="F192" s="2"/>
      <c r="G192" s="2"/>
    </row>
    <row r="193" spans="4:7" x14ac:dyDescent="0.2">
      <c r="D193" s="63"/>
      <c r="E193" s="2"/>
      <c r="F193" s="2"/>
      <c r="G193" s="2"/>
    </row>
    <row r="194" spans="4:7" x14ac:dyDescent="0.2">
      <c r="D194" s="63"/>
      <c r="E194" s="2"/>
      <c r="F194" s="2"/>
      <c r="G194" s="2"/>
    </row>
    <row r="195" spans="4:7" x14ac:dyDescent="0.2">
      <c r="D195" s="63"/>
      <c r="E195" s="2"/>
      <c r="F195" s="2"/>
      <c r="G195" s="2"/>
    </row>
    <row r="196" spans="4:7" x14ac:dyDescent="0.2">
      <c r="D196" s="63"/>
      <c r="E196" s="2"/>
      <c r="F196" s="2"/>
      <c r="G196" s="2"/>
    </row>
    <row r="197" spans="4:7" x14ac:dyDescent="0.2">
      <c r="D197" s="63"/>
      <c r="E197" s="2"/>
      <c r="F197" s="2"/>
      <c r="G197" s="2"/>
    </row>
    <row r="198" spans="4:7" x14ac:dyDescent="0.2">
      <c r="D198" s="63"/>
      <c r="E198" s="2"/>
      <c r="F198" s="2"/>
      <c r="G198" s="2"/>
    </row>
    <row r="199" spans="4:7" x14ac:dyDescent="0.2">
      <c r="D199" s="63"/>
      <c r="E199" s="2"/>
      <c r="F199" s="2"/>
      <c r="G199" s="2"/>
    </row>
    <row r="200" spans="4:7" x14ac:dyDescent="0.2">
      <c r="D200" s="63"/>
      <c r="E200" s="2"/>
      <c r="F200" s="2"/>
      <c r="G200" s="2"/>
    </row>
    <row r="201" spans="4:7" x14ac:dyDescent="0.2">
      <c r="D201" s="63"/>
      <c r="E201" s="2"/>
      <c r="F201" s="2"/>
      <c r="G201" s="2"/>
    </row>
    <row r="202" spans="4:7" x14ac:dyDescent="0.2">
      <c r="D202" s="63"/>
      <c r="E202" s="2"/>
      <c r="F202" s="2"/>
      <c r="G202" s="2"/>
    </row>
    <row r="203" spans="4:7" x14ac:dyDescent="0.2">
      <c r="D203" s="63"/>
      <c r="E203" s="2"/>
      <c r="F203" s="2"/>
      <c r="G203" s="2"/>
    </row>
    <row r="204" spans="4:7" x14ac:dyDescent="0.2">
      <c r="D204" s="63"/>
      <c r="E204" s="2"/>
      <c r="F204" s="2"/>
      <c r="G204" s="2"/>
    </row>
    <row r="205" spans="4:7" x14ac:dyDescent="0.2">
      <c r="D205" s="63"/>
      <c r="E205" s="2"/>
      <c r="F205" s="2"/>
      <c r="G205" s="2"/>
    </row>
    <row r="206" spans="4:7" x14ac:dyDescent="0.2">
      <c r="D206" s="63"/>
      <c r="E206" s="2"/>
      <c r="F206" s="2"/>
      <c r="G206" s="2"/>
    </row>
    <row r="207" spans="4:7" x14ac:dyDescent="0.2">
      <c r="D207" s="63"/>
      <c r="E207" s="2"/>
      <c r="F207" s="2"/>
      <c r="G207" s="2"/>
    </row>
    <row r="208" spans="4:7" x14ac:dyDescent="0.2">
      <c r="D208" s="63"/>
      <c r="E208" s="2"/>
      <c r="F208" s="2"/>
      <c r="G208" s="2"/>
    </row>
    <row r="209" spans="4:7" x14ac:dyDescent="0.2">
      <c r="D209" s="63"/>
      <c r="E209" s="2"/>
      <c r="F209" s="2"/>
      <c r="G209" s="2"/>
    </row>
    <row r="210" spans="4:7" x14ac:dyDescent="0.2">
      <c r="D210" s="63"/>
      <c r="E210" s="2"/>
      <c r="F210" s="2"/>
      <c r="G210" s="2"/>
    </row>
    <row r="211" spans="4:7" x14ac:dyDescent="0.2">
      <c r="D211" s="63"/>
      <c r="E211" s="2"/>
      <c r="F211" s="2"/>
      <c r="G211" s="2"/>
    </row>
    <row r="212" spans="4:7" x14ac:dyDescent="0.2">
      <c r="D212" s="63"/>
      <c r="E212" s="2"/>
      <c r="F212" s="2"/>
      <c r="G212" s="2"/>
    </row>
    <row r="213" spans="4:7" x14ac:dyDescent="0.2">
      <c r="D213" s="63"/>
      <c r="E213" s="2"/>
      <c r="F213" s="2"/>
      <c r="G213" s="2"/>
    </row>
    <row r="214" spans="4:7" x14ac:dyDescent="0.2">
      <c r="D214" s="63"/>
      <c r="E214" s="2"/>
      <c r="F214" s="2"/>
      <c r="G214" s="2"/>
    </row>
    <row r="215" spans="4:7" x14ac:dyDescent="0.2">
      <c r="D215" s="63"/>
      <c r="E215" s="2"/>
      <c r="F215" s="2"/>
      <c r="G215" s="2"/>
    </row>
    <row r="216" spans="4:7" x14ac:dyDescent="0.2">
      <c r="D216" s="63"/>
      <c r="E216" s="2"/>
      <c r="F216" s="2"/>
      <c r="G216" s="2"/>
    </row>
    <row r="217" spans="4:7" x14ac:dyDescent="0.2">
      <c r="D217" s="63"/>
      <c r="E217" s="2"/>
      <c r="F217" s="2"/>
      <c r="G217" s="2"/>
    </row>
    <row r="218" spans="4:7" x14ac:dyDescent="0.2">
      <c r="D218" s="63"/>
      <c r="E218" s="2"/>
      <c r="F218" s="2"/>
      <c r="G218" s="2"/>
    </row>
    <row r="219" spans="4:7" x14ac:dyDescent="0.2">
      <c r="D219" s="63"/>
      <c r="E219" s="2"/>
      <c r="F219" s="2"/>
      <c r="G219" s="2"/>
    </row>
    <row r="220" spans="4:7" x14ac:dyDescent="0.2">
      <c r="D220" s="63"/>
      <c r="E220" s="2"/>
      <c r="F220" s="2"/>
      <c r="G220" s="2"/>
    </row>
    <row r="221" spans="4:7" x14ac:dyDescent="0.2">
      <c r="D221" s="63"/>
      <c r="E221" s="2"/>
      <c r="F221" s="2"/>
      <c r="G221" s="2"/>
    </row>
    <row r="222" spans="4:7" x14ac:dyDescent="0.2">
      <c r="D222" s="63"/>
      <c r="E222" s="2"/>
      <c r="F222" s="2"/>
      <c r="G222" s="2"/>
    </row>
    <row r="223" spans="4:7" x14ac:dyDescent="0.2">
      <c r="D223" s="63"/>
      <c r="E223" s="2"/>
      <c r="F223" s="2"/>
      <c r="G223" s="2"/>
    </row>
    <row r="224" spans="4:7" x14ac:dyDescent="0.2">
      <c r="D224" s="63"/>
      <c r="E224" s="2"/>
      <c r="F224" s="2"/>
      <c r="G224" s="2"/>
    </row>
    <row r="225" spans="4:7" x14ac:dyDescent="0.2">
      <c r="D225" s="63"/>
      <c r="E225" s="2"/>
      <c r="F225" s="2"/>
      <c r="G225" s="2"/>
    </row>
    <row r="226" spans="4:7" x14ac:dyDescent="0.2">
      <c r="D226" s="63"/>
      <c r="E226" s="2"/>
      <c r="F226" s="2"/>
      <c r="G226" s="2"/>
    </row>
    <row r="227" spans="4:7" x14ac:dyDescent="0.2">
      <c r="D227" s="63"/>
      <c r="E227" s="2"/>
      <c r="F227" s="2"/>
      <c r="G227" s="2"/>
    </row>
    <row r="228" spans="4:7" x14ac:dyDescent="0.2">
      <c r="D228" s="63"/>
      <c r="E228" s="2"/>
      <c r="F228" s="2"/>
      <c r="G228" s="2"/>
    </row>
    <row r="229" spans="4:7" x14ac:dyDescent="0.2">
      <c r="D229" s="63"/>
      <c r="E229" s="2"/>
      <c r="F229" s="2"/>
      <c r="G229" s="2"/>
    </row>
    <row r="230" spans="4:7" x14ac:dyDescent="0.2">
      <c r="D230" s="63"/>
      <c r="E230" s="2"/>
      <c r="F230" s="2"/>
      <c r="G230" s="2"/>
    </row>
    <row r="231" spans="4:7" x14ac:dyDescent="0.2">
      <c r="D231" s="63"/>
      <c r="E231" s="2"/>
      <c r="F231" s="2"/>
      <c r="G231" s="2"/>
    </row>
    <row r="232" spans="4:7" x14ac:dyDescent="0.2">
      <c r="D232" s="63"/>
      <c r="E232" s="2"/>
      <c r="F232" s="2"/>
      <c r="G232" s="2"/>
    </row>
    <row r="233" spans="4:7" x14ac:dyDescent="0.2">
      <c r="D233" s="63"/>
      <c r="E233" s="2"/>
      <c r="F233" s="2"/>
      <c r="G233" s="2"/>
    </row>
    <row r="234" spans="4:7" x14ac:dyDescent="0.2">
      <c r="D234" s="63"/>
      <c r="E234" s="2"/>
      <c r="F234" s="2"/>
      <c r="G234" s="2"/>
    </row>
    <row r="235" spans="4:7" x14ac:dyDescent="0.2">
      <c r="D235" s="63"/>
      <c r="E235" s="2"/>
      <c r="F235" s="2"/>
      <c r="G235" s="2"/>
    </row>
    <row r="236" spans="4:7" x14ac:dyDescent="0.2">
      <c r="D236" s="63"/>
      <c r="E236" s="2"/>
      <c r="F236" s="2"/>
      <c r="G236" s="2"/>
    </row>
    <row r="237" spans="4:7" x14ac:dyDescent="0.2">
      <c r="D237" s="63"/>
      <c r="E237" s="2"/>
      <c r="F237" s="2"/>
      <c r="G237" s="2"/>
    </row>
    <row r="238" spans="4:7" x14ac:dyDescent="0.2">
      <c r="D238" s="63"/>
      <c r="E238" s="2"/>
      <c r="F238" s="2"/>
      <c r="G238" s="2"/>
    </row>
    <row r="239" spans="4:7" x14ac:dyDescent="0.2">
      <c r="D239" s="63"/>
      <c r="E239" s="2"/>
      <c r="F239" s="2"/>
      <c r="G239" s="2"/>
    </row>
    <row r="240" spans="4:7" x14ac:dyDescent="0.2">
      <c r="D240" s="63"/>
      <c r="E240" s="2"/>
      <c r="F240" s="2"/>
      <c r="G240" s="2"/>
    </row>
    <row r="241" spans="4:7" x14ac:dyDescent="0.2">
      <c r="D241" s="63"/>
      <c r="E241" s="2"/>
      <c r="F241" s="2"/>
      <c r="G241" s="2"/>
    </row>
    <row r="242" spans="4:7" x14ac:dyDescent="0.2">
      <c r="D242" s="63"/>
      <c r="E242" s="2"/>
      <c r="F242" s="2"/>
      <c r="G242" s="2"/>
    </row>
    <row r="243" spans="4:7" x14ac:dyDescent="0.2">
      <c r="D243" s="63"/>
      <c r="E243" s="2"/>
      <c r="F243" s="2"/>
      <c r="G243" s="2"/>
    </row>
    <row r="244" spans="4:7" x14ac:dyDescent="0.2">
      <c r="D244" s="63"/>
      <c r="E244" s="2"/>
      <c r="F244" s="2"/>
      <c r="G244" s="2"/>
    </row>
    <row r="245" spans="4:7" x14ac:dyDescent="0.2">
      <c r="D245" s="63"/>
      <c r="E245" s="2"/>
      <c r="F245" s="2"/>
      <c r="G245" s="2"/>
    </row>
    <row r="246" spans="4:7" x14ac:dyDescent="0.2">
      <c r="D246" s="63"/>
      <c r="E246" s="2"/>
      <c r="F246" s="2"/>
      <c r="G246" s="2"/>
    </row>
    <row r="247" spans="4:7" x14ac:dyDescent="0.2">
      <c r="D247" s="63"/>
      <c r="E247" s="2"/>
      <c r="F247" s="2"/>
      <c r="G247" s="2"/>
    </row>
    <row r="248" spans="4:7" x14ac:dyDescent="0.2">
      <c r="D248" s="63"/>
      <c r="E248" s="2"/>
      <c r="F248" s="2"/>
      <c r="G248" s="2"/>
    </row>
    <row r="249" spans="4:7" x14ac:dyDescent="0.2">
      <c r="D249" s="63"/>
      <c r="E249" s="2"/>
      <c r="F249" s="2"/>
      <c r="G249" s="2"/>
    </row>
    <row r="250" spans="4:7" x14ac:dyDescent="0.2">
      <c r="D250" s="63"/>
      <c r="E250" s="2"/>
      <c r="F250" s="2"/>
      <c r="G250" s="2"/>
    </row>
    <row r="251" spans="4:7" x14ac:dyDescent="0.2">
      <c r="D251" s="63"/>
      <c r="E251" s="2"/>
      <c r="F251" s="2"/>
      <c r="G251" s="2"/>
    </row>
    <row r="252" spans="4:7" x14ac:dyDescent="0.2">
      <c r="D252" s="63"/>
      <c r="E252" s="2"/>
      <c r="F252" s="2"/>
      <c r="G252" s="2"/>
    </row>
    <row r="253" spans="4:7" x14ac:dyDescent="0.2">
      <c r="D253" s="63"/>
      <c r="E253" s="2"/>
      <c r="F253" s="2"/>
      <c r="G253" s="2"/>
    </row>
    <row r="254" spans="4:7" x14ac:dyDescent="0.2">
      <c r="D254" s="63"/>
      <c r="E254" s="2"/>
      <c r="F254" s="2"/>
      <c r="G254" s="2"/>
    </row>
    <row r="255" spans="4:7" x14ac:dyDescent="0.2">
      <c r="D255" s="63"/>
      <c r="E255" s="2"/>
      <c r="F255" s="2"/>
      <c r="G255" s="2"/>
    </row>
    <row r="256" spans="4:7" x14ac:dyDescent="0.2">
      <c r="D256" s="63"/>
      <c r="E256" s="2"/>
      <c r="F256" s="2"/>
      <c r="G256" s="2"/>
    </row>
    <row r="257" spans="4:7" x14ac:dyDescent="0.2">
      <c r="D257" s="63"/>
      <c r="E257" s="2"/>
      <c r="F257" s="2"/>
      <c r="G257" s="2"/>
    </row>
    <row r="258" spans="4:7" x14ac:dyDescent="0.2">
      <c r="D258" s="63"/>
      <c r="E258" s="2"/>
      <c r="F258" s="2"/>
      <c r="G258" s="2"/>
    </row>
    <row r="259" spans="4:7" x14ac:dyDescent="0.2">
      <c r="D259" s="63"/>
      <c r="E259" s="2"/>
      <c r="F259" s="2"/>
      <c r="G259" s="2"/>
    </row>
    <row r="260" spans="4:7" x14ac:dyDescent="0.2">
      <c r="D260" s="63"/>
      <c r="E260" s="2"/>
      <c r="F260" s="2"/>
      <c r="G260" s="2"/>
    </row>
    <row r="261" spans="4:7" x14ac:dyDescent="0.2">
      <c r="D261" s="63"/>
      <c r="E261" s="2"/>
      <c r="F261" s="2"/>
      <c r="G261" s="2"/>
    </row>
    <row r="262" spans="4:7" x14ac:dyDescent="0.2">
      <c r="D262" s="63"/>
      <c r="E262" s="2"/>
      <c r="F262" s="2"/>
      <c r="G262" s="2"/>
    </row>
    <row r="263" spans="4:7" x14ac:dyDescent="0.2">
      <c r="D263" s="63"/>
      <c r="E263" s="2"/>
      <c r="F263" s="2"/>
      <c r="G263" s="2"/>
    </row>
    <row r="264" spans="4:7" x14ac:dyDescent="0.2">
      <c r="D264" s="63"/>
      <c r="E264" s="2"/>
      <c r="F264" s="2"/>
      <c r="G264" s="2"/>
    </row>
    <row r="265" spans="4:7" x14ac:dyDescent="0.2">
      <c r="D265" s="63"/>
      <c r="E265" s="2"/>
      <c r="F265" s="2"/>
      <c r="G265" s="2"/>
    </row>
    <row r="266" spans="4:7" x14ac:dyDescent="0.2">
      <c r="D266" s="63"/>
      <c r="E266" s="2"/>
      <c r="F266" s="2"/>
      <c r="G266" s="2"/>
    </row>
    <row r="267" spans="4:7" x14ac:dyDescent="0.2">
      <c r="D267" s="63"/>
      <c r="E267" s="2"/>
      <c r="F267" s="2"/>
      <c r="G267" s="2"/>
    </row>
    <row r="268" spans="4:7" x14ac:dyDescent="0.2">
      <c r="D268" s="63"/>
      <c r="E268" s="2"/>
      <c r="F268" s="2"/>
      <c r="G268" s="2"/>
    </row>
    <row r="269" spans="4:7" x14ac:dyDescent="0.2">
      <c r="D269" s="63"/>
      <c r="E269" s="2"/>
      <c r="F269" s="2"/>
      <c r="G269" s="2"/>
    </row>
    <row r="270" spans="4:7" x14ac:dyDescent="0.2">
      <c r="D270" s="63"/>
      <c r="E270" s="2"/>
      <c r="F270" s="2"/>
      <c r="G270" s="2"/>
    </row>
    <row r="271" spans="4:7" x14ac:dyDescent="0.2">
      <c r="D271" s="63"/>
      <c r="E271" s="2"/>
      <c r="F271" s="2"/>
      <c r="G271" s="2"/>
    </row>
    <row r="272" spans="4:7" x14ac:dyDescent="0.2">
      <c r="D272" s="63"/>
      <c r="E272" s="2"/>
      <c r="F272" s="2"/>
      <c r="G272" s="2"/>
    </row>
    <row r="273" spans="4:7" x14ac:dyDescent="0.2">
      <c r="D273" s="63"/>
      <c r="E273" s="2"/>
      <c r="F273" s="2"/>
      <c r="G273" s="2"/>
    </row>
    <row r="274" spans="4:7" x14ac:dyDescent="0.2">
      <c r="D274" s="63"/>
      <c r="E274" s="2"/>
      <c r="F274" s="2"/>
      <c r="G274" s="2"/>
    </row>
    <row r="275" spans="4:7" x14ac:dyDescent="0.2">
      <c r="D275" s="63"/>
      <c r="E275" s="2"/>
      <c r="F275" s="2"/>
      <c r="G275" s="2"/>
    </row>
    <row r="276" spans="4:7" x14ac:dyDescent="0.2">
      <c r="D276" s="63"/>
      <c r="E276" s="2"/>
      <c r="F276" s="2"/>
      <c r="G276" s="2"/>
    </row>
    <row r="277" spans="4:7" x14ac:dyDescent="0.2">
      <c r="D277" s="63"/>
      <c r="E277" s="2"/>
      <c r="F277" s="2"/>
      <c r="G277" s="2"/>
    </row>
    <row r="278" spans="4:7" x14ac:dyDescent="0.2">
      <c r="D278" s="63"/>
      <c r="E278" s="2"/>
      <c r="F278" s="2"/>
      <c r="G278" s="2"/>
    </row>
    <row r="279" spans="4:7" x14ac:dyDescent="0.2">
      <c r="D279" s="63"/>
      <c r="E279" s="2"/>
      <c r="F279" s="2"/>
      <c r="G279" s="2"/>
    </row>
    <row r="280" spans="4:7" x14ac:dyDescent="0.2">
      <c r="D280" s="63"/>
      <c r="E280" s="2"/>
      <c r="F280" s="2"/>
      <c r="G280" s="2"/>
    </row>
    <row r="281" spans="4:7" x14ac:dyDescent="0.2">
      <c r="D281" s="63"/>
      <c r="E281" s="2"/>
      <c r="F281" s="2"/>
      <c r="G281" s="2"/>
    </row>
    <row r="282" spans="4:7" x14ac:dyDescent="0.2">
      <c r="D282" s="63"/>
      <c r="E282" s="2"/>
      <c r="F282" s="2"/>
      <c r="G282" s="2"/>
    </row>
    <row r="283" spans="4:7" x14ac:dyDescent="0.2">
      <c r="D283" s="63"/>
      <c r="E283" s="2"/>
      <c r="F283" s="2"/>
      <c r="G283" s="2"/>
    </row>
    <row r="284" spans="4:7" x14ac:dyDescent="0.2">
      <c r="D284" s="63"/>
      <c r="E284" s="2"/>
      <c r="F284" s="2"/>
      <c r="G284" s="2"/>
    </row>
    <row r="285" spans="4:7" x14ac:dyDescent="0.2">
      <c r="D285" s="63"/>
      <c r="E285" s="2"/>
      <c r="F285" s="2"/>
      <c r="G285" s="2"/>
    </row>
    <row r="286" spans="4:7" x14ac:dyDescent="0.2">
      <c r="D286" s="63"/>
      <c r="E286" s="2"/>
      <c r="F286" s="2"/>
      <c r="G286" s="2"/>
    </row>
    <row r="287" spans="4:7" x14ac:dyDescent="0.2">
      <c r="D287" s="63"/>
      <c r="E287" s="2"/>
      <c r="F287" s="2"/>
      <c r="G287" s="2"/>
    </row>
    <row r="288" spans="4:7" x14ac:dyDescent="0.2">
      <c r="D288" s="63"/>
      <c r="E288" s="2"/>
      <c r="F288" s="2"/>
      <c r="G288" s="2"/>
    </row>
    <row r="289" spans="4:7" x14ac:dyDescent="0.2">
      <c r="D289" s="63"/>
      <c r="E289" s="2"/>
      <c r="F289" s="2"/>
      <c r="G289" s="2"/>
    </row>
    <row r="290" spans="4:7" x14ac:dyDescent="0.2">
      <c r="D290" s="63"/>
      <c r="E290" s="2"/>
      <c r="F290" s="2"/>
      <c r="G290" s="2"/>
    </row>
    <row r="291" spans="4:7" x14ac:dyDescent="0.2">
      <c r="D291" s="63"/>
      <c r="E291" s="2"/>
      <c r="F291" s="2"/>
      <c r="G291" s="2"/>
    </row>
    <row r="292" spans="4:7" x14ac:dyDescent="0.2">
      <c r="D292" s="63"/>
      <c r="E292" s="2"/>
      <c r="F292" s="2"/>
      <c r="G292" s="2"/>
    </row>
    <row r="293" spans="4:7" x14ac:dyDescent="0.2">
      <c r="D293" s="63"/>
      <c r="E293" s="2"/>
      <c r="F293" s="2"/>
      <c r="G293" s="2"/>
    </row>
    <row r="294" spans="4:7" x14ac:dyDescent="0.2">
      <c r="D294" s="63"/>
      <c r="E294" s="2"/>
      <c r="F294" s="2"/>
      <c r="G294" s="2"/>
    </row>
    <row r="295" spans="4:7" x14ac:dyDescent="0.2">
      <c r="D295" s="63"/>
      <c r="E295" s="2"/>
      <c r="F295" s="2"/>
      <c r="G295" s="2"/>
    </row>
    <row r="296" spans="4:7" x14ac:dyDescent="0.2">
      <c r="D296" s="63"/>
      <c r="E296" s="2"/>
      <c r="F296" s="2"/>
      <c r="G296" s="2"/>
    </row>
    <row r="297" spans="4:7" x14ac:dyDescent="0.2">
      <c r="D297" s="63"/>
      <c r="E297" s="2"/>
      <c r="F297" s="2"/>
      <c r="G297" s="2"/>
    </row>
    <row r="298" spans="4:7" x14ac:dyDescent="0.2">
      <c r="D298" s="63"/>
      <c r="E298" s="2"/>
      <c r="F298" s="2"/>
      <c r="G298" s="2"/>
    </row>
    <row r="299" spans="4:7" x14ac:dyDescent="0.2">
      <c r="D299" s="63"/>
      <c r="E299" s="2"/>
      <c r="F299" s="2"/>
      <c r="G299" s="2"/>
    </row>
    <row r="300" spans="4:7" x14ac:dyDescent="0.2">
      <c r="D300" s="63"/>
      <c r="E300" s="2"/>
      <c r="F300" s="2"/>
      <c r="G300" s="2"/>
    </row>
    <row r="301" spans="4:7" x14ac:dyDescent="0.2">
      <c r="D301" s="63"/>
      <c r="E301" s="2"/>
      <c r="F301" s="2"/>
      <c r="G301" s="2"/>
    </row>
    <row r="302" spans="4:7" x14ac:dyDescent="0.2">
      <c r="D302" s="63"/>
      <c r="E302" s="2"/>
      <c r="F302" s="2"/>
      <c r="G302" s="2"/>
    </row>
    <row r="303" spans="4:7" x14ac:dyDescent="0.2">
      <c r="D303" s="63"/>
      <c r="E303" s="2"/>
      <c r="F303" s="2"/>
      <c r="G303" s="2"/>
    </row>
    <row r="304" spans="4:7" x14ac:dyDescent="0.2">
      <c r="D304" s="63"/>
      <c r="E304" s="2"/>
      <c r="F304" s="2"/>
      <c r="G304" s="2"/>
    </row>
    <row r="305" spans="4:7" x14ac:dyDescent="0.2">
      <c r="D305" s="63"/>
      <c r="E305" s="2"/>
      <c r="F305" s="2"/>
      <c r="G305" s="2"/>
    </row>
    <row r="306" spans="4:7" x14ac:dyDescent="0.2">
      <c r="D306" s="63"/>
      <c r="E306" s="2"/>
      <c r="F306" s="2"/>
      <c r="G306" s="2"/>
    </row>
    <row r="307" spans="4:7" x14ac:dyDescent="0.2">
      <c r="D307" s="63"/>
      <c r="E307" s="2"/>
      <c r="F307" s="2"/>
      <c r="G307" s="2"/>
    </row>
    <row r="308" spans="4:7" x14ac:dyDescent="0.2">
      <c r="D308" s="63"/>
      <c r="E308" s="2"/>
      <c r="F308" s="2"/>
      <c r="G308" s="2"/>
    </row>
    <row r="309" spans="4:7" x14ac:dyDescent="0.2">
      <c r="D309" s="63"/>
      <c r="E309" s="2"/>
      <c r="F309" s="2"/>
      <c r="G309" s="2"/>
    </row>
    <row r="310" spans="4:7" x14ac:dyDescent="0.2">
      <c r="D310" s="63"/>
      <c r="E310" s="2"/>
      <c r="F310" s="2"/>
      <c r="G310" s="2"/>
    </row>
    <row r="311" spans="4:7" x14ac:dyDescent="0.2">
      <c r="D311" s="63"/>
      <c r="E311" s="2"/>
      <c r="F311" s="2"/>
      <c r="G311" s="2"/>
    </row>
    <row r="312" spans="4:7" x14ac:dyDescent="0.2">
      <c r="D312" s="63"/>
      <c r="E312" s="2"/>
      <c r="F312" s="2"/>
      <c r="G312" s="2"/>
    </row>
    <row r="313" spans="4:7" x14ac:dyDescent="0.2">
      <c r="D313" s="63"/>
      <c r="E313" s="2"/>
      <c r="F313" s="2"/>
      <c r="G313" s="2"/>
    </row>
    <row r="314" spans="4:7" x14ac:dyDescent="0.2">
      <c r="D314" s="63"/>
      <c r="E314" s="2"/>
      <c r="F314" s="2"/>
      <c r="G314" s="2"/>
    </row>
    <row r="315" spans="4:7" x14ac:dyDescent="0.2">
      <c r="D315" s="63"/>
      <c r="E315" s="2"/>
      <c r="F315" s="2"/>
      <c r="G315" s="2"/>
    </row>
    <row r="316" spans="4:7" x14ac:dyDescent="0.2">
      <c r="D316" s="63"/>
      <c r="E316" s="2"/>
      <c r="F316" s="2"/>
      <c r="G316" s="2"/>
    </row>
    <row r="317" spans="4:7" x14ac:dyDescent="0.2">
      <c r="D317" s="63"/>
      <c r="E317" s="2"/>
      <c r="F317" s="2"/>
      <c r="G317" s="2"/>
    </row>
    <row r="318" spans="4:7" x14ac:dyDescent="0.2">
      <c r="D318" s="63"/>
      <c r="E318" s="2"/>
      <c r="F318" s="2"/>
      <c r="G318" s="2"/>
    </row>
    <row r="319" spans="4:7" x14ac:dyDescent="0.2">
      <c r="D319" s="63"/>
      <c r="E319" s="2"/>
      <c r="F319" s="2"/>
      <c r="G319" s="2"/>
    </row>
    <row r="320" spans="4:7" x14ac:dyDescent="0.2">
      <c r="D320" s="63"/>
      <c r="E320" s="2"/>
      <c r="F320" s="2"/>
      <c r="G320" s="2"/>
    </row>
    <row r="321" spans="4:7" x14ac:dyDescent="0.2">
      <c r="D321" s="63"/>
      <c r="E321" s="2"/>
      <c r="F321" s="2"/>
      <c r="G321" s="2"/>
    </row>
    <row r="322" spans="4:7" x14ac:dyDescent="0.2">
      <c r="D322" s="63"/>
      <c r="E322" s="2"/>
      <c r="F322" s="2"/>
      <c r="G322" s="2"/>
    </row>
    <row r="323" spans="4:7" x14ac:dyDescent="0.2">
      <c r="D323" s="63"/>
      <c r="E323" s="2"/>
      <c r="F323" s="2"/>
      <c r="G323" s="2"/>
    </row>
    <row r="324" spans="4:7" x14ac:dyDescent="0.2">
      <c r="D324" s="63"/>
      <c r="E324" s="2"/>
      <c r="F324" s="2"/>
      <c r="G324" s="2"/>
    </row>
    <row r="325" spans="4:7" x14ac:dyDescent="0.2">
      <c r="D325" s="63"/>
      <c r="E325" s="2"/>
      <c r="F325" s="2"/>
      <c r="G325" s="2"/>
    </row>
    <row r="326" spans="4:7" x14ac:dyDescent="0.2">
      <c r="D326" s="63"/>
      <c r="E326" s="2"/>
      <c r="F326" s="2"/>
      <c r="G326" s="2"/>
    </row>
    <row r="327" spans="4:7" x14ac:dyDescent="0.2">
      <c r="D327" s="63"/>
      <c r="E327" s="2"/>
      <c r="F327" s="2"/>
      <c r="G327" s="2"/>
    </row>
    <row r="328" spans="4:7" x14ac:dyDescent="0.2">
      <c r="D328" s="63"/>
      <c r="E328" s="2"/>
      <c r="F328" s="2"/>
      <c r="G328" s="2"/>
    </row>
    <row r="329" spans="4:7" x14ac:dyDescent="0.2">
      <c r="D329" s="63"/>
      <c r="E329" s="2"/>
      <c r="F329" s="2"/>
      <c r="G329" s="2"/>
    </row>
    <row r="330" spans="4:7" x14ac:dyDescent="0.2">
      <c r="D330" s="63"/>
      <c r="E330" s="2"/>
      <c r="F330" s="2"/>
      <c r="G330" s="2"/>
    </row>
    <row r="331" spans="4:7" x14ac:dyDescent="0.2">
      <c r="D331" s="63"/>
      <c r="E331" s="2"/>
      <c r="F331" s="2"/>
      <c r="G331" s="2"/>
    </row>
    <row r="332" spans="4:7" x14ac:dyDescent="0.2">
      <c r="D332" s="63"/>
      <c r="E332" s="2"/>
      <c r="F332" s="2"/>
      <c r="G332" s="2"/>
    </row>
    <row r="333" spans="4:7" x14ac:dyDescent="0.2">
      <c r="D333" s="63"/>
      <c r="E333" s="2"/>
      <c r="F333" s="2"/>
      <c r="G333" s="2"/>
    </row>
    <row r="334" spans="4:7" x14ac:dyDescent="0.2">
      <c r="D334" s="63"/>
      <c r="E334" s="2"/>
      <c r="F334" s="2"/>
      <c r="G334" s="2"/>
    </row>
    <row r="335" spans="4:7" x14ac:dyDescent="0.2">
      <c r="D335" s="63"/>
      <c r="E335" s="2"/>
      <c r="F335" s="2"/>
      <c r="G335" s="2"/>
    </row>
    <row r="336" spans="4:7" x14ac:dyDescent="0.2">
      <c r="D336" s="63"/>
      <c r="E336" s="2"/>
      <c r="F336" s="2"/>
      <c r="G336" s="2"/>
    </row>
    <row r="337" spans="4:7" x14ac:dyDescent="0.2">
      <c r="D337" s="63"/>
      <c r="E337" s="2"/>
      <c r="F337" s="2"/>
      <c r="G337" s="2"/>
    </row>
    <row r="338" spans="4:7" x14ac:dyDescent="0.2">
      <c r="D338" s="63"/>
      <c r="E338" s="2"/>
      <c r="F338" s="2"/>
      <c r="G338" s="2"/>
    </row>
    <row r="339" spans="4:7" x14ac:dyDescent="0.2">
      <c r="D339" s="63"/>
      <c r="E339" s="2"/>
      <c r="F339" s="2"/>
      <c r="G339" s="2"/>
    </row>
    <row r="340" spans="4:7" x14ac:dyDescent="0.2">
      <c r="D340" s="63"/>
      <c r="E340" s="2"/>
      <c r="F340" s="2"/>
      <c r="G340" s="2"/>
    </row>
    <row r="341" spans="4:7" x14ac:dyDescent="0.2">
      <c r="D341" s="63"/>
      <c r="E341" s="2"/>
      <c r="F341" s="2"/>
      <c r="G341" s="2"/>
    </row>
    <row r="342" spans="4:7" x14ac:dyDescent="0.2">
      <c r="D342" s="63"/>
      <c r="E342" s="2"/>
      <c r="F342" s="2"/>
      <c r="G342" s="2"/>
    </row>
    <row r="343" spans="4:7" x14ac:dyDescent="0.2">
      <c r="D343" s="63"/>
      <c r="E343" s="2"/>
      <c r="F343" s="2"/>
      <c r="G343" s="2"/>
    </row>
    <row r="344" spans="4:7" x14ac:dyDescent="0.2">
      <c r="D344" s="63"/>
      <c r="E344" s="2"/>
      <c r="F344" s="2"/>
      <c r="G344" s="2"/>
    </row>
    <row r="345" spans="4:7" x14ac:dyDescent="0.2">
      <c r="D345" s="63"/>
      <c r="E345" s="2"/>
      <c r="F345" s="2"/>
      <c r="G345" s="2"/>
    </row>
    <row r="346" spans="4:7" x14ac:dyDescent="0.2">
      <c r="D346" s="63"/>
      <c r="E346" s="2"/>
      <c r="F346" s="2"/>
      <c r="G346" s="2"/>
    </row>
    <row r="347" spans="4:7" x14ac:dyDescent="0.2">
      <c r="D347" s="63"/>
      <c r="E347" s="2"/>
      <c r="F347" s="2"/>
      <c r="G347" s="2"/>
    </row>
    <row r="348" spans="4:7" x14ac:dyDescent="0.2">
      <c r="D348" s="63"/>
      <c r="E348" s="2"/>
      <c r="F348" s="2"/>
      <c r="G348" s="2"/>
    </row>
    <row r="349" spans="4:7" x14ac:dyDescent="0.2">
      <c r="D349" s="63"/>
      <c r="E349" s="2"/>
      <c r="F349" s="2"/>
      <c r="G349" s="2"/>
    </row>
    <row r="350" spans="4:7" x14ac:dyDescent="0.2">
      <c r="D350" s="63"/>
      <c r="E350" s="2"/>
      <c r="F350" s="2"/>
      <c r="G350" s="2"/>
    </row>
    <row r="351" spans="4:7" x14ac:dyDescent="0.2">
      <c r="D351" s="63"/>
      <c r="E351" s="2"/>
      <c r="F351" s="2"/>
      <c r="G351" s="2"/>
    </row>
    <row r="352" spans="4:7" x14ac:dyDescent="0.2">
      <c r="D352" s="63"/>
      <c r="E352" s="2"/>
      <c r="F352" s="2"/>
      <c r="G352" s="2"/>
    </row>
    <row r="353" spans="4:7" x14ac:dyDescent="0.2">
      <c r="D353" s="63"/>
      <c r="E353" s="2"/>
      <c r="F353" s="2"/>
      <c r="G353" s="2"/>
    </row>
    <row r="354" spans="4:7" x14ac:dyDescent="0.2">
      <c r="D354" s="63"/>
      <c r="E354" s="2"/>
      <c r="F354" s="2"/>
      <c r="G354" s="2"/>
    </row>
    <row r="355" spans="4:7" x14ac:dyDescent="0.2">
      <c r="D355" s="63"/>
      <c r="E355" s="2"/>
      <c r="F355" s="2"/>
      <c r="G355" s="2"/>
    </row>
    <row r="356" spans="4:7" x14ac:dyDescent="0.2">
      <c r="D356" s="63"/>
      <c r="E356" s="2"/>
      <c r="F356" s="2"/>
      <c r="G356" s="2"/>
    </row>
    <row r="357" spans="4:7" x14ac:dyDescent="0.2">
      <c r="D357" s="63"/>
      <c r="E357" s="2"/>
      <c r="F357" s="2"/>
      <c r="G357" s="2"/>
    </row>
    <row r="358" spans="4:7" x14ac:dyDescent="0.2">
      <c r="D358" s="63"/>
      <c r="E358" s="2"/>
      <c r="F358" s="2"/>
      <c r="G358" s="2"/>
    </row>
    <row r="359" spans="4:7" x14ac:dyDescent="0.2">
      <c r="D359" s="63"/>
      <c r="E359" s="2"/>
      <c r="F359" s="2"/>
      <c r="G359" s="2"/>
    </row>
    <row r="360" spans="4:7" x14ac:dyDescent="0.2">
      <c r="D360" s="63"/>
      <c r="E360" s="2"/>
      <c r="F360" s="2"/>
      <c r="G360" s="2"/>
    </row>
    <row r="361" spans="4:7" x14ac:dyDescent="0.2">
      <c r="D361" s="63"/>
      <c r="E361" s="2"/>
      <c r="F361" s="2"/>
      <c r="G361" s="2"/>
    </row>
    <row r="362" spans="4:7" x14ac:dyDescent="0.2">
      <c r="D362" s="63"/>
      <c r="E362" s="2"/>
      <c r="F362" s="2"/>
      <c r="G362" s="2"/>
    </row>
    <row r="363" spans="4:7" x14ac:dyDescent="0.2">
      <c r="D363" s="63"/>
      <c r="E363" s="2"/>
      <c r="F363" s="2"/>
      <c r="G363" s="2"/>
    </row>
    <row r="364" spans="4:7" x14ac:dyDescent="0.2">
      <c r="D364" s="63"/>
      <c r="E364" s="2"/>
      <c r="F364" s="2"/>
      <c r="G364" s="2"/>
    </row>
    <row r="365" spans="4:7" x14ac:dyDescent="0.2">
      <c r="D365" s="63"/>
      <c r="E365" s="2"/>
      <c r="F365" s="2"/>
      <c r="G365" s="2"/>
    </row>
    <row r="366" spans="4:7" x14ac:dyDescent="0.2">
      <c r="D366" s="63"/>
      <c r="E366" s="2"/>
      <c r="F366" s="2"/>
      <c r="G366" s="2"/>
    </row>
    <row r="367" spans="4:7" x14ac:dyDescent="0.2">
      <c r="D367" s="63"/>
      <c r="E367" s="2"/>
      <c r="F367" s="2"/>
      <c r="G367" s="2"/>
    </row>
    <row r="368" spans="4:7" x14ac:dyDescent="0.2">
      <c r="D368" s="63"/>
      <c r="E368" s="2"/>
      <c r="F368" s="2"/>
      <c r="G368" s="2"/>
    </row>
    <row r="369" spans="4:7" x14ac:dyDescent="0.2">
      <c r="D369" s="63"/>
      <c r="E369" s="2"/>
      <c r="F369" s="2"/>
      <c r="G369" s="2"/>
    </row>
    <row r="370" spans="4:7" x14ac:dyDescent="0.2">
      <c r="D370" s="63"/>
      <c r="E370" s="2"/>
      <c r="F370" s="2"/>
      <c r="G370" s="2"/>
    </row>
    <row r="371" spans="4:7" x14ac:dyDescent="0.2">
      <c r="D371" s="63"/>
      <c r="E371" s="2"/>
      <c r="F371" s="2"/>
      <c r="G371" s="2"/>
    </row>
    <row r="372" spans="4:7" x14ac:dyDescent="0.2">
      <c r="D372" s="63"/>
      <c r="E372" s="2"/>
      <c r="F372" s="2"/>
      <c r="G372" s="2"/>
    </row>
    <row r="373" spans="4:7" x14ac:dyDescent="0.2">
      <c r="D373" s="63"/>
      <c r="E373" s="2"/>
      <c r="F373" s="2"/>
      <c r="G373" s="2"/>
    </row>
    <row r="374" spans="4:7" x14ac:dyDescent="0.2">
      <c r="D374" s="63"/>
      <c r="E374" s="2"/>
      <c r="F374" s="2"/>
      <c r="G374" s="2"/>
    </row>
    <row r="375" spans="4:7" x14ac:dyDescent="0.2">
      <c r="D375" s="63"/>
      <c r="E375" s="2"/>
      <c r="F375" s="2"/>
      <c r="G375" s="2"/>
    </row>
    <row r="376" spans="4:7" x14ac:dyDescent="0.2">
      <c r="D376" s="63"/>
      <c r="E376" s="2"/>
      <c r="F376" s="2"/>
      <c r="G376" s="2"/>
    </row>
    <row r="377" spans="4:7" x14ac:dyDescent="0.2">
      <c r="D377" s="63"/>
      <c r="E377" s="2"/>
      <c r="F377" s="2"/>
      <c r="G377" s="2"/>
    </row>
    <row r="378" spans="4:7" x14ac:dyDescent="0.2">
      <c r="D378" s="63"/>
      <c r="E378" s="2"/>
      <c r="F378" s="2"/>
      <c r="G378" s="2"/>
    </row>
    <row r="379" spans="4:7" x14ac:dyDescent="0.2">
      <c r="D379" s="63"/>
      <c r="E379" s="2"/>
      <c r="F379" s="2"/>
      <c r="G379" s="2"/>
    </row>
    <row r="380" spans="4:7" x14ac:dyDescent="0.2">
      <c r="D380" s="63"/>
      <c r="E380" s="2"/>
      <c r="F380" s="2"/>
      <c r="G380" s="2"/>
    </row>
    <row r="381" spans="4:7" x14ac:dyDescent="0.2">
      <c r="D381" s="63"/>
      <c r="E381" s="2"/>
      <c r="F381" s="2"/>
      <c r="G381" s="2"/>
    </row>
    <row r="382" spans="4:7" x14ac:dyDescent="0.2">
      <c r="D382" s="63"/>
      <c r="E382" s="2"/>
      <c r="F382" s="2"/>
      <c r="G382" s="2"/>
    </row>
    <row r="383" spans="4:7" x14ac:dyDescent="0.2">
      <c r="D383" s="63"/>
      <c r="E383" s="2"/>
      <c r="F383" s="2"/>
      <c r="G383" s="2"/>
    </row>
    <row r="384" spans="4:7" x14ac:dyDescent="0.2">
      <c r="D384" s="63"/>
      <c r="E384" s="2"/>
      <c r="F384" s="2"/>
      <c r="G384" s="2"/>
    </row>
    <row r="385" spans="4:7" x14ac:dyDescent="0.2">
      <c r="D385" s="63"/>
      <c r="E385" s="2"/>
      <c r="F385" s="2"/>
      <c r="G385" s="2"/>
    </row>
    <row r="386" spans="4:7" x14ac:dyDescent="0.2">
      <c r="D386" s="63"/>
      <c r="E386" s="2"/>
      <c r="F386" s="2"/>
      <c r="G386" s="2"/>
    </row>
    <row r="387" spans="4:7" x14ac:dyDescent="0.2">
      <c r="D387" s="63"/>
      <c r="E387" s="2"/>
      <c r="F387" s="2"/>
      <c r="G387" s="2"/>
    </row>
    <row r="388" spans="4:7" x14ac:dyDescent="0.2">
      <c r="D388" s="63"/>
      <c r="E388" s="2"/>
      <c r="F388" s="2"/>
      <c r="G388" s="2"/>
    </row>
    <row r="389" spans="4:7" x14ac:dyDescent="0.2">
      <c r="D389" s="63"/>
      <c r="E389" s="2"/>
      <c r="F389" s="2"/>
      <c r="G389" s="2"/>
    </row>
    <row r="390" spans="4:7" x14ac:dyDescent="0.2">
      <c r="D390" s="63"/>
      <c r="E390" s="2"/>
      <c r="F390" s="2"/>
      <c r="G390" s="2"/>
    </row>
    <row r="391" spans="4:7" x14ac:dyDescent="0.2">
      <c r="D391" s="63"/>
      <c r="E391" s="2"/>
      <c r="F391" s="2"/>
      <c r="G391" s="2"/>
    </row>
    <row r="392" spans="4:7" x14ac:dyDescent="0.2">
      <c r="D392" s="63"/>
      <c r="E392" s="2"/>
      <c r="F392" s="2"/>
      <c r="G392" s="2"/>
    </row>
    <row r="393" spans="4:7" x14ac:dyDescent="0.2">
      <c r="D393" s="63"/>
      <c r="E393" s="2"/>
      <c r="F393" s="2"/>
      <c r="G393" s="2"/>
    </row>
    <row r="394" spans="4:7" x14ac:dyDescent="0.2">
      <c r="D394" s="63"/>
      <c r="E394" s="2"/>
      <c r="F394" s="2"/>
      <c r="G394" s="2"/>
    </row>
    <row r="395" spans="4:7" x14ac:dyDescent="0.2">
      <c r="D395" s="63"/>
      <c r="E395" s="2"/>
      <c r="F395" s="2"/>
      <c r="G395" s="2"/>
    </row>
    <row r="396" spans="4:7" x14ac:dyDescent="0.2">
      <c r="D396" s="63"/>
      <c r="E396" s="2"/>
      <c r="F396" s="2"/>
      <c r="G396" s="2"/>
    </row>
    <row r="397" spans="4:7" x14ac:dyDescent="0.2">
      <c r="D397" s="63"/>
      <c r="E397" s="2"/>
      <c r="F397" s="2"/>
      <c r="G397" s="2"/>
    </row>
    <row r="398" spans="4:7" x14ac:dyDescent="0.2">
      <c r="D398" s="63"/>
      <c r="E398" s="2"/>
      <c r="F398" s="2"/>
      <c r="G398" s="2"/>
    </row>
    <row r="399" spans="4:7" x14ac:dyDescent="0.2">
      <c r="D399" s="63"/>
      <c r="E399" s="2"/>
      <c r="F399" s="2"/>
      <c r="G399" s="2"/>
    </row>
    <row r="400" spans="4:7" x14ac:dyDescent="0.2">
      <c r="D400" s="63"/>
      <c r="E400" s="2"/>
      <c r="F400" s="2"/>
      <c r="G400" s="2"/>
    </row>
    <row r="401" spans="4:7" x14ac:dyDescent="0.2">
      <c r="D401" s="63"/>
      <c r="E401" s="2"/>
      <c r="F401" s="2"/>
      <c r="G401" s="2"/>
    </row>
    <row r="402" spans="4:7" x14ac:dyDescent="0.2">
      <c r="D402" s="63"/>
    </row>
    <row r="403" spans="4:7" x14ac:dyDescent="0.2">
      <c r="D403" s="63"/>
    </row>
    <row r="404" spans="4:7" x14ac:dyDescent="0.2">
      <c r="D404" s="63"/>
    </row>
    <row r="405" spans="4:7" x14ac:dyDescent="0.2">
      <c r="D405" s="63"/>
    </row>
    <row r="406" spans="4:7" x14ac:dyDescent="0.2">
      <c r="D406" s="63"/>
    </row>
    <row r="407" spans="4:7" x14ac:dyDescent="0.2">
      <c r="D407" s="63"/>
    </row>
    <row r="408" spans="4:7" x14ac:dyDescent="0.2">
      <c r="D408" s="63"/>
    </row>
    <row r="409" spans="4:7" x14ac:dyDescent="0.2">
      <c r="D409" s="63"/>
    </row>
    <row r="410" spans="4:7" x14ac:dyDescent="0.2">
      <c r="D410" s="63"/>
    </row>
    <row r="411" spans="4:7" x14ac:dyDescent="0.2">
      <c r="D411" s="63"/>
    </row>
    <row r="412" spans="4:7" x14ac:dyDescent="0.2">
      <c r="D412" s="63"/>
    </row>
    <row r="413" spans="4:7" x14ac:dyDescent="0.2">
      <c r="D413" s="63"/>
    </row>
    <row r="414" spans="4:7" x14ac:dyDescent="0.2">
      <c r="D414" s="63"/>
    </row>
    <row r="415" spans="4:7" x14ac:dyDescent="0.2">
      <c r="D415" s="63"/>
    </row>
    <row r="416" spans="4:7" x14ac:dyDescent="0.2">
      <c r="D416" s="63"/>
    </row>
    <row r="417" spans="4:4" x14ac:dyDescent="0.2">
      <c r="D417" s="63"/>
    </row>
    <row r="418" spans="4:4" x14ac:dyDescent="0.2">
      <c r="D418" s="63"/>
    </row>
    <row r="419" spans="4:4" x14ac:dyDescent="0.2">
      <c r="D419" s="63"/>
    </row>
    <row r="420" spans="4:4" x14ac:dyDescent="0.2">
      <c r="D420" s="63"/>
    </row>
    <row r="421" spans="4:4" x14ac:dyDescent="0.2">
      <c r="D421" s="63"/>
    </row>
    <row r="422" spans="4:4" x14ac:dyDescent="0.2">
      <c r="D422" s="63"/>
    </row>
    <row r="423" spans="4:4" x14ac:dyDescent="0.2">
      <c r="D423" s="63"/>
    </row>
    <row r="424" spans="4:4" x14ac:dyDescent="0.2">
      <c r="D424" s="63"/>
    </row>
    <row r="425" spans="4:4" x14ac:dyDescent="0.2">
      <c r="D425" s="63"/>
    </row>
    <row r="426" spans="4:4" x14ac:dyDescent="0.2">
      <c r="D426" s="63"/>
    </row>
    <row r="427" spans="4:4" x14ac:dyDescent="0.2">
      <c r="D427" s="63"/>
    </row>
    <row r="428" spans="4:4" x14ac:dyDescent="0.2">
      <c r="D428" s="63"/>
    </row>
    <row r="429" spans="4:4" x14ac:dyDescent="0.2">
      <c r="D429" s="63"/>
    </row>
    <row r="430" spans="4:4" x14ac:dyDescent="0.2">
      <c r="D430" s="63"/>
    </row>
    <row r="431" spans="4:4" x14ac:dyDescent="0.2">
      <c r="D431" s="63"/>
    </row>
    <row r="432" spans="4:4" x14ac:dyDescent="0.2">
      <c r="D432" s="63"/>
    </row>
    <row r="433" spans="4:4" x14ac:dyDescent="0.2">
      <c r="D433" s="63"/>
    </row>
    <row r="434" spans="4:4" x14ac:dyDescent="0.2">
      <c r="D434" s="63"/>
    </row>
    <row r="435" spans="4:4" x14ac:dyDescent="0.2">
      <c r="D435" s="63"/>
    </row>
    <row r="436" spans="4:4" x14ac:dyDescent="0.2">
      <c r="D436" s="63"/>
    </row>
    <row r="437" spans="4:4" x14ac:dyDescent="0.2">
      <c r="D437" s="63"/>
    </row>
    <row r="438" spans="4:4" x14ac:dyDescent="0.2">
      <c r="D438" s="63"/>
    </row>
    <row r="439" spans="4:4" x14ac:dyDescent="0.2">
      <c r="D439" s="63"/>
    </row>
    <row r="440" spans="4:4" x14ac:dyDescent="0.2">
      <c r="D440" s="63"/>
    </row>
    <row r="441" spans="4:4" x14ac:dyDescent="0.2">
      <c r="D441" s="63"/>
    </row>
    <row r="442" spans="4:4" x14ac:dyDescent="0.2">
      <c r="D442" s="63"/>
    </row>
    <row r="443" spans="4:4" x14ac:dyDescent="0.2">
      <c r="D443" s="63"/>
    </row>
    <row r="444" spans="4:4" x14ac:dyDescent="0.2">
      <c r="D444" s="63"/>
    </row>
    <row r="445" spans="4:4" x14ac:dyDescent="0.2">
      <c r="D445" s="63"/>
    </row>
    <row r="446" spans="4:4" x14ac:dyDescent="0.2">
      <c r="D446" s="63"/>
    </row>
    <row r="447" spans="4:4" x14ac:dyDescent="0.2">
      <c r="D447" s="63"/>
    </row>
    <row r="448" spans="4:4" x14ac:dyDescent="0.2">
      <c r="D448" s="63"/>
    </row>
    <row r="449" spans="4:4" x14ac:dyDescent="0.2">
      <c r="D449" s="63"/>
    </row>
    <row r="450" spans="4:4" x14ac:dyDescent="0.2">
      <c r="D450" s="63"/>
    </row>
    <row r="451" spans="4:4" x14ac:dyDescent="0.2">
      <c r="D451" s="63"/>
    </row>
    <row r="452" spans="4:4" x14ac:dyDescent="0.2">
      <c r="D452" s="63"/>
    </row>
    <row r="453" spans="4:4" x14ac:dyDescent="0.2">
      <c r="D453" s="63"/>
    </row>
    <row r="454" spans="4:4" x14ac:dyDescent="0.2">
      <c r="D454" s="63"/>
    </row>
    <row r="455" spans="4:4" x14ac:dyDescent="0.2">
      <c r="D455" s="63"/>
    </row>
    <row r="456" spans="4:4" x14ac:dyDescent="0.2">
      <c r="D456" s="63"/>
    </row>
    <row r="457" spans="4:4" x14ac:dyDescent="0.2">
      <c r="D457" s="63"/>
    </row>
    <row r="458" spans="4:4" x14ac:dyDescent="0.2">
      <c r="D458" s="63"/>
    </row>
    <row r="459" spans="4:4" x14ac:dyDescent="0.2">
      <c r="D459" s="63"/>
    </row>
    <row r="460" spans="4:4" x14ac:dyDescent="0.2">
      <c r="D460" s="63"/>
    </row>
    <row r="461" spans="4:4" x14ac:dyDescent="0.2">
      <c r="D461" s="63"/>
    </row>
    <row r="462" spans="4:4" x14ac:dyDescent="0.2">
      <c r="D462" s="63"/>
    </row>
    <row r="463" spans="4:4" x14ac:dyDescent="0.2">
      <c r="D463" s="63"/>
    </row>
    <row r="464" spans="4:4" x14ac:dyDescent="0.2">
      <c r="D464" s="63"/>
    </row>
    <row r="465" spans="4:4" x14ac:dyDescent="0.2">
      <c r="D465" s="63"/>
    </row>
    <row r="466" spans="4:4" x14ac:dyDescent="0.2">
      <c r="D466" s="63"/>
    </row>
    <row r="467" spans="4:4" x14ac:dyDescent="0.2">
      <c r="D467" s="63"/>
    </row>
    <row r="468" spans="4:4" x14ac:dyDescent="0.2">
      <c r="D468" s="63"/>
    </row>
    <row r="469" spans="4:4" x14ac:dyDescent="0.2">
      <c r="D469" s="63"/>
    </row>
    <row r="470" spans="4:4" x14ac:dyDescent="0.2">
      <c r="D470" s="63"/>
    </row>
    <row r="471" spans="4:4" x14ac:dyDescent="0.2">
      <c r="D471" s="63"/>
    </row>
    <row r="472" spans="4:4" x14ac:dyDescent="0.2">
      <c r="D472" s="63"/>
    </row>
    <row r="473" spans="4:4" x14ac:dyDescent="0.2">
      <c r="D473" s="63"/>
    </row>
    <row r="474" spans="4:4" x14ac:dyDescent="0.2">
      <c r="D474" s="63"/>
    </row>
    <row r="475" spans="4:4" x14ac:dyDescent="0.2">
      <c r="D475" s="63"/>
    </row>
    <row r="476" spans="4:4" x14ac:dyDescent="0.2">
      <c r="D476" s="63"/>
    </row>
    <row r="477" spans="4:4" x14ac:dyDescent="0.2">
      <c r="D477" s="63"/>
    </row>
    <row r="478" spans="4:4" x14ac:dyDescent="0.2">
      <c r="D478" s="63"/>
    </row>
    <row r="479" spans="4:4" x14ac:dyDescent="0.2">
      <c r="D479" s="63"/>
    </row>
    <row r="480" spans="4:4" x14ac:dyDescent="0.2">
      <c r="D480" s="63"/>
    </row>
    <row r="481" spans="4:4" x14ac:dyDescent="0.2">
      <c r="D481" s="63"/>
    </row>
    <row r="482" spans="4:4" x14ac:dyDescent="0.2">
      <c r="D482" s="63"/>
    </row>
    <row r="483" spans="4:4" x14ac:dyDescent="0.2">
      <c r="D483" s="63"/>
    </row>
    <row r="484" spans="4:4" x14ac:dyDescent="0.2">
      <c r="D484" s="63"/>
    </row>
    <row r="485" spans="4:4" x14ac:dyDescent="0.2">
      <c r="D485" s="63"/>
    </row>
    <row r="486" spans="4:4" x14ac:dyDescent="0.2">
      <c r="D486" s="63"/>
    </row>
    <row r="487" spans="4:4" x14ac:dyDescent="0.2">
      <c r="D487" s="63"/>
    </row>
    <row r="488" spans="4:4" x14ac:dyDescent="0.2">
      <c r="D488" s="63"/>
    </row>
    <row r="489" spans="4:4" x14ac:dyDescent="0.2">
      <c r="D489" s="63"/>
    </row>
    <row r="490" spans="4:4" x14ac:dyDescent="0.2">
      <c r="D490" s="63"/>
    </row>
    <row r="491" spans="4:4" x14ac:dyDescent="0.2">
      <c r="D491" s="63"/>
    </row>
    <row r="492" spans="4:4" x14ac:dyDescent="0.2">
      <c r="D492" s="63"/>
    </row>
    <row r="493" spans="4:4" x14ac:dyDescent="0.2">
      <c r="D493" s="63"/>
    </row>
    <row r="494" spans="4:4" x14ac:dyDescent="0.2">
      <c r="D494" s="63"/>
    </row>
    <row r="495" spans="4:4" x14ac:dyDescent="0.2">
      <c r="D495" s="63"/>
    </row>
    <row r="496" spans="4:4" x14ac:dyDescent="0.2">
      <c r="D496" s="63"/>
    </row>
    <row r="497" spans="4:4" x14ac:dyDescent="0.2">
      <c r="D497" s="63"/>
    </row>
    <row r="498" spans="4:4" x14ac:dyDescent="0.2">
      <c r="D498" s="63"/>
    </row>
    <row r="499" spans="4:4" x14ac:dyDescent="0.2">
      <c r="D499" s="63"/>
    </row>
    <row r="500" spans="4:4" x14ac:dyDescent="0.2">
      <c r="D500" s="63"/>
    </row>
    <row r="501" spans="4:4" x14ac:dyDescent="0.2">
      <c r="D501" s="63"/>
    </row>
    <row r="502" spans="4:4" x14ac:dyDescent="0.2">
      <c r="D502" s="63"/>
    </row>
    <row r="503" spans="4:4" x14ac:dyDescent="0.2">
      <c r="D503" s="63"/>
    </row>
    <row r="504" spans="4:4" x14ac:dyDescent="0.2">
      <c r="D504" s="63"/>
    </row>
    <row r="505" spans="4:4" x14ac:dyDescent="0.2">
      <c r="D505" s="63"/>
    </row>
    <row r="506" spans="4:4" x14ac:dyDescent="0.2">
      <c r="D506" s="63"/>
    </row>
    <row r="507" spans="4:4" x14ac:dyDescent="0.2">
      <c r="D507" s="63"/>
    </row>
    <row r="508" spans="4:4" x14ac:dyDescent="0.2">
      <c r="D508" s="63"/>
    </row>
    <row r="509" spans="4:4" x14ac:dyDescent="0.2">
      <c r="D509" s="63"/>
    </row>
    <row r="510" spans="4:4" x14ac:dyDescent="0.2">
      <c r="D510" s="63"/>
    </row>
    <row r="511" spans="4:4" x14ac:dyDescent="0.2">
      <c r="D511" s="63"/>
    </row>
    <row r="512" spans="4:4" x14ac:dyDescent="0.2">
      <c r="D512" s="63"/>
    </row>
    <row r="513" spans="4:4" x14ac:dyDescent="0.2">
      <c r="D513" s="63"/>
    </row>
    <row r="514" spans="4:4" x14ac:dyDescent="0.2">
      <c r="D514" s="63"/>
    </row>
    <row r="515" spans="4:4" x14ac:dyDescent="0.2">
      <c r="D515" s="63"/>
    </row>
    <row r="516" spans="4:4" x14ac:dyDescent="0.2">
      <c r="D516" s="63"/>
    </row>
    <row r="517" spans="4:4" x14ac:dyDescent="0.2">
      <c r="D517" s="63"/>
    </row>
    <row r="518" spans="4:4" x14ac:dyDescent="0.2">
      <c r="D518" s="63"/>
    </row>
    <row r="519" spans="4:4" x14ac:dyDescent="0.2">
      <c r="D519" s="63"/>
    </row>
    <row r="520" spans="4:4" x14ac:dyDescent="0.2">
      <c r="D520" s="63"/>
    </row>
    <row r="521" spans="4:4" x14ac:dyDescent="0.2">
      <c r="D521" s="63"/>
    </row>
    <row r="522" spans="4:4" x14ac:dyDescent="0.2">
      <c r="D522" s="63"/>
    </row>
    <row r="523" spans="4:4" x14ac:dyDescent="0.2">
      <c r="D523" s="63"/>
    </row>
    <row r="524" spans="4:4" x14ac:dyDescent="0.2">
      <c r="D524" s="63"/>
    </row>
    <row r="525" spans="4:4" x14ac:dyDescent="0.2">
      <c r="D525" s="63"/>
    </row>
    <row r="526" spans="4:4" x14ac:dyDescent="0.2">
      <c r="D526" s="63"/>
    </row>
    <row r="527" spans="4:4" x14ac:dyDescent="0.2">
      <c r="D527" s="63"/>
    </row>
    <row r="528" spans="4:4" x14ac:dyDescent="0.2">
      <c r="D528" s="63"/>
    </row>
    <row r="529" spans="4:4" x14ac:dyDescent="0.2">
      <c r="D529" s="63"/>
    </row>
    <row r="530" spans="4:4" x14ac:dyDescent="0.2">
      <c r="D530" s="63"/>
    </row>
    <row r="531" spans="4:4" x14ac:dyDescent="0.2">
      <c r="D531" s="63"/>
    </row>
    <row r="532" spans="4:4" x14ac:dyDescent="0.2">
      <c r="D532" s="63"/>
    </row>
    <row r="533" spans="4:4" x14ac:dyDescent="0.2">
      <c r="D533" s="63"/>
    </row>
    <row r="534" spans="4:4" x14ac:dyDescent="0.2">
      <c r="D534" s="63"/>
    </row>
    <row r="535" spans="4:4" x14ac:dyDescent="0.2">
      <c r="D535" s="63"/>
    </row>
    <row r="536" spans="4:4" x14ac:dyDescent="0.2">
      <c r="D536" s="63"/>
    </row>
    <row r="537" spans="4:4" x14ac:dyDescent="0.2">
      <c r="D537" s="63"/>
    </row>
    <row r="538" spans="4:4" x14ac:dyDescent="0.2">
      <c r="D538" s="63"/>
    </row>
    <row r="539" spans="4:4" x14ac:dyDescent="0.2">
      <c r="D539" s="63"/>
    </row>
    <row r="540" spans="4:4" x14ac:dyDescent="0.2">
      <c r="D540" s="63"/>
    </row>
    <row r="541" spans="4:4" x14ac:dyDescent="0.2">
      <c r="D541" s="63"/>
    </row>
    <row r="542" spans="4:4" x14ac:dyDescent="0.2">
      <c r="D542" s="63"/>
    </row>
    <row r="543" spans="4:4" x14ac:dyDescent="0.2">
      <c r="D543" s="63"/>
    </row>
    <row r="544" spans="4:4" x14ac:dyDescent="0.2">
      <c r="D544" s="63"/>
    </row>
    <row r="545" spans="4:4" x14ac:dyDescent="0.2">
      <c r="D545" s="63"/>
    </row>
    <row r="546" spans="4:4" x14ac:dyDescent="0.2">
      <c r="D546" s="63"/>
    </row>
    <row r="547" spans="4:4" x14ac:dyDescent="0.2">
      <c r="D547" s="63"/>
    </row>
    <row r="548" spans="4:4" x14ac:dyDescent="0.2">
      <c r="D548" s="63"/>
    </row>
    <row r="549" spans="4:4" x14ac:dyDescent="0.2">
      <c r="D549" s="63"/>
    </row>
    <row r="550" spans="4:4" x14ac:dyDescent="0.2">
      <c r="D550" s="63"/>
    </row>
    <row r="551" spans="4:4" x14ac:dyDescent="0.2">
      <c r="D551" s="63"/>
    </row>
    <row r="552" spans="4:4" x14ac:dyDescent="0.2">
      <c r="D552" s="63"/>
    </row>
    <row r="553" spans="4:4" x14ac:dyDescent="0.2">
      <c r="D553" s="63"/>
    </row>
    <row r="554" spans="4:4" x14ac:dyDescent="0.2">
      <c r="D554" s="63"/>
    </row>
    <row r="555" spans="4:4" x14ac:dyDescent="0.2">
      <c r="D555" s="63"/>
    </row>
    <row r="556" spans="4:4" x14ac:dyDescent="0.2">
      <c r="D556" s="63"/>
    </row>
    <row r="557" spans="4:4" x14ac:dyDescent="0.2">
      <c r="D557" s="63"/>
    </row>
    <row r="558" spans="4:4" x14ac:dyDescent="0.2">
      <c r="D558" s="63"/>
    </row>
    <row r="559" spans="4:4" x14ac:dyDescent="0.2">
      <c r="D559" s="63"/>
    </row>
    <row r="560" spans="4:4" x14ac:dyDescent="0.2">
      <c r="D560" s="63"/>
    </row>
    <row r="561" spans="4:4" x14ac:dyDescent="0.2">
      <c r="D561" s="63"/>
    </row>
    <row r="562" spans="4:4" x14ac:dyDescent="0.2">
      <c r="D562" s="63"/>
    </row>
    <row r="563" spans="4:4" x14ac:dyDescent="0.2">
      <c r="D563" s="63"/>
    </row>
    <row r="564" spans="4:4" x14ac:dyDescent="0.2">
      <c r="D564" s="63"/>
    </row>
    <row r="565" spans="4:4" x14ac:dyDescent="0.2">
      <c r="D565" s="63"/>
    </row>
    <row r="566" spans="4:4" x14ac:dyDescent="0.2">
      <c r="D566" s="63"/>
    </row>
    <row r="567" spans="4:4" x14ac:dyDescent="0.2">
      <c r="D567" s="63"/>
    </row>
    <row r="568" spans="4:4" x14ac:dyDescent="0.2">
      <c r="D568" s="63"/>
    </row>
    <row r="569" spans="4:4" x14ac:dyDescent="0.2">
      <c r="D569" s="63"/>
    </row>
    <row r="570" spans="4:4" x14ac:dyDescent="0.2">
      <c r="D570" s="63"/>
    </row>
    <row r="571" spans="4:4" x14ac:dyDescent="0.2">
      <c r="D571" s="63"/>
    </row>
    <row r="572" spans="4:4" x14ac:dyDescent="0.2">
      <c r="D572" s="63"/>
    </row>
    <row r="573" spans="4:4" x14ac:dyDescent="0.2">
      <c r="D573" s="63"/>
    </row>
    <row r="574" spans="4:4" x14ac:dyDescent="0.2">
      <c r="D574" s="63"/>
    </row>
    <row r="575" spans="4:4" x14ac:dyDescent="0.2">
      <c r="D575" s="63"/>
    </row>
    <row r="576" spans="4:4" x14ac:dyDescent="0.2">
      <c r="D576" s="63"/>
    </row>
    <row r="577" spans="4:4" x14ac:dyDescent="0.2">
      <c r="D577" s="63"/>
    </row>
    <row r="578" spans="4:4" x14ac:dyDescent="0.2">
      <c r="D578" s="63"/>
    </row>
    <row r="579" spans="4:4" x14ac:dyDescent="0.2">
      <c r="D579" s="63"/>
    </row>
    <row r="580" spans="4:4" x14ac:dyDescent="0.2">
      <c r="D580" s="63"/>
    </row>
    <row r="581" spans="4:4" x14ac:dyDescent="0.2">
      <c r="D581" s="63"/>
    </row>
    <row r="582" spans="4:4" x14ac:dyDescent="0.2">
      <c r="D582" s="63"/>
    </row>
    <row r="583" spans="4:4" x14ac:dyDescent="0.2">
      <c r="D583" s="63"/>
    </row>
    <row r="584" spans="4:4" x14ac:dyDescent="0.2">
      <c r="D584" s="63"/>
    </row>
    <row r="585" spans="4:4" x14ac:dyDescent="0.2">
      <c r="D585" s="63"/>
    </row>
    <row r="586" spans="4:4" x14ac:dyDescent="0.2">
      <c r="D586" s="63"/>
    </row>
    <row r="587" spans="4:4" x14ac:dyDescent="0.2">
      <c r="D587" s="63"/>
    </row>
    <row r="588" spans="4:4" x14ac:dyDescent="0.2">
      <c r="D588" s="63"/>
    </row>
    <row r="589" spans="4:4" x14ac:dyDescent="0.2">
      <c r="D589" s="63"/>
    </row>
    <row r="590" spans="4:4" x14ac:dyDescent="0.2">
      <c r="D590" s="63"/>
    </row>
    <row r="591" spans="4:4" x14ac:dyDescent="0.2">
      <c r="D591" s="63"/>
    </row>
    <row r="592" spans="4:4" x14ac:dyDescent="0.2">
      <c r="D592" s="63"/>
    </row>
    <row r="593" spans="4:4" x14ac:dyDescent="0.2">
      <c r="D593" s="63"/>
    </row>
    <row r="594" spans="4:4" x14ac:dyDescent="0.2">
      <c r="D594" s="63"/>
    </row>
    <row r="595" spans="4:4" x14ac:dyDescent="0.2">
      <c r="D595" s="63"/>
    </row>
    <row r="596" spans="4:4" x14ac:dyDescent="0.2">
      <c r="D596" s="63"/>
    </row>
    <row r="597" spans="4:4" x14ac:dyDescent="0.2">
      <c r="D597" s="63"/>
    </row>
    <row r="598" spans="4:4" x14ac:dyDescent="0.2">
      <c r="D598" s="63"/>
    </row>
    <row r="599" spans="4:4" x14ac:dyDescent="0.2">
      <c r="D599" s="63"/>
    </row>
    <row r="600" spans="4:4" x14ac:dyDescent="0.2">
      <c r="D600" s="63"/>
    </row>
    <row r="601" spans="4:4" x14ac:dyDescent="0.2">
      <c r="D601" s="63"/>
    </row>
    <row r="602" spans="4:4" x14ac:dyDescent="0.2">
      <c r="D602" s="63"/>
    </row>
    <row r="603" spans="4:4" x14ac:dyDescent="0.2">
      <c r="D603" s="63"/>
    </row>
    <row r="604" spans="4:4" x14ac:dyDescent="0.2">
      <c r="D604" s="63"/>
    </row>
    <row r="605" spans="4:4" x14ac:dyDescent="0.2">
      <c r="D605" s="63"/>
    </row>
    <row r="606" spans="4:4" x14ac:dyDescent="0.2">
      <c r="D606" s="63"/>
    </row>
    <row r="607" spans="4:4" x14ac:dyDescent="0.2">
      <c r="D607" s="63"/>
    </row>
    <row r="608" spans="4:4" x14ac:dyDescent="0.2">
      <c r="D608" s="63"/>
    </row>
    <row r="609" spans="4:4" x14ac:dyDescent="0.2">
      <c r="D609" s="63"/>
    </row>
    <row r="610" spans="4:4" x14ac:dyDescent="0.2">
      <c r="D610" s="63"/>
    </row>
    <row r="611" spans="4:4" x14ac:dyDescent="0.2">
      <c r="D611" s="63"/>
    </row>
    <row r="612" spans="4:4" x14ac:dyDescent="0.2">
      <c r="D612" s="63"/>
    </row>
    <row r="613" spans="4:4" x14ac:dyDescent="0.2">
      <c r="D613" s="63"/>
    </row>
    <row r="614" spans="4:4" x14ac:dyDescent="0.2">
      <c r="D614" s="63"/>
    </row>
    <row r="615" spans="4:4" x14ac:dyDescent="0.2">
      <c r="D615" s="63"/>
    </row>
    <row r="616" spans="4:4" x14ac:dyDescent="0.2">
      <c r="D616" s="63"/>
    </row>
    <row r="617" spans="4:4" x14ac:dyDescent="0.2">
      <c r="D617" s="63"/>
    </row>
    <row r="618" spans="4:4" x14ac:dyDescent="0.2">
      <c r="D618" s="63"/>
    </row>
    <row r="619" spans="4:4" x14ac:dyDescent="0.2">
      <c r="D619" s="63"/>
    </row>
    <row r="620" spans="4:4" x14ac:dyDescent="0.2">
      <c r="D620" s="63"/>
    </row>
    <row r="621" spans="4:4" x14ac:dyDescent="0.2">
      <c r="D621" s="63"/>
    </row>
    <row r="622" spans="4:4" x14ac:dyDescent="0.2">
      <c r="D622" s="63"/>
    </row>
    <row r="623" spans="4:4" x14ac:dyDescent="0.2">
      <c r="D623" s="63"/>
    </row>
    <row r="624" spans="4:4" x14ac:dyDescent="0.2">
      <c r="D624" s="63"/>
    </row>
    <row r="625" spans="4:4" x14ac:dyDescent="0.2">
      <c r="D625" s="63"/>
    </row>
    <row r="626" spans="4:4" x14ac:dyDescent="0.2">
      <c r="D626" s="63"/>
    </row>
    <row r="627" spans="4:4" x14ac:dyDescent="0.2">
      <c r="D627" s="63"/>
    </row>
    <row r="628" spans="4:4" x14ac:dyDescent="0.2">
      <c r="D628" s="63"/>
    </row>
    <row r="629" spans="4:4" x14ac:dyDescent="0.2">
      <c r="D629" s="63"/>
    </row>
    <row r="630" spans="4:4" x14ac:dyDescent="0.2">
      <c r="D630" s="63"/>
    </row>
    <row r="631" spans="4:4" x14ac:dyDescent="0.2">
      <c r="D631" s="63"/>
    </row>
    <row r="632" spans="4:4" x14ac:dyDescent="0.2">
      <c r="D632" s="63"/>
    </row>
    <row r="633" spans="4:4" x14ac:dyDescent="0.2">
      <c r="D633" s="63"/>
    </row>
    <row r="634" spans="4:4" x14ac:dyDescent="0.2">
      <c r="D634" s="63"/>
    </row>
    <row r="635" spans="4:4" x14ac:dyDescent="0.2">
      <c r="D635" s="63"/>
    </row>
    <row r="636" spans="4:4" x14ac:dyDescent="0.2">
      <c r="D636" s="63"/>
    </row>
    <row r="637" spans="4:4" x14ac:dyDescent="0.2">
      <c r="D637" s="63"/>
    </row>
    <row r="638" spans="4:4" x14ac:dyDescent="0.2">
      <c r="D638" s="63"/>
    </row>
    <row r="639" spans="4:4" x14ac:dyDescent="0.2">
      <c r="D639" s="63"/>
    </row>
    <row r="640" spans="4:4" x14ac:dyDescent="0.2">
      <c r="D640" s="63"/>
    </row>
    <row r="641" spans="4:4" x14ac:dyDescent="0.2">
      <c r="D641" s="63"/>
    </row>
    <row r="642" spans="4:4" x14ac:dyDescent="0.2">
      <c r="D642" s="63"/>
    </row>
    <row r="643" spans="4:4" x14ac:dyDescent="0.2">
      <c r="D643" s="63"/>
    </row>
    <row r="644" spans="4:4" x14ac:dyDescent="0.2">
      <c r="D644" s="63"/>
    </row>
    <row r="645" spans="4:4" x14ac:dyDescent="0.2">
      <c r="D645" s="63"/>
    </row>
    <row r="646" spans="4:4" x14ac:dyDescent="0.2">
      <c r="D646" s="63"/>
    </row>
    <row r="647" spans="4:4" x14ac:dyDescent="0.2">
      <c r="D647" s="63"/>
    </row>
    <row r="648" spans="4:4" x14ac:dyDescent="0.2">
      <c r="D648" s="63"/>
    </row>
    <row r="649" spans="4:4" x14ac:dyDescent="0.2">
      <c r="D649" s="63"/>
    </row>
    <row r="650" spans="4:4" x14ac:dyDescent="0.2">
      <c r="D650" s="63"/>
    </row>
    <row r="651" spans="4:4" x14ac:dyDescent="0.2">
      <c r="D651" s="63"/>
    </row>
    <row r="652" spans="4:4" x14ac:dyDescent="0.2">
      <c r="D652" s="63"/>
    </row>
    <row r="653" spans="4:4" x14ac:dyDescent="0.2">
      <c r="D653" s="63"/>
    </row>
    <row r="654" spans="4:4" x14ac:dyDescent="0.2">
      <c r="D654" s="63"/>
    </row>
    <row r="655" spans="4:4" x14ac:dyDescent="0.2">
      <c r="D655" s="63"/>
    </row>
    <row r="656" spans="4:4" x14ac:dyDescent="0.2">
      <c r="D656" s="63"/>
    </row>
    <row r="657" spans="4:4" x14ac:dyDescent="0.2">
      <c r="D657" s="63"/>
    </row>
    <row r="658" spans="4:4" x14ac:dyDescent="0.2">
      <c r="D658" s="63"/>
    </row>
    <row r="659" spans="4:4" x14ac:dyDescent="0.2">
      <c r="D659" s="63"/>
    </row>
    <row r="660" spans="4:4" x14ac:dyDescent="0.2">
      <c r="D660" s="63"/>
    </row>
    <row r="661" spans="4:4" x14ac:dyDescent="0.2">
      <c r="D661" s="63"/>
    </row>
    <row r="662" spans="4:4" x14ac:dyDescent="0.2">
      <c r="D662" s="63"/>
    </row>
    <row r="663" spans="4:4" x14ac:dyDescent="0.2">
      <c r="D663" s="63"/>
    </row>
    <row r="664" spans="4:4" x14ac:dyDescent="0.2">
      <c r="D664" s="63"/>
    </row>
    <row r="665" spans="4:4" x14ac:dyDescent="0.2">
      <c r="D665" s="63"/>
    </row>
    <row r="666" spans="4:4" x14ac:dyDescent="0.2">
      <c r="D666" s="63"/>
    </row>
    <row r="667" spans="4:4" x14ac:dyDescent="0.2">
      <c r="D667" s="63"/>
    </row>
    <row r="668" spans="4:4" x14ac:dyDescent="0.2">
      <c r="D668" s="63"/>
    </row>
    <row r="669" spans="4:4" x14ac:dyDescent="0.2">
      <c r="D669" s="63"/>
    </row>
    <row r="670" spans="4:4" x14ac:dyDescent="0.2">
      <c r="D670" s="63"/>
    </row>
    <row r="671" spans="4:4" x14ac:dyDescent="0.2">
      <c r="D671" s="63"/>
    </row>
    <row r="672" spans="4:4" x14ac:dyDescent="0.2">
      <c r="D672" s="63"/>
    </row>
    <row r="673" spans="4:4" x14ac:dyDescent="0.2">
      <c r="D673" s="63"/>
    </row>
    <row r="674" spans="4:4" x14ac:dyDescent="0.2">
      <c r="D674" s="63"/>
    </row>
    <row r="675" spans="4:4" x14ac:dyDescent="0.2">
      <c r="D675" s="63"/>
    </row>
    <row r="676" spans="4:4" x14ac:dyDescent="0.2">
      <c r="D676" s="63"/>
    </row>
    <row r="677" spans="4:4" x14ac:dyDescent="0.2">
      <c r="D677" s="63"/>
    </row>
    <row r="678" spans="4:4" x14ac:dyDescent="0.2">
      <c r="D678" s="63"/>
    </row>
    <row r="679" spans="4:4" x14ac:dyDescent="0.2">
      <c r="D679" s="63"/>
    </row>
    <row r="680" spans="4:4" x14ac:dyDescent="0.2">
      <c r="D680" s="63"/>
    </row>
    <row r="681" spans="4:4" x14ac:dyDescent="0.2">
      <c r="D681" s="63"/>
    </row>
    <row r="682" spans="4:4" x14ac:dyDescent="0.2">
      <c r="D682" s="63"/>
    </row>
    <row r="683" spans="4:4" x14ac:dyDescent="0.2">
      <c r="D683" s="63"/>
    </row>
    <row r="684" spans="4:4" x14ac:dyDescent="0.2">
      <c r="D684" s="63"/>
    </row>
    <row r="685" spans="4:4" x14ac:dyDescent="0.2">
      <c r="D685" s="63"/>
    </row>
    <row r="686" spans="4:4" x14ac:dyDescent="0.2">
      <c r="D686" s="63"/>
    </row>
    <row r="687" spans="4:4" x14ac:dyDescent="0.2">
      <c r="D687" s="63"/>
    </row>
    <row r="688" spans="4:4" x14ac:dyDescent="0.2">
      <c r="D688" s="63"/>
    </row>
    <row r="689" spans="4:4" x14ac:dyDescent="0.2">
      <c r="D689" s="63"/>
    </row>
    <row r="690" spans="4:4" x14ac:dyDescent="0.2">
      <c r="D690" s="63"/>
    </row>
    <row r="691" spans="4:4" x14ac:dyDescent="0.2">
      <c r="D691" s="63"/>
    </row>
    <row r="692" spans="4:4" x14ac:dyDescent="0.2">
      <c r="D692" s="63"/>
    </row>
    <row r="693" spans="4:4" x14ac:dyDescent="0.2">
      <c r="D693" s="63"/>
    </row>
    <row r="694" spans="4:4" x14ac:dyDescent="0.2">
      <c r="D694" s="63"/>
    </row>
    <row r="695" spans="4:4" x14ac:dyDescent="0.2">
      <c r="D695" s="63"/>
    </row>
    <row r="696" spans="4:4" x14ac:dyDescent="0.2">
      <c r="D696" s="63"/>
    </row>
    <row r="697" spans="4:4" x14ac:dyDescent="0.2">
      <c r="D697" s="63"/>
    </row>
    <row r="698" spans="4:4" x14ac:dyDescent="0.2">
      <c r="D698" s="63"/>
    </row>
    <row r="699" spans="4:4" x14ac:dyDescent="0.2">
      <c r="D699" s="63"/>
    </row>
    <row r="700" spans="4:4" x14ac:dyDescent="0.2">
      <c r="D700" s="63"/>
    </row>
    <row r="701" spans="4:4" x14ac:dyDescent="0.2">
      <c r="D701" s="63"/>
    </row>
    <row r="702" spans="4:4" x14ac:dyDescent="0.2">
      <c r="D702" s="63"/>
    </row>
    <row r="703" spans="4:4" x14ac:dyDescent="0.2">
      <c r="D703" s="63"/>
    </row>
    <row r="704" spans="4:4" x14ac:dyDescent="0.2">
      <c r="D704" s="63"/>
    </row>
    <row r="705" spans="4:4" x14ac:dyDescent="0.2">
      <c r="D705" s="63"/>
    </row>
    <row r="706" spans="4:4" x14ac:dyDescent="0.2">
      <c r="D706" s="63"/>
    </row>
    <row r="707" spans="4:4" x14ac:dyDescent="0.2">
      <c r="D707" s="63"/>
    </row>
    <row r="708" spans="4:4" x14ac:dyDescent="0.2">
      <c r="D708" s="63"/>
    </row>
    <row r="709" spans="4:4" x14ac:dyDescent="0.2">
      <c r="D709" s="63"/>
    </row>
    <row r="710" spans="4:4" x14ac:dyDescent="0.2">
      <c r="D710" s="63"/>
    </row>
    <row r="711" spans="4:4" x14ac:dyDescent="0.2">
      <c r="D711" s="63"/>
    </row>
    <row r="712" spans="4:4" x14ac:dyDescent="0.2">
      <c r="D712" s="63"/>
    </row>
    <row r="713" spans="4:4" x14ac:dyDescent="0.2">
      <c r="D713" s="63"/>
    </row>
    <row r="714" spans="4:4" x14ac:dyDescent="0.2">
      <c r="D714" s="63"/>
    </row>
    <row r="715" spans="4:4" x14ac:dyDescent="0.2">
      <c r="D715" s="63"/>
    </row>
    <row r="716" spans="4:4" x14ac:dyDescent="0.2">
      <c r="D716" s="63"/>
    </row>
    <row r="717" spans="4:4" x14ac:dyDescent="0.2">
      <c r="D717" s="63"/>
    </row>
    <row r="718" spans="4:4" x14ac:dyDescent="0.2">
      <c r="D718" s="63"/>
    </row>
    <row r="719" spans="4:4" x14ac:dyDescent="0.2">
      <c r="D719" s="63"/>
    </row>
    <row r="720" spans="4:4" x14ac:dyDescent="0.2">
      <c r="D720" s="63"/>
    </row>
    <row r="721" spans="4:4" x14ac:dyDescent="0.2">
      <c r="D721" s="63"/>
    </row>
    <row r="722" spans="4:4" x14ac:dyDescent="0.2">
      <c r="D722" s="6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8"/>
  <sheetViews>
    <sheetView workbookViewId="0">
      <selection activeCell="J38" sqref="J38"/>
    </sheetView>
  </sheetViews>
  <sheetFormatPr defaultRowHeight="12.75" x14ac:dyDescent="0.2"/>
  <cols>
    <col min="2" max="2" width="13.28515625" customWidth="1"/>
    <col min="4" max="4" width="13" customWidth="1"/>
  </cols>
  <sheetData>
    <row r="1" spans="1:4" ht="15.75" x14ac:dyDescent="0.25">
      <c r="A1" s="55"/>
      <c r="B1" s="56"/>
      <c r="C1" s="56"/>
      <c r="D1" s="56"/>
    </row>
    <row r="2" spans="1:4" ht="15.75" x14ac:dyDescent="0.25">
      <c r="A2" s="55"/>
      <c r="B2" s="56"/>
      <c r="C2" s="56"/>
      <c r="D2" s="56"/>
    </row>
    <row r="3" spans="1:4" ht="15.75" x14ac:dyDescent="0.25">
      <c r="A3" s="55"/>
      <c r="B3" s="56"/>
      <c r="C3" s="56"/>
      <c r="D3" s="56"/>
    </row>
    <row r="4" spans="1:4" ht="15.75" x14ac:dyDescent="0.25">
      <c r="A4" s="55"/>
      <c r="B4" s="56"/>
      <c r="C4" s="56"/>
      <c r="D4" s="56"/>
    </row>
    <row r="5" spans="1:4" ht="15.75" x14ac:dyDescent="0.25">
      <c r="A5" s="55"/>
      <c r="B5" s="56"/>
      <c r="C5" s="56"/>
      <c r="D5" s="56"/>
    </row>
    <row r="6" spans="1:4" ht="15.75" x14ac:dyDescent="0.25">
      <c r="A6" s="55"/>
      <c r="B6" s="56"/>
      <c r="C6" s="56"/>
      <c r="D6" s="56"/>
    </row>
    <row r="7" spans="1:4" ht="15.75" x14ac:dyDescent="0.25">
      <c r="A7" s="55"/>
      <c r="B7" s="56"/>
      <c r="C7" s="56"/>
      <c r="D7" s="56"/>
    </row>
    <row r="8" spans="1:4" ht="15.75" x14ac:dyDescent="0.25">
      <c r="A8" s="55"/>
      <c r="B8" s="56"/>
      <c r="C8" s="56"/>
      <c r="D8" s="56"/>
    </row>
    <row r="9" spans="1:4" ht="15.75" x14ac:dyDescent="0.25">
      <c r="A9" s="55"/>
      <c r="B9" s="56"/>
      <c r="C9" s="56"/>
      <c r="D9" s="56"/>
    </row>
    <row r="10" spans="1:4" ht="15.75" x14ac:dyDescent="0.25">
      <c r="A10" s="55"/>
      <c r="B10" s="56"/>
      <c r="C10" s="56"/>
      <c r="D10" s="56"/>
    </row>
    <row r="11" spans="1:4" ht="15.75" x14ac:dyDescent="0.25">
      <c r="A11" s="55"/>
      <c r="B11" s="56"/>
      <c r="C11" s="56"/>
      <c r="D11" s="56"/>
    </row>
    <row r="12" spans="1:4" ht="15.75" x14ac:dyDescent="0.25">
      <c r="A12" s="55"/>
      <c r="B12" s="56"/>
      <c r="C12" s="56"/>
      <c r="D12" s="56"/>
    </row>
    <row r="13" spans="1:4" ht="15.75" x14ac:dyDescent="0.25">
      <c r="A13" s="57"/>
      <c r="B13" s="56"/>
      <c r="C13" s="56"/>
      <c r="D13" s="56"/>
    </row>
    <row r="14" spans="1:4" ht="15.75" x14ac:dyDescent="0.25">
      <c r="A14" s="55"/>
      <c r="B14" s="56"/>
      <c r="C14" s="56"/>
      <c r="D14" s="56"/>
    </row>
    <row r="15" spans="1:4" ht="15.75" x14ac:dyDescent="0.25">
      <c r="A15" s="55"/>
      <c r="B15" s="56"/>
      <c r="C15" s="56"/>
      <c r="D15" s="56"/>
    </row>
    <row r="16" spans="1:4" ht="15" x14ac:dyDescent="0.2">
      <c r="A16" s="58"/>
      <c r="B16" s="58"/>
      <c r="C16" s="58"/>
      <c r="D16" s="58"/>
    </row>
    <row r="17" spans="1:7" ht="15" x14ac:dyDescent="0.2">
      <c r="A17" s="59"/>
      <c r="B17" s="56"/>
      <c r="C17" s="56"/>
      <c r="D17" s="56"/>
    </row>
    <row r="18" spans="1:7" ht="15" x14ac:dyDescent="0.2">
      <c r="A18" s="128"/>
      <c r="B18" s="56"/>
      <c r="C18" s="56"/>
      <c r="D18" s="56"/>
    </row>
    <row r="19" spans="1:7" ht="15.75" x14ac:dyDescent="0.25">
      <c r="A19" s="104"/>
      <c r="B19" s="100"/>
      <c r="C19" s="100"/>
      <c r="D19" s="101"/>
    </row>
    <row r="20" spans="1:7" ht="15.75" x14ac:dyDescent="0.25">
      <c r="E20" s="102"/>
      <c r="F20" s="113"/>
    </row>
    <row r="21" spans="1:7" ht="15.75" x14ac:dyDescent="0.25">
      <c r="E21" s="102"/>
    </row>
    <row r="22" spans="1:7" ht="15.75" x14ac:dyDescent="0.25">
      <c r="C22" s="102"/>
      <c r="F22" s="103"/>
      <c r="G22" s="103"/>
    </row>
    <row r="23" spans="1:7" x14ac:dyDescent="0.2">
      <c r="B23" s="72"/>
      <c r="C23" s="72"/>
      <c r="D23" s="72"/>
    </row>
    <row r="24" spans="1:7" x14ac:dyDescent="0.2">
      <c r="A24" s="99"/>
      <c r="B24" s="72"/>
      <c r="C24" s="71"/>
      <c r="D24" s="72"/>
    </row>
    <row r="25" spans="1:7" x14ac:dyDescent="0.2">
      <c r="A25" s="71"/>
      <c r="B25" s="72"/>
      <c r="C25" s="4"/>
      <c r="D25" s="73"/>
    </row>
    <row r="26" spans="1:7" x14ac:dyDescent="0.2">
      <c r="A26" s="72"/>
      <c r="B26" s="72"/>
      <c r="C26" s="72"/>
      <c r="D26" s="72"/>
    </row>
    <row r="27" spans="1:7" x14ac:dyDescent="0.2">
      <c r="A27" s="71"/>
      <c r="B27" s="71"/>
      <c r="C27" s="71"/>
      <c r="D27" s="71"/>
    </row>
    <row r="28" spans="1:7" x14ac:dyDescent="0.2">
      <c r="A28" s="72"/>
      <c r="B28" s="72"/>
      <c r="C28" s="72"/>
      <c r="D28" s="72"/>
    </row>
    <row r="29" spans="1:7" x14ac:dyDescent="0.2">
      <c r="A29" s="37"/>
      <c r="B29" s="73"/>
      <c r="C29" s="71"/>
      <c r="D29" s="71"/>
    </row>
    <row r="30" spans="1:7" x14ac:dyDescent="0.2">
      <c r="A30" s="4"/>
      <c r="B30" s="73"/>
      <c r="C30" s="4"/>
      <c r="D30" s="4"/>
    </row>
    <row r="31" spans="1:7" x14ac:dyDescent="0.2">
      <c r="A31" s="4"/>
      <c r="B31" s="74"/>
      <c r="C31" s="71"/>
      <c r="D31" s="71"/>
    </row>
    <row r="32" spans="1:7" x14ac:dyDescent="0.2">
      <c r="A32" s="4"/>
      <c r="B32" s="76"/>
      <c r="C32" s="71"/>
      <c r="D32" s="71"/>
    </row>
    <row r="33" spans="1:4" x14ac:dyDescent="0.2">
      <c r="A33" s="4"/>
      <c r="B33" s="76"/>
      <c r="C33" s="71"/>
      <c r="D33" s="77"/>
    </row>
    <row r="34" spans="1:4" x14ac:dyDescent="0.2">
      <c r="A34" s="4"/>
      <c r="B34" s="76"/>
      <c r="C34" s="4"/>
      <c r="D34" s="4"/>
    </row>
    <row r="35" spans="1:4" x14ac:dyDescent="0.2">
      <c r="B35" s="76"/>
      <c r="C35" s="4"/>
      <c r="D35" s="4"/>
    </row>
    <row r="36" spans="1:4" x14ac:dyDescent="0.2">
      <c r="B36" s="76"/>
      <c r="C36" s="4"/>
      <c r="D36" s="4"/>
    </row>
    <row r="37" spans="1:4" x14ac:dyDescent="0.2">
      <c r="B37" s="76"/>
      <c r="C37" s="4"/>
      <c r="D37" s="4"/>
    </row>
    <row r="38" spans="1:4" x14ac:dyDescent="0.2">
      <c r="B38" s="76"/>
      <c r="C38" s="4"/>
      <c r="D38" s="4"/>
    </row>
    <row r="39" spans="1:4" x14ac:dyDescent="0.2">
      <c r="B39" s="76"/>
      <c r="C39" s="4"/>
      <c r="D39" s="4"/>
    </row>
    <row r="40" spans="1:4" x14ac:dyDescent="0.2">
      <c r="B40" s="76"/>
      <c r="C40" s="4"/>
      <c r="D40" s="4"/>
    </row>
    <row r="41" spans="1:4" x14ac:dyDescent="0.2">
      <c r="B41" s="76"/>
      <c r="C41" s="4"/>
      <c r="D41" s="4"/>
    </row>
    <row r="42" spans="1:4" x14ac:dyDescent="0.2">
      <c r="B42" s="76"/>
      <c r="C42" s="4"/>
      <c r="D42" s="4"/>
    </row>
    <row r="43" spans="1:4" x14ac:dyDescent="0.2">
      <c r="B43" s="76"/>
      <c r="C43" s="4"/>
      <c r="D43" s="4"/>
    </row>
    <row r="44" spans="1:4" x14ac:dyDescent="0.2">
      <c r="B44" s="76"/>
      <c r="C44" s="4"/>
      <c r="D44" s="4"/>
    </row>
    <row r="45" spans="1:4" x14ac:dyDescent="0.2">
      <c r="B45" s="76"/>
      <c r="C45" s="4"/>
      <c r="D45" s="4"/>
    </row>
    <row r="46" spans="1:4" x14ac:dyDescent="0.2">
      <c r="B46" s="76"/>
      <c r="C46" s="4"/>
      <c r="D46" s="4"/>
    </row>
    <row r="47" spans="1:4" x14ac:dyDescent="0.2">
      <c r="B47" s="76"/>
      <c r="C47" s="4"/>
      <c r="D47" s="4"/>
    </row>
    <row r="48" spans="1:4" x14ac:dyDescent="0.2">
      <c r="B48" s="76"/>
      <c r="C48" s="4"/>
      <c r="D48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3"/>
  <sheetViews>
    <sheetView showGridLines="0" workbookViewId="0">
      <selection activeCell="D15" sqref="D15"/>
    </sheetView>
  </sheetViews>
  <sheetFormatPr defaultRowHeight="12.75" x14ac:dyDescent="0.2"/>
  <cols>
    <col min="2" max="2" width="13.28515625" customWidth="1"/>
    <col min="4" max="4" width="13" customWidth="1"/>
  </cols>
  <sheetData>
    <row r="1" spans="1:11" ht="15" x14ac:dyDescent="0.2">
      <c r="A1" t="s">
        <v>136</v>
      </c>
      <c r="B1" s="56"/>
      <c r="C1" s="56"/>
      <c r="D1" s="56"/>
      <c r="F1" s="167" t="s">
        <v>139</v>
      </c>
      <c r="G1" s="168"/>
      <c r="H1" s="168"/>
      <c r="I1" s="168"/>
      <c r="J1" s="168"/>
      <c r="K1" s="168"/>
    </row>
    <row r="2" spans="1:11" ht="15.75" customHeight="1" x14ac:dyDescent="0.25">
      <c r="A2" s="181" t="s">
        <v>108</v>
      </c>
      <c r="B2" s="181"/>
      <c r="C2" s="181"/>
      <c r="D2" s="181"/>
    </row>
    <row r="3" spans="1:11" ht="15.75" x14ac:dyDescent="0.25">
      <c r="A3" s="168" t="s">
        <v>109</v>
      </c>
      <c r="B3" s="168"/>
      <c r="C3" s="168"/>
      <c r="D3" s="168"/>
      <c r="E3" s="102" t="s">
        <v>41</v>
      </c>
      <c r="F3" s="182" t="s">
        <v>146</v>
      </c>
      <c r="G3" s="183"/>
      <c r="H3" s="183"/>
      <c r="I3" s="183"/>
      <c r="J3" s="183"/>
      <c r="K3" s="183"/>
    </row>
    <row r="4" spans="1:11" ht="15.75" x14ac:dyDescent="0.25">
      <c r="A4" s="147"/>
      <c r="B4" s="147"/>
      <c r="C4" s="147"/>
      <c r="D4" s="147"/>
      <c r="E4" s="102"/>
      <c r="F4" s="148"/>
      <c r="G4" s="148"/>
      <c r="H4" s="148"/>
      <c r="I4" s="148"/>
      <c r="J4" s="148"/>
      <c r="K4" s="148"/>
    </row>
    <row r="5" spans="1:11" ht="15.75" customHeight="1" x14ac:dyDescent="0.25">
      <c r="A5" s="181" t="s">
        <v>138</v>
      </c>
      <c r="B5" s="181"/>
      <c r="C5" s="181"/>
      <c r="D5" s="181"/>
      <c r="E5" s="181"/>
      <c r="F5" s="181"/>
      <c r="G5" s="181"/>
      <c r="H5" s="181"/>
      <c r="I5" s="181"/>
      <c r="J5" s="181"/>
      <c r="K5" s="181"/>
    </row>
    <row r="6" spans="1:11" ht="15.75" x14ac:dyDescent="0.25">
      <c r="A6" s="168" t="s">
        <v>110</v>
      </c>
      <c r="B6" s="168"/>
      <c r="C6" s="168"/>
      <c r="D6" s="168"/>
      <c r="E6" s="102" t="s">
        <v>41</v>
      </c>
      <c r="F6" s="168" t="s">
        <v>111</v>
      </c>
      <c r="G6" s="168"/>
      <c r="H6" s="168"/>
      <c r="I6" s="168"/>
      <c r="J6" s="168"/>
      <c r="K6" s="168"/>
    </row>
    <row r="7" spans="1:11" ht="15.75" customHeight="1" x14ac:dyDescent="0.2">
      <c r="A7" s="168" t="s">
        <v>112</v>
      </c>
      <c r="B7" s="168"/>
      <c r="C7" s="168"/>
      <c r="D7" s="168"/>
      <c r="E7" s="168"/>
      <c r="F7" s="168" t="s">
        <v>113</v>
      </c>
      <c r="G7" s="168"/>
      <c r="H7" s="168"/>
    </row>
    <row r="8" spans="1:11" x14ac:dyDescent="0.2">
      <c r="B8" s="72"/>
      <c r="C8" s="72"/>
      <c r="D8" s="72"/>
    </row>
    <row r="9" spans="1:11" x14ac:dyDescent="0.2">
      <c r="A9" s="99"/>
      <c r="B9" s="72"/>
      <c r="C9" s="71"/>
      <c r="D9" s="72"/>
    </row>
    <row r="10" spans="1:11" x14ac:dyDescent="0.2">
      <c r="A10" s="71"/>
      <c r="B10" s="72"/>
      <c r="C10" s="4"/>
      <c r="D10" s="73"/>
    </row>
    <row r="11" spans="1:11" x14ac:dyDescent="0.2">
      <c r="A11" s="72"/>
      <c r="B11" s="72"/>
      <c r="C11" s="72"/>
      <c r="D11" s="72"/>
    </row>
    <row r="12" spans="1:11" x14ac:dyDescent="0.2">
      <c r="A12" s="71"/>
      <c r="B12" s="71"/>
      <c r="C12" s="71"/>
      <c r="D12" s="71"/>
    </row>
    <row r="13" spans="1:11" x14ac:dyDescent="0.2">
      <c r="A13" s="72"/>
      <c r="B13" s="72"/>
      <c r="C13" s="72"/>
      <c r="D13" s="72"/>
    </row>
    <row r="14" spans="1:11" x14ac:dyDescent="0.2">
      <c r="A14" s="37"/>
      <c r="B14" s="73"/>
      <c r="C14" s="71"/>
      <c r="D14" s="71"/>
    </row>
    <row r="15" spans="1:11" x14ac:dyDescent="0.2">
      <c r="A15" s="4"/>
      <c r="B15" s="73"/>
      <c r="C15" s="4"/>
      <c r="D15" s="4"/>
    </row>
    <row r="16" spans="1:11" x14ac:dyDescent="0.2">
      <c r="A16" s="4"/>
      <c r="B16" s="74"/>
      <c r="C16" s="71"/>
      <c r="D16" s="71"/>
    </row>
    <row r="17" spans="1:4" x14ac:dyDescent="0.2">
      <c r="A17" s="4"/>
      <c r="B17" s="76"/>
      <c r="C17" s="71"/>
      <c r="D17" s="71"/>
    </row>
    <row r="18" spans="1:4" x14ac:dyDescent="0.2">
      <c r="A18" s="4"/>
      <c r="B18" s="76"/>
      <c r="C18" s="71"/>
      <c r="D18" s="77"/>
    </row>
    <row r="19" spans="1:4" x14ac:dyDescent="0.2">
      <c r="A19" s="4"/>
      <c r="B19" s="76"/>
      <c r="C19" s="4"/>
      <c r="D19" s="4"/>
    </row>
    <row r="20" spans="1:4" x14ac:dyDescent="0.2">
      <c r="B20" s="76"/>
      <c r="C20" s="4"/>
      <c r="D20" s="4"/>
    </row>
    <row r="21" spans="1:4" x14ac:dyDescent="0.2">
      <c r="B21" s="76"/>
      <c r="C21" s="4"/>
      <c r="D21" s="4"/>
    </row>
    <row r="22" spans="1:4" x14ac:dyDescent="0.2">
      <c r="B22" s="76"/>
      <c r="C22" s="4"/>
      <c r="D22" s="4"/>
    </row>
    <row r="23" spans="1:4" x14ac:dyDescent="0.2">
      <c r="B23" s="76"/>
      <c r="C23" s="4"/>
      <c r="D23" s="4"/>
    </row>
    <row r="24" spans="1:4" x14ac:dyDescent="0.2">
      <c r="B24" s="76"/>
      <c r="C24" s="4"/>
      <c r="D24" s="4"/>
    </row>
    <row r="25" spans="1:4" x14ac:dyDescent="0.2">
      <c r="B25" s="76"/>
      <c r="C25" s="4"/>
      <c r="D25" s="4"/>
    </row>
    <row r="26" spans="1:4" x14ac:dyDescent="0.2">
      <c r="B26" s="76"/>
      <c r="C26" s="4"/>
      <c r="D26" s="4"/>
    </row>
    <row r="27" spans="1:4" x14ac:dyDescent="0.2">
      <c r="B27" s="76"/>
      <c r="C27" s="4"/>
      <c r="D27" s="4"/>
    </row>
    <row r="28" spans="1:4" x14ac:dyDescent="0.2">
      <c r="B28" s="76"/>
      <c r="C28" s="4"/>
      <c r="D28" s="4"/>
    </row>
    <row r="29" spans="1:4" x14ac:dyDescent="0.2">
      <c r="B29" s="76"/>
      <c r="C29" s="4"/>
      <c r="D29" s="4"/>
    </row>
    <row r="30" spans="1:4" x14ac:dyDescent="0.2">
      <c r="B30" s="76"/>
      <c r="C30" s="4"/>
      <c r="D30" s="4"/>
    </row>
    <row r="31" spans="1:4" x14ac:dyDescent="0.2">
      <c r="B31" s="76"/>
      <c r="C31" s="4"/>
      <c r="D31" s="4"/>
    </row>
    <row r="32" spans="1:4" x14ac:dyDescent="0.2">
      <c r="B32" s="76"/>
      <c r="C32" s="4"/>
      <c r="D32" s="4"/>
    </row>
    <row r="33" spans="2:4" x14ac:dyDescent="0.2">
      <c r="B33" s="76"/>
      <c r="C33" s="4"/>
      <c r="D33" s="4"/>
    </row>
  </sheetData>
  <mergeCells count="9">
    <mergeCell ref="F1:K1"/>
    <mergeCell ref="A2:D2"/>
    <mergeCell ref="A3:D3"/>
    <mergeCell ref="A6:D6"/>
    <mergeCell ref="A7:E7"/>
    <mergeCell ref="F3:K3"/>
    <mergeCell ref="F6:K6"/>
    <mergeCell ref="F7:H7"/>
    <mergeCell ref="A5:K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5"/>
  <sheetViews>
    <sheetView topLeftCell="D1" workbookViewId="0">
      <selection activeCell="D1" sqref="D1"/>
    </sheetView>
  </sheetViews>
  <sheetFormatPr defaultRowHeight="12.75" x14ac:dyDescent="0.2"/>
  <cols>
    <col min="1" max="2" width="17.7109375" bestFit="1" customWidth="1"/>
  </cols>
  <sheetData>
    <row r="1" spans="1:27" x14ac:dyDescent="0.2">
      <c r="A1" s="5" t="s">
        <v>57</v>
      </c>
      <c r="B1" s="4" t="s">
        <v>58</v>
      </c>
    </row>
    <row r="2" spans="1:27" x14ac:dyDescent="0.2">
      <c r="A2" t="s">
        <v>121</v>
      </c>
      <c r="B2" t="s">
        <v>106</v>
      </c>
      <c r="I2" s="173" t="s">
        <v>68</v>
      </c>
      <c r="J2" s="174"/>
      <c r="K2" s="170"/>
      <c r="L2" s="173" t="s">
        <v>69</v>
      </c>
      <c r="M2" s="174"/>
      <c r="N2" s="170"/>
      <c r="Q2" t="s">
        <v>124</v>
      </c>
    </row>
    <row r="3" spans="1:27" x14ac:dyDescent="0.2">
      <c r="A3" t="s">
        <v>122</v>
      </c>
      <c r="I3" s="4" t="s">
        <v>65</v>
      </c>
      <c r="J3" s="4" t="s">
        <v>66</v>
      </c>
      <c r="K3" s="4" t="s">
        <v>67</v>
      </c>
      <c r="L3" s="4" t="s">
        <v>65</v>
      </c>
      <c r="M3" s="4" t="s">
        <v>66</v>
      </c>
      <c r="N3" s="4" t="s">
        <v>67</v>
      </c>
      <c r="Q3" t="s">
        <v>125</v>
      </c>
    </row>
    <row r="4" spans="1:27" x14ac:dyDescent="0.2">
      <c r="A4" t="s">
        <v>123</v>
      </c>
      <c r="D4">
        <v>1</v>
      </c>
      <c r="E4">
        <v>2</v>
      </c>
      <c r="F4">
        <v>3</v>
      </c>
      <c r="G4">
        <v>4</v>
      </c>
      <c r="H4">
        <v>5</v>
      </c>
      <c r="I4">
        <v>6</v>
      </c>
      <c r="J4">
        <v>7</v>
      </c>
      <c r="K4">
        <v>8</v>
      </c>
      <c r="L4">
        <v>9</v>
      </c>
      <c r="M4">
        <v>10</v>
      </c>
      <c r="N4">
        <v>11</v>
      </c>
      <c r="Q4" t="s">
        <v>126</v>
      </c>
    </row>
    <row r="5" spans="1:27" x14ac:dyDescent="0.2">
      <c r="A5" t="s">
        <v>106</v>
      </c>
      <c r="D5" s="4" t="s">
        <v>59</v>
      </c>
      <c r="E5" s="75" t="s">
        <v>60</v>
      </c>
      <c r="F5" s="75" t="s">
        <v>61</v>
      </c>
      <c r="G5" s="75" t="s">
        <v>62</v>
      </c>
      <c r="H5" s="75" t="s">
        <v>63</v>
      </c>
      <c r="Q5" s="4"/>
      <c r="R5" s="75"/>
      <c r="S5" s="75"/>
      <c r="T5" s="75"/>
      <c r="U5" s="75"/>
    </row>
    <row r="6" spans="1:27" x14ac:dyDescent="0.2">
      <c r="D6">
        <v>1</v>
      </c>
      <c r="E6" s="75" t="s">
        <v>91</v>
      </c>
      <c r="F6" s="60">
        <v>10</v>
      </c>
      <c r="G6" s="44"/>
      <c r="H6" s="44">
        <v>1.5</v>
      </c>
      <c r="I6" s="60">
        <v>6</v>
      </c>
      <c r="J6" s="60">
        <v>1</v>
      </c>
      <c r="K6" s="60">
        <v>1</v>
      </c>
      <c r="L6" s="60">
        <v>6</v>
      </c>
      <c r="M6" s="60">
        <v>1</v>
      </c>
      <c r="N6" s="60">
        <v>1</v>
      </c>
      <c r="R6" s="75"/>
      <c r="S6" s="60"/>
      <c r="T6" s="44"/>
      <c r="U6" s="44"/>
      <c r="V6" s="60"/>
      <c r="W6" s="60"/>
      <c r="X6" s="60"/>
      <c r="Y6" s="60"/>
      <c r="Z6" s="60"/>
      <c r="AA6" s="60"/>
    </row>
    <row r="7" spans="1:27" x14ac:dyDescent="0.2">
      <c r="D7">
        <v>2</v>
      </c>
      <c r="E7" s="75" t="s">
        <v>64</v>
      </c>
      <c r="F7" s="60">
        <v>10</v>
      </c>
      <c r="G7" s="44"/>
      <c r="H7" s="44">
        <v>1</v>
      </c>
      <c r="I7" s="60">
        <v>1</v>
      </c>
      <c r="J7" s="60">
        <v>1</v>
      </c>
      <c r="K7" s="60">
        <v>1</v>
      </c>
      <c r="L7" s="60">
        <v>1</v>
      </c>
      <c r="M7" s="60">
        <v>1</v>
      </c>
      <c r="N7" s="60">
        <v>1</v>
      </c>
      <c r="R7" s="75"/>
      <c r="S7" s="60"/>
      <c r="T7" s="44"/>
      <c r="U7" s="44"/>
      <c r="V7" s="60"/>
      <c r="W7" s="60"/>
      <c r="X7" s="60"/>
      <c r="Y7" s="60"/>
      <c r="Z7" s="60"/>
      <c r="AA7" s="60"/>
    </row>
    <row r="8" spans="1:27" x14ac:dyDescent="0.2">
      <c r="A8">
        <f>MATCH(SelectedAct,BeamActHead,0)+2</f>
        <v>7</v>
      </c>
      <c r="D8">
        <v>3</v>
      </c>
      <c r="E8" s="75" t="s">
        <v>64</v>
      </c>
      <c r="F8" s="60">
        <v>11</v>
      </c>
      <c r="G8" s="44"/>
      <c r="H8" s="44">
        <v>1</v>
      </c>
      <c r="I8" s="60">
        <v>1</v>
      </c>
      <c r="J8" s="60">
        <v>1</v>
      </c>
      <c r="K8" s="60">
        <v>1</v>
      </c>
      <c r="L8" s="60">
        <v>1</v>
      </c>
      <c r="M8" s="60">
        <v>1</v>
      </c>
      <c r="N8" s="60">
        <v>1</v>
      </c>
    </row>
    <row r="9" spans="1:27" x14ac:dyDescent="0.2">
      <c r="A9" t="s">
        <v>89</v>
      </c>
      <c r="D9">
        <v>4</v>
      </c>
      <c r="E9" s="75" t="s">
        <v>64</v>
      </c>
      <c r="F9" s="60">
        <v>12</v>
      </c>
      <c r="G9" s="44"/>
      <c r="H9" s="44">
        <v>1</v>
      </c>
      <c r="I9" s="60">
        <v>1</v>
      </c>
      <c r="J9" s="60">
        <v>1</v>
      </c>
      <c r="K9" s="60">
        <v>1</v>
      </c>
      <c r="L9" s="60">
        <v>1</v>
      </c>
      <c r="M9" s="60">
        <v>1</v>
      </c>
      <c r="N9" s="60">
        <v>1</v>
      </c>
    </row>
    <row r="10" spans="1:27" x14ac:dyDescent="0.2">
      <c r="A10" t="s">
        <v>46</v>
      </c>
      <c r="D10">
        <v>5</v>
      </c>
      <c r="E10" s="75" t="s">
        <v>64</v>
      </c>
      <c r="F10" s="60">
        <v>8</v>
      </c>
      <c r="G10" s="44"/>
      <c r="H10" s="44">
        <v>1</v>
      </c>
      <c r="I10" s="60">
        <v>1</v>
      </c>
      <c r="J10" s="60">
        <v>1</v>
      </c>
      <c r="K10" s="60">
        <v>1</v>
      </c>
      <c r="L10" s="60">
        <v>1</v>
      </c>
      <c r="M10" s="60">
        <v>1</v>
      </c>
      <c r="N10" s="60">
        <v>1</v>
      </c>
    </row>
    <row r="11" spans="1:27" x14ac:dyDescent="0.2">
      <c r="A11" t="s">
        <v>92</v>
      </c>
      <c r="D11" s="60"/>
      <c r="E11" s="75"/>
      <c r="F11" s="60"/>
      <c r="G11" s="60"/>
      <c r="H11" s="60"/>
      <c r="I11" s="60"/>
      <c r="J11" s="60"/>
      <c r="K11" s="60"/>
      <c r="L11" s="60"/>
      <c r="M11" s="60"/>
      <c r="N11" s="60"/>
    </row>
    <row r="12" spans="1:27" x14ac:dyDescent="0.2">
      <c r="A12" t="s">
        <v>49</v>
      </c>
      <c r="D12" s="60"/>
      <c r="E12" s="75"/>
      <c r="F12" s="60"/>
      <c r="G12" s="60"/>
      <c r="H12" s="60"/>
      <c r="I12" s="60"/>
      <c r="J12" s="60"/>
      <c r="K12" s="60"/>
      <c r="L12" s="60"/>
      <c r="M12" s="60"/>
      <c r="N12" s="60"/>
    </row>
    <row r="13" spans="1:27" x14ac:dyDescent="0.2">
      <c r="A13" s="4" t="s">
        <v>88</v>
      </c>
      <c r="D13" s="60"/>
      <c r="E13" s="60"/>
      <c r="F13" s="60"/>
      <c r="G13" s="60"/>
      <c r="H13" s="60"/>
      <c r="I13" s="60"/>
      <c r="J13" s="60"/>
    </row>
    <row r="14" spans="1:27" x14ac:dyDescent="0.2">
      <c r="A14" s="4" t="s">
        <v>89</v>
      </c>
      <c r="D14" s="60"/>
      <c r="E14" s="60"/>
      <c r="F14" s="60"/>
      <c r="G14" s="60"/>
      <c r="H14" s="60"/>
      <c r="I14" s="60"/>
      <c r="J14" s="60"/>
    </row>
    <row r="15" spans="1:27" x14ac:dyDescent="0.2">
      <c r="A15" s="4" t="s">
        <v>90</v>
      </c>
    </row>
  </sheetData>
  <mergeCells count="2">
    <mergeCell ref="I2:K2"/>
    <mergeCell ref="L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Input1</vt:lpstr>
      <vt:lpstr>Input2</vt:lpstr>
      <vt:lpstr>Output</vt:lpstr>
      <vt:lpstr>Plot</vt:lpstr>
      <vt:lpstr>Plot_Beam</vt:lpstr>
      <vt:lpstr>Node_def</vt:lpstr>
      <vt:lpstr>Temp</vt:lpstr>
      <vt:lpstr>About</vt:lpstr>
      <vt:lpstr>Format</vt:lpstr>
      <vt:lpstr>actions</vt:lpstr>
      <vt:lpstr>beam_act</vt:lpstr>
      <vt:lpstr>BeamActHead</vt:lpstr>
      <vt:lpstr>beamcon</vt:lpstr>
      <vt:lpstr>beamer</vt:lpstr>
      <vt:lpstr>beamprop</vt:lpstr>
      <vt:lpstr>beamres</vt:lpstr>
      <vt:lpstr>BeamResOff</vt:lpstr>
      <vt:lpstr>blabels</vt:lpstr>
      <vt:lpstr>Centre_X</vt:lpstr>
      <vt:lpstr>Centre_Y</vt:lpstr>
      <vt:lpstr>coords</vt:lpstr>
      <vt:lpstr>Def_Shape</vt:lpstr>
      <vt:lpstr>defa</vt:lpstr>
      <vt:lpstr>defc</vt:lpstr>
      <vt:lpstr>Deflect_Mag</vt:lpstr>
      <vt:lpstr>DefXYRes</vt:lpstr>
      <vt:lpstr>distloads</vt:lpstr>
      <vt:lpstr>f_a</vt:lpstr>
      <vt:lpstr>FEM</vt:lpstr>
      <vt:lpstr>G_Coord</vt:lpstr>
      <vt:lpstr>G_Num</vt:lpstr>
      <vt:lpstr>kga</vt:lpstr>
      <vt:lpstr>KV</vt:lpstr>
      <vt:lpstr>lastdataranges</vt:lpstr>
      <vt:lpstr>LastPlotRange</vt:lpstr>
      <vt:lpstr>LegendText</vt:lpstr>
      <vt:lpstr>moments</vt:lpstr>
      <vt:lpstr>NDisp</vt:lpstr>
      <vt:lpstr>nlabels</vt:lpstr>
      <vt:lpstr>Numbeams</vt:lpstr>
      <vt:lpstr>NumCoords</vt:lpstr>
      <vt:lpstr>NumER</vt:lpstr>
      <vt:lpstr>NumERBeams</vt:lpstr>
      <vt:lpstr>NumLoads</vt:lpstr>
      <vt:lpstr>NumProps</vt:lpstr>
      <vt:lpstr>NumRest</vt:lpstr>
      <vt:lpstr>NumSegs</vt:lpstr>
      <vt:lpstr>OutErr</vt:lpstr>
      <vt:lpstr>plot_beams</vt:lpstr>
      <vt:lpstr>plotdata</vt:lpstr>
      <vt:lpstr>PlotScale</vt:lpstr>
      <vt:lpstr>PlotY</vt:lpstr>
      <vt:lpstr>pointloads</vt:lpstr>
      <vt:lpstr>react</vt:lpstr>
      <vt:lpstr>ResForce</vt:lpstr>
      <vt:lpstr>ResOut</vt:lpstr>
      <vt:lpstr>restraints</vt:lpstr>
      <vt:lpstr>SelectedAct</vt:lpstr>
      <vt:lpstr>Self_Weight</vt:lpstr>
      <vt:lpstr>SolveOptions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</dc:creator>
  <cp:lastModifiedBy>Xiaojun Chen</cp:lastModifiedBy>
  <dcterms:created xsi:type="dcterms:W3CDTF">2009-02-11T10:45:05Z</dcterms:created>
  <dcterms:modified xsi:type="dcterms:W3CDTF">2015-09-14T04:09:26Z</dcterms:modified>
</cp:coreProperties>
</file>